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odore Ong\Desktop\"/>
    </mc:Choice>
  </mc:AlternateContent>
  <xr:revisionPtr revIDLastSave="0" documentId="13_ncr:1_{28FF0392-4311-4ABD-B152-4C5E669A9F0C}" xr6:coauthVersionLast="43" xr6:coauthVersionMax="43" xr10:uidLastSave="{00000000-0000-0000-0000-000000000000}"/>
  <bookViews>
    <workbookView xWindow="-110" yWindow="-110" windowWidth="19420" windowHeight="10420" firstSheet="3" activeTab="4" xr2:uid="{0D84A6B1-0511-43C4-BF8A-2CCBAAD9DAEA}"/>
  </bookViews>
  <sheets>
    <sheet name="calc 2" sheetId="5" r:id="rId1"/>
    <sheet name="NE270 homework 1" sheetId="7" r:id="rId2"/>
    <sheet name="NE270 Homework " sheetId="9" r:id="rId3"/>
    <sheet name="Pasting from OpenFoam" sheetId="13" r:id="rId4"/>
    <sheet name="Sheet1" sheetId="14" r:id="rId5"/>
  </sheets>
  <definedNames>
    <definedName name="solver_adj" localSheetId="2" hidden="1">'NE270 Homework '!$BP$130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'NE270 Homework '!$BP$130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'NE270 Homework '!$BP$137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hs1" localSheetId="2" hidden="1">-'NE270 Homework '!$BS$132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0.004975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3" i="13" l="1"/>
  <c r="O17" i="13"/>
  <c r="DF9" i="9" l="1"/>
  <c r="DF8" i="9"/>
  <c r="DF19" i="9"/>
  <c r="CT46" i="9"/>
  <c r="CT50" i="9"/>
  <c r="CT42" i="9"/>
  <c r="DC9" i="9"/>
  <c r="DF13" i="9" s="1"/>
  <c r="DC10" i="9"/>
  <c r="DF17" i="9" s="1"/>
  <c r="DC11" i="9"/>
  <c r="DC12" i="9"/>
  <c r="DC13" i="9"/>
  <c r="DC14" i="9"/>
  <c r="DF18" i="9" s="1"/>
  <c r="DC15" i="9"/>
  <c r="DC16" i="9"/>
  <c r="DC17" i="9"/>
  <c r="DC8" i="9"/>
  <c r="DA50" i="9"/>
  <c r="DA49" i="9"/>
  <c r="DA48" i="9"/>
  <c r="DA46" i="9"/>
  <c r="DA45" i="9"/>
  <c r="DA44" i="9"/>
  <c r="DA42" i="9"/>
  <c r="DA41" i="9"/>
  <c r="DA40" i="9"/>
  <c r="DA38" i="9"/>
  <c r="DA37" i="9"/>
  <c r="DA36" i="9"/>
  <c r="DA34" i="9"/>
  <c r="DA33" i="9"/>
  <c r="DA32" i="9"/>
  <c r="DA31" i="9"/>
  <c r="DA30" i="9"/>
  <c r="DA29" i="9"/>
  <c r="DA28" i="9"/>
  <c r="DA27" i="9"/>
  <c r="DA26" i="9"/>
  <c r="CZ50" i="9"/>
  <c r="CZ49" i="9"/>
  <c r="CZ48" i="9"/>
  <c r="CZ46" i="9"/>
  <c r="CZ45" i="9"/>
  <c r="CZ44" i="9"/>
  <c r="CZ42" i="9"/>
  <c r="CZ41" i="9"/>
  <c r="CZ40" i="9"/>
  <c r="CZ38" i="9"/>
  <c r="CZ37" i="9"/>
  <c r="CZ36" i="9"/>
  <c r="CZ34" i="9"/>
  <c r="CZ33" i="9"/>
  <c r="CZ32" i="9"/>
  <c r="CZ31" i="9"/>
  <c r="CZ30" i="9"/>
  <c r="CZ29" i="9"/>
  <c r="CZ28" i="9"/>
  <c r="CZ27" i="9"/>
  <c r="CZ26" i="9"/>
  <c r="CT52" i="9"/>
  <c r="CT49" i="9"/>
  <c r="CT48" i="9"/>
  <c r="CT45" i="9"/>
  <c r="CT44" i="9"/>
  <c r="CT41" i="9"/>
  <c r="CT40" i="9"/>
  <c r="CT38" i="9"/>
  <c r="CT37" i="9"/>
  <c r="CT36" i="9"/>
  <c r="CT27" i="9"/>
  <c r="CT28" i="9"/>
  <c r="CT29" i="9"/>
  <c r="CT30" i="9"/>
  <c r="CT31" i="9"/>
  <c r="CT32" i="9"/>
  <c r="CT33" i="9"/>
  <c r="CT34" i="9"/>
  <c r="CT26" i="9"/>
  <c r="CO5" i="9"/>
  <c r="CN10" i="9"/>
  <c r="CN11" i="9"/>
  <c r="CN12" i="9"/>
  <c r="CN13" i="9"/>
  <c r="CN14" i="9"/>
  <c r="CN15" i="9"/>
  <c r="CN16" i="9"/>
  <c r="CN17" i="9"/>
  <c r="CN18" i="9"/>
  <c r="CN19" i="9"/>
  <c r="CN20" i="9"/>
  <c r="CN21" i="9"/>
  <c r="CN22" i="9"/>
  <c r="CN23" i="9"/>
  <c r="CN24" i="9"/>
  <c r="CN25" i="9"/>
  <c r="CN26" i="9"/>
  <c r="CN27" i="9"/>
  <c r="CN28" i="9"/>
  <c r="CN29" i="9"/>
  <c r="CN30" i="9"/>
  <c r="CN31" i="9"/>
  <c r="CN32" i="9"/>
  <c r="CN33" i="9"/>
  <c r="CN34" i="9"/>
  <c r="CN35" i="9"/>
  <c r="CN36" i="9"/>
  <c r="CN37" i="9"/>
  <c r="CN38" i="9"/>
  <c r="CN39" i="9"/>
  <c r="CN40" i="9"/>
  <c r="CN41" i="9"/>
  <c r="CN42" i="9"/>
  <c r="CN43" i="9"/>
  <c r="CN44" i="9"/>
  <c r="CN45" i="9"/>
  <c r="CN46" i="9"/>
  <c r="CN47" i="9"/>
  <c r="CN48" i="9"/>
  <c r="CN49" i="9"/>
  <c r="CN50" i="9"/>
  <c r="CN51" i="9"/>
  <c r="CN52" i="9"/>
  <c r="CN53" i="9"/>
  <c r="CN54" i="9"/>
  <c r="CN55" i="9"/>
  <c r="CN56" i="9"/>
  <c r="CN57" i="9"/>
  <c r="CN58" i="9"/>
  <c r="CN59" i="9"/>
  <c r="CN60" i="9"/>
  <c r="CN61" i="9"/>
  <c r="CN62" i="9"/>
  <c r="CN63" i="9"/>
  <c r="CN64" i="9"/>
  <c r="CN65" i="9"/>
  <c r="CN66" i="9"/>
  <c r="CN67" i="9"/>
  <c r="CN68" i="9"/>
  <c r="CN69" i="9"/>
  <c r="CN70" i="9"/>
  <c r="CN71" i="9"/>
  <c r="CN72" i="9"/>
  <c r="CN73" i="9"/>
  <c r="CN74" i="9"/>
  <c r="CN75" i="9"/>
  <c r="CN76" i="9"/>
  <c r="CN77" i="9"/>
  <c r="CN78" i="9"/>
  <c r="CN79" i="9"/>
  <c r="CN80" i="9"/>
  <c r="CN81" i="9"/>
  <c r="CN82" i="9"/>
  <c r="CN83" i="9"/>
  <c r="CN84" i="9"/>
  <c r="CN85" i="9"/>
  <c r="CN86" i="9"/>
  <c r="CN87" i="9"/>
  <c r="CN88" i="9"/>
  <c r="CN89" i="9"/>
  <c r="CN90" i="9"/>
  <c r="CN91" i="9"/>
  <c r="CN92" i="9"/>
  <c r="CN93" i="9"/>
  <c r="CN94" i="9"/>
  <c r="CN95" i="9"/>
  <c r="CN96" i="9"/>
  <c r="CN97" i="9"/>
  <c r="CN98" i="9"/>
  <c r="CN99" i="9"/>
  <c r="CN100" i="9"/>
  <c r="CN101" i="9"/>
  <c r="CN102" i="9"/>
  <c r="CN103" i="9"/>
  <c r="CN104" i="9"/>
  <c r="CN105" i="9"/>
  <c r="CN106" i="9"/>
  <c r="CN107" i="9"/>
  <c r="CN108" i="9"/>
  <c r="CN109" i="9"/>
  <c r="CN110" i="9"/>
  <c r="CN111" i="9"/>
  <c r="CN112" i="9"/>
  <c r="CN113" i="9"/>
  <c r="CN114" i="9"/>
  <c r="CN115" i="9"/>
  <c r="CN116" i="9"/>
  <c r="CN117" i="9"/>
  <c r="CN118" i="9"/>
  <c r="CN119" i="9"/>
  <c r="CN120" i="9"/>
  <c r="CN121" i="9"/>
  <c r="CN122" i="9"/>
  <c r="CN123" i="9"/>
  <c r="CN124" i="9"/>
  <c r="CN125" i="9"/>
  <c r="CN126" i="9"/>
  <c r="CN127" i="9"/>
  <c r="CN128" i="9"/>
  <c r="CN129" i="9"/>
  <c r="CN130" i="9"/>
  <c r="CN131" i="9"/>
  <c r="CN132" i="9"/>
  <c r="CN133" i="9"/>
  <c r="CN134" i="9"/>
  <c r="CN135" i="9"/>
  <c r="CN136" i="9"/>
  <c r="CN137" i="9"/>
  <c r="CN138" i="9"/>
  <c r="CN139" i="9"/>
  <c r="CN140" i="9"/>
  <c r="CN141" i="9"/>
  <c r="CN142" i="9"/>
  <c r="CN143" i="9"/>
  <c r="CN144" i="9"/>
  <c r="CN145" i="9"/>
  <c r="CN146" i="9"/>
  <c r="CN147" i="9"/>
  <c r="CN148" i="9"/>
  <c r="CN149" i="9"/>
  <c r="CN150" i="9"/>
  <c r="CN151" i="9"/>
  <c r="CN152" i="9"/>
  <c r="CN153" i="9"/>
  <c r="CN154" i="9"/>
  <c r="CN155" i="9"/>
  <c r="CN156" i="9"/>
  <c r="CN157" i="9"/>
  <c r="CN158" i="9"/>
  <c r="CN159" i="9"/>
  <c r="CN160" i="9"/>
  <c r="CN161" i="9"/>
  <c r="CN162" i="9"/>
  <c r="CN163" i="9"/>
  <c r="CN164" i="9"/>
  <c r="CN165" i="9"/>
  <c r="CN166" i="9"/>
  <c r="CN167" i="9"/>
  <c r="CN168" i="9"/>
  <c r="CN169" i="9"/>
  <c r="CN170" i="9"/>
  <c r="CN171" i="9"/>
  <c r="CN172" i="9"/>
  <c r="CN173" i="9"/>
  <c r="CN174" i="9"/>
  <c r="CN175" i="9"/>
  <c r="CN176" i="9"/>
  <c r="CN177" i="9"/>
  <c r="CN178" i="9"/>
  <c r="CN179" i="9"/>
  <c r="CN180" i="9"/>
  <c r="CN181" i="9"/>
  <c r="CN182" i="9"/>
  <c r="CN183" i="9"/>
  <c r="CN184" i="9"/>
  <c r="CN185" i="9"/>
  <c r="CN186" i="9"/>
  <c r="CN187" i="9"/>
  <c r="CN188" i="9"/>
  <c r="CN189" i="9"/>
  <c r="CN190" i="9"/>
  <c r="CN191" i="9"/>
  <c r="CN192" i="9"/>
  <c r="CN193" i="9"/>
  <c r="CN194" i="9"/>
  <c r="CN195" i="9"/>
  <c r="CN196" i="9"/>
  <c r="CN197" i="9"/>
  <c r="CN198" i="9"/>
  <c r="CN199" i="9"/>
  <c r="CN200" i="9"/>
  <c r="CN201" i="9"/>
  <c r="CN202" i="9"/>
  <c r="CN203" i="9"/>
  <c r="CN204" i="9"/>
  <c r="CN205" i="9"/>
  <c r="CN206" i="9"/>
  <c r="CN207" i="9"/>
  <c r="CN208" i="9"/>
  <c r="CN209" i="9"/>
  <c r="CN210" i="9"/>
  <c r="CN211" i="9"/>
  <c r="CN212" i="9"/>
  <c r="CN213" i="9"/>
  <c r="CN214" i="9"/>
  <c r="CN215" i="9"/>
  <c r="CN216" i="9"/>
  <c r="CN217" i="9"/>
  <c r="CN218" i="9"/>
  <c r="CN219" i="9"/>
  <c r="CN220" i="9"/>
  <c r="CN221" i="9"/>
  <c r="CN222" i="9"/>
  <c r="CN223" i="9"/>
  <c r="CN224" i="9"/>
  <c r="CN225" i="9"/>
  <c r="CN226" i="9"/>
  <c r="CN227" i="9"/>
  <c r="CN228" i="9"/>
  <c r="CN229" i="9"/>
  <c r="CN230" i="9"/>
  <c r="CN231" i="9"/>
  <c r="CN232" i="9"/>
  <c r="CN233" i="9"/>
  <c r="CN234" i="9"/>
  <c r="CN235" i="9"/>
  <c r="CN236" i="9"/>
  <c r="CN237" i="9"/>
  <c r="CN238" i="9"/>
  <c r="CN239" i="9"/>
  <c r="CN240" i="9"/>
  <c r="CN241" i="9"/>
  <c r="CN242" i="9"/>
  <c r="CN243" i="9"/>
  <c r="CN244" i="9"/>
  <c r="CN245" i="9"/>
  <c r="CN246" i="9"/>
  <c r="CN247" i="9"/>
  <c r="CN248" i="9"/>
  <c r="CN249" i="9"/>
  <c r="CN250" i="9"/>
  <c r="CN251" i="9"/>
  <c r="CN252" i="9"/>
  <c r="CN253" i="9"/>
  <c r="CN254" i="9"/>
  <c r="CN255" i="9"/>
  <c r="CN256" i="9"/>
  <c r="CN257" i="9"/>
  <c r="CN258" i="9"/>
  <c r="CN259" i="9"/>
  <c r="CN260" i="9"/>
  <c r="CN261" i="9"/>
  <c r="CN262" i="9"/>
  <c r="CN263" i="9"/>
  <c r="CN264" i="9"/>
  <c r="CN265" i="9"/>
  <c r="CN266" i="9"/>
  <c r="CN267" i="9"/>
  <c r="CN268" i="9"/>
  <c r="CN269" i="9"/>
  <c r="CN270" i="9"/>
  <c r="CN271" i="9"/>
  <c r="CN272" i="9"/>
  <c r="CN273" i="9"/>
  <c r="CN274" i="9"/>
  <c r="CN275" i="9"/>
  <c r="CN276" i="9"/>
  <c r="CN277" i="9"/>
  <c r="CN278" i="9"/>
  <c r="CN279" i="9"/>
  <c r="CN280" i="9"/>
  <c r="CN281" i="9"/>
  <c r="CN282" i="9"/>
  <c r="CN283" i="9"/>
  <c r="CN284" i="9"/>
  <c r="CN285" i="9"/>
  <c r="CN286" i="9"/>
  <c r="CN287" i="9"/>
  <c r="CN288" i="9"/>
  <c r="CN289" i="9"/>
  <c r="CN290" i="9"/>
  <c r="CN291" i="9"/>
  <c r="CN292" i="9"/>
  <c r="CN293" i="9"/>
  <c r="CN294" i="9"/>
  <c r="CN295" i="9"/>
  <c r="CN296" i="9"/>
  <c r="CN297" i="9"/>
  <c r="CN298" i="9"/>
  <c r="CN299" i="9"/>
  <c r="CN300" i="9"/>
  <c r="CN301" i="9"/>
  <c r="CN302" i="9"/>
  <c r="CN303" i="9"/>
  <c r="CN304" i="9"/>
  <c r="CN305" i="9"/>
  <c r="CN306" i="9"/>
  <c r="CN307" i="9"/>
  <c r="CN308" i="9"/>
  <c r="CN309" i="9"/>
  <c r="CN310" i="9"/>
  <c r="CN311" i="9"/>
  <c r="CN312" i="9"/>
  <c r="CN313" i="9"/>
  <c r="CN314" i="9"/>
  <c r="CN315" i="9"/>
  <c r="CN316" i="9"/>
  <c r="CN317" i="9"/>
  <c r="CN318" i="9"/>
  <c r="CN319" i="9"/>
  <c r="CN320" i="9"/>
  <c r="CN321" i="9"/>
  <c r="CN322" i="9"/>
  <c r="CN323" i="9"/>
  <c r="CN324" i="9"/>
  <c r="CN325" i="9"/>
  <c r="CN326" i="9"/>
  <c r="CN327" i="9"/>
  <c r="CN328" i="9"/>
  <c r="CN329" i="9"/>
  <c r="CN330" i="9"/>
  <c r="CN331" i="9"/>
  <c r="CN332" i="9"/>
  <c r="CN333" i="9"/>
  <c r="CN334" i="9"/>
  <c r="CN335" i="9"/>
  <c r="CN336" i="9"/>
  <c r="CN337" i="9"/>
  <c r="CN338" i="9"/>
  <c r="CN339" i="9"/>
  <c r="CN340" i="9"/>
  <c r="CN341" i="9"/>
  <c r="CN342" i="9"/>
  <c r="CN343" i="9"/>
  <c r="CN344" i="9"/>
  <c r="CN345" i="9"/>
  <c r="CN346" i="9"/>
  <c r="CN347" i="9"/>
  <c r="CN348" i="9"/>
  <c r="CN349" i="9"/>
  <c r="CN350" i="9"/>
  <c r="CN351" i="9"/>
  <c r="CN352" i="9"/>
  <c r="CN353" i="9"/>
  <c r="CN354" i="9"/>
  <c r="CN355" i="9"/>
  <c r="CN356" i="9"/>
  <c r="CN357" i="9"/>
  <c r="CN358" i="9"/>
  <c r="CN359" i="9"/>
  <c r="CN360" i="9"/>
  <c r="CN361" i="9"/>
  <c r="CN362" i="9"/>
  <c r="CN363" i="9"/>
  <c r="CN364" i="9"/>
  <c r="CN365" i="9"/>
  <c r="CN366" i="9"/>
  <c r="CN367" i="9"/>
  <c r="CN368" i="9"/>
  <c r="CN369" i="9"/>
  <c r="CN370" i="9"/>
  <c r="CN371" i="9"/>
  <c r="CN372" i="9"/>
  <c r="CN373" i="9"/>
  <c r="CN374" i="9"/>
  <c r="CN375" i="9"/>
  <c r="CN376" i="9"/>
  <c r="CN377" i="9"/>
  <c r="CN378" i="9"/>
  <c r="CN379" i="9"/>
  <c r="CN380" i="9"/>
  <c r="CN381" i="9"/>
  <c r="CN382" i="9"/>
  <c r="CN383" i="9"/>
  <c r="CN384" i="9"/>
  <c r="CN385" i="9"/>
  <c r="CN386" i="9"/>
  <c r="CN387" i="9"/>
  <c r="CN388" i="9"/>
  <c r="CN389" i="9"/>
  <c r="CN390" i="9"/>
  <c r="CN391" i="9"/>
  <c r="CN392" i="9"/>
  <c r="CN393" i="9"/>
  <c r="CN394" i="9"/>
  <c r="CN395" i="9"/>
  <c r="CN396" i="9"/>
  <c r="CN397" i="9"/>
  <c r="CN398" i="9"/>
  <c r="CN399" i="9"/>
  <c r="CN400" i="9"/>
  <c r="CN401" i="9"/>
  <c r="CN402" i="9"/>
  <c r="CN403" i="9"/>
  <c r="CN404" i="9"/>
  <c r="CN405" i="9"/>
  <c r="CN406" i="9"/>
  <c r="CN407" i="9"/>
  <c r="CN408" i="9"/>
  <c r="CN409" i="9"/>
  <c r="CN410" i="9"/>
  <c r="CN411" i="9"/>
  <c r="CN412" i="9"/>
  <c r="CN413" i="9"/>
  <c r="CN414" i="9"/>
  <c r="CN415" i="9"/>
  <c r="CN416" i="9"/>
  <c r="CN417" i="9"/>
  <c r="CN418" i="9"/>
  <c r="CN419" i="9"/>
  <c r="CN420" i="9"/>
  <c r="CN421" i="9"/>
  <c r="CN422" i="9"/>
  <c r="CN423" i="9"/>
  <c r="CN424" i="9"/>
  <c r="CN425" i="9"/>
  <c r="CN426" i="9"/>
  <c r="CN427" i="9"/>
  <c r="CN428" i="9"/>
  <c r="CN429" i="9"/>
  <c r="CN430" i="9"/>
  <c r="CN431" i="9"/>
  <c r="CN432" i="9"/>
  <c r="CN433" i="9"/>
  <c r="CN434" i="9"/>
  <c r="CN435" i="9"/>
  <c r="CN436" i="9"/>
  <c r="CN437" i="9"/>
  <c r="CN438" i="9"/>
  <c r="CN439" i="9"/>
  <c r="CN440" i="9"/>
  <c r="CN441" i="9"/>
  <c r="CN442" i="9"/>
  <c r="CN443" i="9"/>
  <c r="CN444" i="9"/>
  <c r="CN445" i="9"/>
  <c r="CN446" i="9"/>
  <c r="CN447" i="9"/>
  <c r="CN448" i="9"/>
  <c r="CN449" i="9"/>
  <c r="CN450" i="9"/>
  <c r="CN451" i="9"/>
  <c r="CN452" i="9"/>
  <c r="CN453" i="9"/>
  <c r="CN454" i="9"/>
  <c r="CN455" i="9"/>
  <c r="CN456" i="9"/>
  <c r="CN457" i="9"/>
  <c r="CN458" i="9"/>
  <c r="CN459" i="9"/>
  <c r="CN460" i="9"/>
  <c r="CN461" i="9"/>
  <c r="CN462" i="9"/>
  <c r="CN463" i="9"/>
  <c r="CN464" i="9"/>
  <c r="CN465" i="9"/>
  <c r="CN466" i="9"/>
  <c r="CN467" i="9"/>
  <c r="CN468" i="9"/>
  <c r="CN469" i="9"/>
  <c r="CN470" i="9"/>
  <c r="CN471" i="9"/>
  <c r="CN472" i="9"/>
  <c r="CN473" i="9"/>
  <c r="CN474" i="9"/>
  <c r="CN475" i="9"/>
  <c r="CN476" i="9"/>
  <c r="CN477" i="9"/>
  <c r="CN478" i="9"/>
  <c r="CN479" i="9"/>
  <c r="CN480" i="9"/>
  <c r="CN481" i="9"/>
  <c r="CN482" i="9"/>
  <c r="CN483" i="9"/>
  <c r="CN484" i="9"/>
  <c r="CN485" i="9"/>
  <c r="CN486" i="9"/>
  <c r="CN487" i="9"/>
  <c r="CN488" i="9"/>
  <c r="CN489" i="9"/>
  <c r="CN490" i="9"/>
  <c r="CN491" i="9"/>
  <c r="CN492" i="9"/>
  <c r="CN493" i="9"/>
  <c r="CN494" i="9"/>
  <c r="CN495" i="9"/>
  <c r="CN496" i="9"/>
  <c r="CN497" i="9"/>
  <c r="CN498" i="9"/>
  <c r="CN499" i="9"/>
  <c r="CN500" i="9"/>
  <c r="CN501" i="9"/>
  <c r="CN502" i="9"/>
  <c r="CN503" i="9"/>
  <c r="CN504" i="9"/>
  <c r="CN505" i="9"/>
  <c r="CN506" i="9"/>
  <c r="CN507" i="9"/>
  <c r="CN508" i="9"/>
  <c r="CN509" i="9"/>
  <c r="CN510" i="9"/>
  <c r="CN511" i="9"/>
  <c r="CN512" i="9"/>
  <c r="CN513" i="9"/>
  <c r="CN514" i="9"/>
  <c r="CN515" i="9"/>
  <c r="CN516" i="9"/>
  <c r="CN517" i="9"/>
  <c r="CN518" i="9"/>
  <c r="CN519" i="9"/>
  <c r="CN520" i="9"/>
  <c r="CN521" i="9"/>
  <c r="CN522" i="9"/>
  <c r="CN523" i="9"/>
  <c r="CN524" i="9"/>
  <c r="CN525" i="9"/>
  <c r="CN526" i="9"/>
  <c r="CN527" i="9"/>
  <c r="CN528" i="9"/>
  <c r="CN529" i="9"/>
  <c r="CN530" i="9"/>
  <c r="CN531" i="9"/>
  <c r="CN532" i="9"/>
  <c r="CN533" i="9"/>
  <c r="CN534" i="9"/>
  <c r="CN535" i="9"/>
  <c r="CN536" i="9"/>
  <c r="CN537" i="9"/>
  <c r="CN538" i="9"/>
  <c r="CN539" i="9"/>
  <c r="CN540" i="9"/>
  <c r="CN541" i="9"/>
  <c r="CN542" i="9"/>
  <c r="CN543" i="9"/>
  <c r="CN544" i="9"/>
  <c r="CN545" i="9"/>
  <c r="CN546" i="9"/>
  <c r="CN547" i="9"/>
  <c r="CN548" i="9"/>
  <c r="CN549" i="9"/>
  <c r="CN550" i="9"/>
  <c r="CN551" i="9"/>
  <c r="CN552" i="9"/>
  <c r="CN553" i="9"/>
  <c r="CN554" i="9"/>
  <c r="CN555" i="9"/>
  <c r="CN556" i="9"/>
  <c r="CN557" i="9"/>
  <c r="CN558" i="9"/>
  <c r="CN559" i="9"/>
  <c r="CN560" i="9"/>
  <c r="CN561" i="9"/>
  <c r="CN562" i="9"/>
  <c r="CN563" i="9"/>
  <c r="CN564" i="9"/>
  <c r="CN565" i="9"/>
  <c r="CN566" i="9"/>
  <c r="CN567" i="9"/>
  <c r="CN568" i="9"/>
  <c r="CN569" i="9"/>
  <c r="CN570" i="9"/>
  <c r="CN571" i="9"/>
  <c r="CN572" i="9"/>
  <c r="CN573" i="9"/>
  <c r="CN574" i="9"/>
  <c r="CN575" i="9"/>
  <c r="CN576" i="9"/>
  <c r="CN577" i="9"/>
  <c r="CN578" i="9"/>
  <c r="CN579" i="9"/>
  <c r="CN580" i="9"/>
  <c r="CN581" i="9"/>
  <c r="CN582" i="9"/>
  <c r="CN583" i="9"/>
  <c r="CN584" i="9"/>
  <c r="CN585" i="9"/>
  <c r="CN586" i="9"/>
  <c r="CN587" i="9"/>
  <c r="CN588" i="9"/>
  <c r="CN589" i="9"/>
  <c r="CN590" i="9"/>
  <c r="CN591" i="9"/>
  <c r="CN592" i="9"/>
  <c r="CN593" i="9"/>
  <c r="CN594" i="9"/>
  <c r="CN595" i="9"/>
  <c r="CN596" i="9"/>
  <c r="CN597" i="9"/>
  <c r="CN598" i="9"/>
  <c r="CN599" i="9"/>
  <c r="CN600" i="9"/>
  <c r="CN601" i="9"/>
  <c r="CN602" i="9"/>
  <c r="CN603" i="9"/>
  <c r="CN604" i="9"/>
  <c r="CN605" i="9"/>
  <c r="CN606" i="9"/>
  <c r="CN607" i="9"/>
  <c r="CN608" i="9"/>
  <c r="CN609" i="9"/>
  <c r="CN610" i="9"/>
  <c r="CN611" i="9"/>
  <c r="CN612" i="9"/>
  <c r="CN613" i="9"/>
  <c r="CN614" i="9"/>
  <c r="CN615" i="9"/>
  <c r="CN616" i="9"/>
  <c r="CN617" i="9"/>
  <c r="CN618" i="9"/>
  <c r="CN619" i="9"/>
  <c r="CN620" i="9"/>
  <c r="CN621" i="9"/>
  <c r="CN622" i="9"/>
  <c r="CN623" i="9"/>
  <c r="CN624" i="9"/>
  <c r="CN625" i="9"/>
  <c r="CN626" i="9"/>
  <c r="CN627" i="9"/>
  <c r="CN628" i="9"/>
  <c r="CN629" i="9"/>
  <c r="CN630" i="9"/>
  <c r="CN631" i="9"/>
  <c r="CN632" i="9"/>
  <c r="CN633" i="9"/>
  <c r="CN634" i="9"/>
  <c r="CN635" i="9"/>
  <c r="CN636" i="9"/>
  <c r="CN637" i="9"/>
  <c r="CN638" i="9"/>
  <c r="CN639" i="9"/>
  <c r="CN640" i="9"/>
  <c r="CN641" i="9"/>
  <c r="CN642" i="9"/>
  <c r="CN643" i="9"/>
  <c r="CN644" i="9"/>
  <c r="CN645" i="9"/>
  <c r="CN646" i="9"/>
  <c r="CN647" i="9"/>
  <c r="CN648" i="9"/>
  <c r="CN649" i="9"/>
  <c r="CN650" i="9"/>
  <c r="CN651" i="9"/>
  <c r="CN652" i="9"/>
  <c r="CN653" i="9"/>
  <c r="CN654" i="9"/>
  <c r="CN655" i="9"/>
  <c r="CN656" i="9"/>
  <c r="CN657" i="9"/>
  <c r="CN658" i="9"/>
  <c r="CN659" i="9"/>
  <c r="CN660" i="9"/>
  <c r="CN661" i="9"/>
  <c r="CN662" i="9"/>
  <c r="CN663" i="9"/>
  <c r="CN664" i="9"/>
  <c r="CN665" i="9"/>
  <c r="CN666" i="9"/>
  <c r="CN667" i="9"/>
  <c r="CN668" i="9"/>
  <c r="CN669" i="9"/>
  <c r="CN670" i="9"/>
  <c r="CN671" i="9"/>
  <c r="CN672" i="9"/>
  <c r="CN673" i="9"/>
  <c r="CN674" i="9"/>
  <c r="CN675" i="9"/>
  <c r="CN676" i="9"/>
  <c r="CN677" i="9"/>
  <c r="CN678" i="9"/>
  <c r="CN679" i="9"/>
  <c r="CN680" i="9"/>
  <c r="CN681" i="9"/>
  <c r="CN682" i="9"/>
  <c r="CN683" i="9"/>
  <c r="CN684" i="9"/>
  <c r="CN685" i="9"/>
  <c r="CN686" i="9"/>
  <c r="CN687" i="9"/>
  <c r="CN688" i="9"/>
  <c r="CN689" i="9"/>
  <c r="CN690" i="9"/>
  <c r="CN691" i="9"/>
  <c r="CN692" i="9"/>
  <c r="CN693" i="9"/>
  <c r="CN694" i="9"/>
  <c r="CN695" i="9"/>
  <c r="CN696" i="9"/>
  <c r="CN697" i="9"/>
  <c r="CN698" i="9"/>
  <c r="CN699" i="9"/>
  <c r="CN700" i="9"/>
  <c r="CN701" i="9"/>
  <c r="CN702" i="9"/>
  <c r="CN703" i="9"/>
  <c r="CN704" i="9"/>
  <c r="CN705" i="9"/>
  <c r="CN706" i="9"/>
  <c r="CN707" i="9"/>
  <c r="CN708" i="9"/>
  <c r="CN709" i="9"/>
  <c r="CN710" i="9"/>
  <c r="CN711" i="9"/>
  <c r="CN712" i="9"/>
  <c r="CN713" i="9"/>
  <c r="CN714" i="9"/>
  <c r="CN715" i="9"/>
  <c r="CN716" i="9"/>
  <c r="CN717" i="9"/>
  <c r="CN718" i="9"/>
  <c r="CN719" i="9"/>
  <c r="CN720" i="9"/>
  <c r="CN721" i="9"/>
  <c r="CN722" i="9"/>
  <c r="CN723" i="9"/>
  <c r="CN724" i="9"/>
  <c r="CN725" i="9"/>
  <c r="CN726" i="9"/>
  <c r="CN727" i="9"/>
  <c r="CN728" i="9"/>
  <c r="CN729" i="9"/>
  <c r="CN730" i="9"/>
  <c r="CN731" i="9"/>
  <c r="CN732" i="9"/>
  <c r="CN733" i="9"/>
  <c r="CN734" i="9"/>
  <c r="CN735" i="9"/>
  <c r="CN736" i="9"/>
  <c r="CN737" i="9"/>
  <c r="CN738" i="9"/>
  <c r="CN739" i="9"/>
  <c r="CN740" i="9"/>
  <c r="CN741" i="9"/>
  <c r="CN742" i="9"/>
  <c r="CN743" i="9"/>
  <c r="CN744" i="9"/>
  <c r="CN745" i="9"/>
  <c r="CN746" i="9"/>
  <c r="CN747" i="9"/>
  <c r="CN748" i="9"/>
  <c r="CN749" i="9"/>
  <c r="CN750" i="9"/>
  <c r="CN751" i="9"/>
  <c r="CN752" i="9"/>
  <c r="CN753" i="9"/>
  <c r="CN754" i="9"/>
  <c r="CN755" i="9"/>
  <c r="CN756" i="9"/>
  <c r="CN757" i="9"/>
  <c r="CN758" i="9"/>
  <c r="CN759" i="9"/>
  <c r="CN760" i="9"/>
  <c r="CN761" i="9"/>
  <c r="CN762" i="9"/>
  <c r="CN763" i="9"/>
  <c r="CN764" i="9"/>
  <c r="CN765" i="9"/>
  <c r="CN766" i="9"/>
  <c r="CN767" i="9"/>
  <c r="CN768" i="9"/>
  <c r="CN769" i="9"/>
  <c r="CN770" i="9"/>
  <c r="CN771" i="9"/>
  <c r="CN772" i="9"/>
  <c r="CN773" i="9"/>
  <c r="CN774" i="9"/>
  <c r="CN775" i="9"/>
  <c r="CN776" i="9"/>
  <c r="CN777" i="9"/>
  <c r="CN778" i="9"/>
  <c r="CN779" i="9"/>
  <c r="CN780" i="9"/>
  <c r="CN781" i="9"/>
  <c r="CN782" i="9"/>
  <c r="CN783" i="9"/>
  <c r="CN784" i="9"/>
  <c r="CN785" i="9"/>
  <c r="CN786" i="9"/>
  <c r="CN787" i="9"/>
  <c r="CN788" i="9"/>
  <c r="CN789" i="9"/>
  <c r="CN790" i="9"/>
  <c r="CN791" i="9"/>
  <c r="CN792" i="9"/>
  <c r="CN793" i="9"/>
  <c r="CN794" i="9"/>
  <c r="CN795" i="9"/>
  <c r="CN796" i="9"/>
  <c r="CN797" i="9"/>
  <c r="CN798" i="9"/>
  <c r="CN799" i="9"/>
  <c r="CN800" i="9"/>
  <c r="CN801" i="9"/>
  <c r="CN802" i="9"/>
  <c r="CN803" i="9"/>
  <c r="CN804" i="9"/>
  <c r="CN805" i="9"/>
  <c r="CN806" i="9"/>
  <c r="CN807" i="9"/>
  <c r="CN808" i="9"/>
  <c r="CN809" i="9"/>
  <c r="CN810" i="9"/>
  <c r="CN811" i="9"/>
  <c r="CN812" i="9"/>
  <c r="CN813" i="9"/>
  <c r="CN814" i="9"/>
  <c r="CN815" i="9"/>
  <c r="CN816" i="9"/>
  <c r="CN817" i="9"/>
  <c r="CN818" i="9"/>
  <c r="CN819" i="9"/>
  <c r="CN820" i="9"/>
  <c r="CN821" i="9"/>
  <c r="CN822" i="9"/>
  <c r="CN823" i="9"/>
  <c r="CN824" i="9"/>
  <c r="CN825" i="9"/>
  <c r="CN826" i="9"/>
  <c r="CN827" i="9"/>
  <c r="CN828" i="9"/>
  <c r="CN829" i="9"/>
  <c r="CN830" i="9"/>
  <c r="CN831" i="9"/>
  <c r="CN832" i="9"/>
  <c r="CN833" i="9"/>
  <c r="CN834" i="9"/>
  <c r="CN835" i="9"/>
  <c r="CN836" i="9"/>
  <c r="CN837" i="9"/>
  <c r="CN838" i="9"/>
  <c r="CN839" i="9"/>
  <c r="CN840" i="9"/>
  <c r="CN841" i="9"/>
  <c r="CN842" i="9"/>
  <c r="CN843" i="9"/>
  <c r="CN844" i="9"/>
  <c r="CN845" i="9"/>
  <c r="CN846" i="9"/>
  <c r="CN847" i="9"/>
  <c r="CN848" i="9"/>
  <c r="CN849" i="9"/>
  <c r="CN850" i="9"/>
  <c r="CN851" i="9"/>
  <c r="CN852" i="9"/>
  <c r="CN853" i="9"/>
  <c r="CN854" i="9"/>
  <c r="CN855" i="9"/>
  <c r="CN856" i="9"/>
  <c r="CN857" i="9"/>
  <c r="CN858" i="9"/>
  <c r="CN859" i="9"/>
  <c r="CN860" i="9"/>
  <c r="CN861" i="9"/>
  <c r="CN862" i="9"/>
  <c r="CN863" i="9"/>
  <c r="CN864" i="9"/>
  <c r="CN865" i="9"/>
  <c r="CN866" i="9"/>
  <c r="CN867" i="9"/>
  <c r="CN868" i="9"/>
  <c r="CN869" i="9"/>
  <c r="CN870" i="9"/>
  <c r="CN871" i="9"/>
  <c r="CN872" i="9"/>
  <c r="CN873" i="9"/>
  <c r="CN874" i="9"/>
  <c r="CN875" i="9"/>
  <c r="CN876" i="9"/>
  <c r="CN877" i="9"/>
  <c r="CN878" i="9"/>
  <c r="CN879" i="9"/>
  <c r="CN880" i="9"/>
  <c r="CN881" i="9"/>
  <c r="CN882" i="9"/>
  <c r="CN883" i="9"/>
  <c r="CN884" i="9"/>
  <c r="CN885" i="9"/>
  <c r="CN886" i="9"/>
  <c r="CN887" i="9"/>
  <c r="CN888" i="9"/>
  <c r="CN889" i="9"/>
  <c r="CN890" i="9"/>
  <c r="CN891" i="9"/>
  <c r="CN892" i="9"/>
  <c r="CN893" i="9"/>
  <c r="CN894" i="9"/>
  <c r="CN895" i="9"/>
  <c r="CN896" i="9"/>
  <c r="CN897" i="9"/>
  <c r="CN898" i="9"/>
  <c r="CN899" i="9"/>
  <c r="CN900" i="9"/>
  <c r="CN901" i="9"/>
  <c r="CN902" i="9"/>
  <c r="CN903" i="9"/>
  <c r="CN904" i="9"/>
  <c r="CN905" i="9"/>
  <c r="CN906" i="9"/>
  <c r="CN907" i="9"/>
  <c r="CN908" i="9"/>
  <c r="CN909" i="9"/>
  <c r="CN910" i="9"/>
  <c r="CN911" i="9"/>
  <c r="CN912" i="9"/>
  <c r="CN913" i="9"/>
  <c r="CN914" i="9"/>
  <c r="CN915" i="9"/>
  <c r="CN916" i="9"/>
  <c r="CN917" i="9"/>
  <c r="CN918" i="9"/>
  <c r="CN919" i="9"/>
  <c r="CN920" i="9"/>
  <c r="CN921" i="9"/>
  <c r="CN922" i="9"/>
  <c r="CN923" i="9"/>
  <c r="CN924" i="9"/>
  <c r="CN925" i="9"/>
  <c r="CN926" i="9"/>
  <c r="CN927" i="9"/>
  <c r="CN928" i="9"/>
  <c r="CN929" i="9"/>
  <c r="CN930" i="9"/>
  <c r="CN931" i="9"/>
  <c r="CN932" i="9"/>
  <c r="CN933" i="9"/>
  <c r="CN934" i="9"/>
  <c r="CN935" i="9"/>
  <c r="CN936" i="9"/>
  <c r="CN937" i="9"/>
  <c r="CN938" i="9"/>
  <c r="CN939" i="9"/>
  <c r="CN940" i="9"/>
  <c r="CN941" i="9"/>
  <c r="CN942" i="9"/>
  <c r="CN943" i="9"/>
  <c r="CN944" i="9"/>
  <c r="CN945" i="9"/>
  <c r="CN946" i="9"/>
  <c r="CN947" i="9"/>
  <c r="CN948" i="9"/>
  <c r="CN949" i="9"/>
  <c r="CN950" i="9"/>
  <c r="CN951" i="9"/>
  <c r="CN952" i="9"/>
  <c r="CN953" i="9"/>
  <c r="CN954" i="9"/>
  <c r="CN955" i="9"/>
  <c r="CN956" i="9"/>
  <c r="CN957" i="9"/>
  <c r="CN958" i="9"/>
  <c r="CN959" i="9"/>
  <c r="CN960" i="9"/>
  <c r="CN961" i="9"/>
  <c r="CN962" i="9"/>
  <c r="CN963" i="9"/>
  <c r="CN964" i="9"/>
  <c r="CN965" i="9"/>
  <c r="CN966" i="9"/>
  <c r="CN967" i="9"/>
  <c r="CN968" i="9"/>
  <c r="CN969" i="9"/>
  <c r="CN970" i="9"/>
  <c r="CN971" i="9"/>
  <c r="CN972" i="9"/>
  <c r="CN973" i="9"/>
  <c r="CN974" i="9"/>
  <c r="CN975" i="9"/>
  <c r="CN976" i="9"/>
  <c r="CN977" i="9"/>
  <c r="CN978" i="9"/>
  <c r="CN979" i="9"/>
  <c r="CN980" i="9"/>
  <c r="CN981" i="9"/>
  <c r="CN982" i="9"/>
  <c r="CN983" i="9"/>
  <c r="CN984" i="9"/>
  <c r="CN985" i="9"/>
  <c r="CN986" i="9"/>
  <c r="CN987" i="9"/>
  <c r="CN988" i="9"/>
  <c r="CN989" i="9"/>
  <c r="CN990" i="9"/>
  <c r="CN991" i="9"/>
  <c r="CN992" i="9"/>
  <c r="CN993" i="9"/>
  <c r="CN994" i="9"/>
  <c r="CN995" i="9"/>
  <c r="CN996" i="9"/>
  <c r="CN997" i="9"/>
  <c r="CN998" i="9"/>
  <c r="CN999" i="9"/>
  <c r="CN1000" i="9"/>
  <c r="CN1001" i="9"/>
  <c r="CN1002" i="9"/>
  <c r="CN1003" i="9"/>
  <c r="CN1004" i="9"/>
  <c r="CN1005" i="9"/>
  <c r="CN1006" i="9"/>
  <c r="CN1007" i="9"/>
  <c r="CN1008" i="9"/>
  <c r="CN1009" i="9"/>
  <c r="CN1010" i="9"/>
  <c r="CN1011" i="9"/>
  <c r="CN1012" i="9"/>
  <c r="CN1013" i="9"/>
  <c r="CN1014" i="9"/>
  <c r="CN1015" i="9"/>
  <c r="CN1016" i="9"/>
  <c r="CN1017" i="9"/>
  <c r="CN1018" i="9"/>
  <c r="CN1019" i="9"/>
  <c r="CN1020" i="9"/>
  <c r="CN1021" i="9"/>
  <c r="CN1022" i="9"/>
  <c r="CN1023" i="9"/>
  <c r="CN1024" i="9"/>
  <c r="CN1025" i="9"/>
  <c r="CN1026" i="9"/>
  <c r="CN1027" i="9"/>
  <c r="CN1028" i="9"/>
  <c r="CN1029" i="9"/>
  <c r="CN1030" i="9"/>
  <c r="CN1031" i="9"/>
  <c r="CN1032" i="9"/>
  <c r="CN1033" i="9"/>
  <c r="CN1034" i="9"/>
  <c r="CN1035" i="9"/>
  <c r="CN1036" i="9"/>
  <c r="CN1037" i="9"/>
  <c r="CN1038" i="9"/>
  <c r="CN1039" i="9"/>
  <c r="CN1040" i="9"/>
  <c r="CN1041" i="9"/>
  <c r="CN1042" i="9"/>
  <c r="CN1043" i="9"/>
  <c r="CN1044" i="9"/>
  <c r="CN1045" i="9"/>
  <c r="CN1046" i="9"/>
  <c r="CN1047" i="9"/>
  <c r="CN1048" i="9"/>
  <c r="CN1049" i="9"/>
  <c r="CN1050" i="9"/>
  <c r="CN1051" i="9"/>
  <c r="CN1052" i="9"/>
  <c r="CN1053" i="9"/>
  <c r="CN1054" i="9"/>
  <c r="CN1055" i="9"/>
  <c r="CN1056" i="9"/>
  <c r="CN1057" i="9"/>
  <c r="CN1058" i="9"/>
  <c r="CN1059" i="9"/>
  <c r="CN1060" i="9"/>
  <c r="CN1061" i="9"/>
  <c r="CN1062" i="9"/>
  <c r="CN1063" i="9"/>
  <c r="CN1064" i="9"/>
  <c r="CN1065" i="9"/>
  <c r="CN1066" i="9"/>
  <c r="CN1067" i="9"/>
  <c r="CN1068" i="9"/>
  <c r="CN1069" i="9"/>
  <c r="CN1070" i="9"/>
  <c r="CN1071" i="9"/>
  <c r="CN1072" i="9"/>
  <c r="CN1073" i="9"/>
  <c r="CN1074" i="9"/>
  <c r="CN1075" i="9"/>
  <c r="CN1076" i="9"/>
  <c r="CN1077" i="9"/>
  <c r="CN1078" i="9"/>
  <c r="CN1079" i="9"/>
  <c r="CN1080" i="9"/>
  <c r="CN1081" i="9"/>
  <c r="CN1082" i="9"/>
  <c r="CN1083" i="9"/>
  <c r="CN1084" i="9"/>
  <c r="CN1085" i="9"/>
  <c r="CN1086" i="9"/>
  <c r="CN1087" i="9"/>
  <c r="CN1088" i="9"/>
  <c r="CN1089" i="9"/>
  <c r="CN1090" i="9"/>
  <c r="CN1091" i="9"/>
  <c r="CN1092" i="9"/>
  <c r="CN1093" i="9"/>
  <c r="CN1094" i="9"/>
  <c r="CN1095" i="9"/>
  <c r="CN1096" i="9"/>
  <c r="CN1097" i="9"/>
  <c r="CN1098" i="9"/>
  <c r="CN1099" i="9"/>
  <c r="CN1100" i="9"/>
  <c r="CN1101" i="9"/>
  <c r="CN1102" i="9"/>
  <c r="CN1103" i="9"/>
  <c r="CN1104" i="9"/>
  <c r="CN1105" i="9"/>
  <c r="CN1106" i="9"/>
  <c r="CN1107" i="9"/>
  <c r="CN1108" i="9"/>
  <c r="CN1109" i="9"/>
  <c r="CN1110" i="9"/>
  <c r="CN1111" i="9"/>
  <c r="CN1112" i="9"/>
  <c r="CN1113" i="9"/>
  <c r="CN1114" i="9"/>
  <c r="CN1115" i="9"/>
  <c r="CN1116" i="9"/>
  <c r="CN1117" i="9"/>
  <c r="CN1118" i="9"/>
  <c r="CN1119" i="9"/>
  <c r="CN1120" i="9"/>
  <c r="CN1121" i="9"/>
  <c r="CN1122" i="9"/>
  <c r="CN1123" i="9"/>
  <c r="CN1124" i="9"/>
  <c r="CN1125" i="9"/>
  <c r="CN1126" i="9"/>
  <c r="CN1127" i="9"/>
  <c r="CN1128" i="9"/>
  <c r="CN1129" i="9"/>
  <c r="CN1130" i="9"/>
  <c r="CN1131" i="9"/>
  <c r="CN1132" i="9"/>
  <c r="CN1133" i="9"/>
  <c r="CN1134" i="9"/>
  <c r="CN1135" i="9"/>
  <c r="CN1136" i="9"/>
  <c r="CN1137" i="9"/>
  <c r="CN1138" i="9"/>
  <c r="CN1139" i="9"/>
  <c r="CN1140" i="9"/>
  <c r="CN1141" i="9"/>
  <c r="CN1142" i="9"/>
  <c r="CN1143" i="9"/>
  <c r="CN1144" i="9"/>
  <c r="CN1145" i="9"/>
  <c r="CN1146" i="9"/>
  <c r="CN1147" i="9"/>
  <c r="CN1148" i="9"/>
  <c r="CN1149" i="9"/>
  <c r="CN1150" i="9"/>
  <c r="CN1151" i="9"/>
  <c r="CN1152" i="9"/>
  <c r="CN1153" i="9"/>
  <c r="CN1154" i="9"/>
  <c r="CN1155" i="9"/>
  <c r="CN1156" i="9"/>
  <c r="CN1157" i="9"/>
  <c r="CN1158" i="9"/>
  <c r="CN1159" i="9"/>
  <c r="CN1160" i="9"/>
  <c r="CN1161" i="9"/>
  <c r="CN1162" i="9"/>
  <c r="CN1163" i="9"/>
  <c r="CN1164" i="9"/>
  <c r="CN1165" i="9"/>
  <c r="CN1166" i="9"/>
  <c r="CN1167" i="9"/>
  <c r="CN1168" i="9"/>
  <c r="CN1169" i="9"/>
  <c r="CN1170" i="9"/>
  <c r="CN1171" i="9"/>
  <c r="CN1172" i="9"/>
  <c r="CN1173" i="9"/>
  <c r="CN1174" i="9"/>
  <c r="CN1175" i="9"/>
  <c r="CN1176" i="9"/>
  <c r="CN1177" i="9"/>
  <c r="CN1178" i="9"/>
  <c r="CN1179" i="9"/>
  <c r="CN1180" i="9"/>
  <c r="CN1181" i="9"/>
  <c r="CN1182" i="9"/>
  <c r="CN1183" i="9"/>
  <c r="CN1184" i="9"/>
  <c r="CN1185" i="9"/>
  <c r="CN1186" i="9"/>
  <c r="CN1187" i="9"/>
  <c r="CN1188" i="9"/>
  <c r="CN1189" i="9"/>
  <c r="CN1190" i="9"/>
  <c r="CN1191" i="9"/>
  <c r="CN1192" i="9"/>
  <c r="CN1193" i="9"/>
  <c r="CN1194" i="9"/>
  <c r="CN1195" i="9"/>
  <c r="CN1196" i="9"/>
  <c r="CN1197" i="9"/>
  <c r="CN1198" i="9"/>
  <c r="CN1199" i="9"/>
  <c r="CN1200" i="9"/>
  <c r="CN1201" i="9"/>
  <c r="CN1202" i="9"/>
  <c r="CN1203" i="9"/>
  <c r="CN1204" i="9"/>
  <c r="CN1205" i="9"/>
  <c r="CN1206" i="9"/>
  <c r="CN1207" i="9"/>
  <c r="CN1208" i="9"/>
  <c r="CN1209" i="9"/>
  <c r="CN1210" i="9"/>
  <c r="CN1211" i="9"/>
  <c r="CN1212" i="9"/>
  <c r="CN1213" i="9"/>
  <c r="CN1214" i="9"/>
  <c r="CN1215" i="9"/>
  <c r="CN1216" i="9"/>
  <c r="CN1217" i="9"/>
  <c r="CN1218" i="9"/>
  <c r="CN1219" i="9"/>
  <c r="CN1220" i="9"/>
  <c r="CN1221" i="9"/>
  <c r="CN1222" i="9"/>
  <c r="CN1223" i="9"/>
  <c r="CN1224" i="9"/>
  <c r="CN1225" i="9"/>
  <c r="CN1226" i="9"/>
  <c r="CN1227" i="9"/>
  <c r="CN1228" i="9"/>
  <c r="CN1229" i="9"/>
  <c r="CN1230" i="9"/>
  <c r="CN1231" i="9"/>
  <c r="CN1232" i="9"/>
  <c r="CN1233" i="9"/>
  <c r="CN1234" i="9"/>
  <c r="CN1235" i="9"/>
  <c r="CN1236" i="9"/>
  <c r="CN1237" i="9"/>
  <c r="CN1238" i="9"/>
  <c r="CN1239" i="9"/>
  <c r="CN1240" i="9"/>
  <c r="CN1241" i="9"/>
  <c r="CN1242" i="9"/>
  <c r="CN1243" i="9"/>
  <c r="CN1244" i="9"/>
  <c r="CN1245" i="9"/>
  <c r="CN1246" i="9"/>
  <c r="CN1247" i="9"/>
  <c r="CN1248" i="9"/>
  <c r="CN1249" i="9"/>
  <c r="CN1250" i="9"/>
  <c r="CN1251" i="9"/>
  <c r="CN1252" i="9"/>
  <c r="CN1253" i="9"/>
  <c r="CN1254" i="9"/>
  <c r="CN1255" i="9"/>
  <c r="CN1256" i="9"/>
  <c r="CN1257" i="9"/>
  <c r="CN1258" i="9"/>
  <c r="CN1259" i="9"/>
  <c r="CN1260" i="9"/>
  <c r="CN1261" i="9"/>
  <c r="CN1262" i="9"/>
  <c r="CN1263" i="9"/>
  <c r="CN1264" i="9"/>
  <c r="CN1265" i="9"/>
  <c r="CN1266" i="9"/>
  <c r="CN1267" i="9"/>
  <c r="CN1268" i="9"/>
  <c r="CN1269" i="9"/>
  <c r="CN1270" i="9"/>
  <c r="CN1271" i="9"/>
  <c r="CN1272" i="9"/>
  <c r="CN1273" i="9"/>
  <c r="CN1274" i="9"/>
  <c r="CN1275" i="9"/>
  <c r="CN1276" i="9"/>
  <c r="CN1277" i="9"/>
  <c r="CN1278" i="9"/>
  <c r="CN1279" i="9"/>
  <c r="CN1280" i="9"/>
  <c r="CN1281" i="9"/>
  <c r="CN1282" i="9"/>
  <c r="CN1283" i="9"/>
  <c r="CN1284" i="9"/>
  <c r="CN1285" i="9"/>
  <c r="CN1286" i="9"/>
  <c r="CN1287" i="9"/>
  <c r="CN1288" i="9"/>
  <c r="CN1289" i="9"/>
  <c r="CN1290" i="9"/>
  <c r="CN1291" i="9"/>
  <c r="CN1292" i="9"/>
  <c r="CN1293" i="9"/>
  <c r="CN1294" i="9"/>
  <c r="CN1295" i="9"/>
  <c r="CN1296" i="9"/>
  <c r="CN1297" i="9"/>
  <c r="CN1298" i="9"/>
  <c r="CN1299" i="9"/>
  <c r="CN1300" i="9"/>
  <c r="CN1301" i="9"/>
  <c r="CN1302" i="9"/>
  <c r="CN1303" i="9"/>
  <c r="CN1304" i="9"/>
  <c r="CN1305" i="9"/>
  <c r="CN1306" i="9"/>
  <c r="CN1307" i="9"/>
  <c r="CN1308" i="9"/>
  <c r="CN1309" i="9"/>
  <c r="CN1310" i="9"/>
  <c r="CN1311" i="9"/>
  <c r="CN1312" i="9"/>
  <c r="CN1313" i="9"/>
  <c r="CN1314" i="9"/>
  <c r="CN1315" i="9"/>
  <c r="CN1316" i="9"/>
  <c r="CN1317" i="9"/>
  <c r="CN1318" i="9"/>
  <c r="CN1319" i="9"/>
  <c r="CN1320" i="9"/>
  <c r="CN1321" i="9"/>
  <c r="CN1322" i="9"/>
  <c r="CN1323" i="9"/>
  <c r="CN1324" i="9"/>
  <c r="CN1325" i="9"/>
  <c r="CN1326" i="9"/>
  <c r="CN1327" i="9"/>
  <c r="CN1328" i="9"/>
  <c r="CN1329" i="9"/>
  <c r="CN1330" i="9"/>
  <c r="CN1331" i="9"/>
  <c r="CN1332" i="9"/>
  <c r="CN1333" i="9"/>
  <c r="CN1334" i="9"/>
  <c r="CN1335" i="9"/>
  <c r="CN1336" i="9"/>
  <c r="CN1337" i="9"/>
  <c r="CN1338" i="9"/>
  <c r="CN1339" i="9"/>
  <c r="CN1340" i="9"/>
  <c r="CN1341" i="9"/>
  <c r="CN1342" i="9"/>
  <c r="CN1343" i="9"/>
  <c r="CN1344" i="9"/>
  <c r="CN1345" i="9"/>
  <c r="CN1346" i="9"/>
  <c r="CN1347" i="9"/>
  <c r="CN1348" i="9"/>
  <c r="CN1349" i="9"/>
  <c r="CN1350" i="9"/>
  <c r="CN1351" i="9"/>
  <c r="CN1352" i="9"/>
  <c r="CN1353" i="9"/>
  <c r="CN1354" i="9"/>
  <c r="CN1355" i="9"/>
  <c r="CN1356" i="9"/>
  <c r="CN1357" i="9"/>
  <c r="CN1358" i="9"/>
  <c r="CN1359" i="9"/>
  <c r="CN1360" i="9"/>
  <c r="CN1361" i="9"/>
  <c r="CN1362" i="9"/>
  <c r="CN1363" i="9"/>
  <c r="CN1364" i="9"/>
  <c r="CN1365" i="9"/>
  <c r="CN1366" i="9"/>
  <c r="CN1367" i="9"/>
  <c r="CN1368" i="9"/>
  <c r="CN1369" i="9"/>
  <c r="CN1370" i="9"/>
  <c r="CN1371" i="9"/>
  <c r="CN1372" i="9"/>
  <c r="CN1373" i="9"/>
  <c r="CN1374" i="9"/>
  <c r="CN1375" i="9"/>
  <c r="CN1376" i="9"/>
  <c r="CN1377" i="9"/>
  <c r="CN1378" i="9"/>
  <c r="CN1379" i="9"/>
  <c r="CN1380" i="9"/>
  <c r="CN1381" i="9"/>
  <c r="CN1382" i="9"/>
  <c r="CN1383" i="9"/>
  <c r="CN1384" i="9"/>
  <c r="CN1385" i="9"/>
  <c r="CN1386" i="9"/>
  <c r="CN1387" i="9"/>
  <c r="CN1388" i="9"/>
  <c r="CN1389" i="9"/>
  <c r="CN1390" i="9"/>
  <c r="CN1391" i="9"/>
  <c r="CN1392" i="9"/>
  <c r="CN1393" i="9"/>
  <c r="CN1394" i="9"/>
  <c r="CN1395" i="9"/>
  <c r="CN1396" i="9"/>
  <c r="CN1397" i="9"/>
  <c r="CN1398" i="9"/>
  <c r="CN1399" i="9"/>
  <c r="CN1400" i="9"/>
  <c r="CN1401" i="9"/>
  <c r="CN1402" i="9"/>
  <c r="CN1403" i="9"/>
  <c r="CN1404" i="9"/>
  <c r="CN1405" i="9"/>
  <c r="CN1406" i="9"/>
  <c r="CN1407" i="9"/>
  <c r="CN1408" i="9"/>
  <c r="CN1409" i="9"/>
  <c r="CN1410" i="9"/>
  <c r="CN1411" i="9"/>
  <c r="CN1412" i="9"/>
  <c r="CN1413" i="9"/>
  <c r="CN1414" i="9"/>
  <c r="CN1415" i="9"/>
  <c r="CN1416" i="9"/>
  <c r="CN1417" i="9"/>
  <c r="CN1418" i="9"/>
  <c r="CN1419" i="9"/>
  <c r="CN1420" i="9"/>
  <c r="CN1421" i="9"/>
  <c r="CN1422" i="9"/>
  <c r="CN1423" i="9"/>
  <c r="CN1424" i="9"/>
  <c r="CN1425" i="9"/>
  <c r="CN1426" i="9"/>
  <c r="CN1427" i="9"/>
  <c r="CN1428" i="9"/>
  <c r="CN1429" i="9"/>
  <c r="CN1430" i="9"/>
  <c r="CN1431" i="9"/>
  <c r="CN1432" i="9"/>
  <c r="CN1433" i="9"/>
  <c r="CN1434" i="9"/>
  <c r="CN1435" i="9"/>
  <c r="CN1436" i="9"/>
  <c r="CN1437" i="9"/>
  <c r="CN1438" i="9"/>
  <c r="CN1439" i="9"/>
  <c r="CN1440" i="9"/>
  <c r="CN1441" i="9"/>
  <c r="CN1442" i="9"/>
  <c r="CN1443" i="9"/>
  <c r="CN1444" i="9"/>
  <c r="CN1445" i="9"/>
  <c r="CN1446" i="9"/>
  <c r="CN1447" i="9"/>
  <c r="CN1448" i="9"/>
  <c r="CN1449" i="9"/>
  <c r="CN1450" i="9"/>
  <c r="CN1451" i="9"/>
  <c r="CN1452" i="9"/>
  <c r="CN1453" i="9"/>
  <c r="CN1454" i="9"/>
  <c r="CN1455" i="9"/>
  <c r="CN1456" i="9"/>
  <c r="CN1457" i="9"/>
  <c r="CN1458" i="9"/>
  <c r="CN1459" i="9"/>
  <c r="CN1460" i="9"/>
  <c r="CN1461" i="9"/>
  <c r="CN1462" i="9"/>
  <c r="CN1463" i="9"/>
  <c r="CN1464" i="9"/>
  <c r="CN1465" i="9"/>
  <c r="CN1466" i="9"/>
  <c r="CN1467" i="9"/>
  <c r="CN1468" i="9"/>
  <c r="CN1469" i="9"/>
  <c r="CN1470" i="9"/>
  <c r="CN1471" i="9"/>
  <c r="CN1472" i="9"/>
  <c r="CN1473" i="9"/>
  <c r="CN1474" i="9"/>
  <c r="CN1475" i="9"/>
  <c r="CN1476" i="9"/>
  <c r="CN1477" i="9"/>
  <c r="CN1478" i="9"/>
  <c r="CN1479" i="9"/>
  <c r="CN1480" i="9"/>
  <c r="CN1481" i="9"/>
  <c r="CN1482" i="9"/>
  <c r="CN1483" i="9"/>
  <c r="CN1484" i="9"/>
  <c r="CN1485" i="9"/>
  <c r="CN1486" i="9"/>
  <c r="CN1487" i="9"/>
  <c r="CN1488" i="9"/>
  <c r="CN1489" i="9"/>
  <c r="CN1490" i="9"/>
  <c r="CN1491" i="9"/>
  <c r="CN1492" i="9"/>
  <c r="CN1493" i="9"/>
  <c r="CN1494" i="9"/>
  <c r="CN1495" i="9"/>
  <c r="CN1496" i="9"/>
  <c r="CN1497" i="9"/>
  <c r="CN1498" i="9"/>
  <c r="CN1499" i="9"/>
  <c r="CN1500" i="9"/>
  <c r="CN1501" i="9"/>
  <c r="CN1502" i="9"/>
  <c r="CN1503" i="9"/>
  <c r="CN1504" i="9"/>
  <c r="CN1505" i="9"/>
  <c r="CN1506" i="9"/>
  <c r="CN1507" i="9"/>
  <c r="CN1508" i="9"/>
  <c r="CN1509" i="9"/>
  <c r="CN1510" i="9"/>
  <c r="CN1511" i="9"/>
  <c r="CN1512" i="9"/>
  <c r="CN1513" i="9"/>
  <c r="CN1514" i="9"/>
  <c r="CN1515" i="9"/>
  <c r="CN1516" i="9"/>
  <c r="CN1517" i="9"/>
  <c r="CN1518" i="9"/>
  <c r="CN1519" i="9"/>
  <c r="CN1520" i="9"/>
  <c r="CN1521" i="9"/>
  <c r="CN1522" i="9"/>
  <c r="CN1523" i="9"/>
  <c r="CN1524" i="9"/>
  <c r="CN1525" i="9"/>
  <c r="CN1526" i="9"/>
  <c r="CN1527" i="9"/>
  <c r="CN1528" i="9"/>
  <c r="CN1529" i="9"/>
  <c r="CN1530" i="9"/>
  <c r="CN1531" i="9"/>
  <c r="CN1532" i="9"/>
  <c r="CN1533" i="9"/>
  <c r="CN1534" i="9"/>
  <c r="CN1535" i="9"/>
  <c r="CN1536" i="9"/>
  <c r="CN1537" i="9"/>
  <c r="CN1538" i="9"/>
  <c r="CN1539" i="9"/>
  <c r="CN1540" i="9"/>
  <c r="CN1541" i="9"/>
  <c r="CN1542" i="9"/>
  <c r="CN1543" i="9"/>
  <c r="CN1544" i="9"/>
  <c r="CN1545" i="9"/>
  <c r="CN1546" i="9"/>
  <c r="CN1547" i="9"/>
  <c r="CN1548" i="9"/>
  <c r="CN1549" i="9"/>
  <c r="CN1550" i="9"/>
  <c r="CN1551" i="9"/>
  <c r="CN1552" i="9"/>
  <c r="CN1553" i="9"/>
  <c r="CN1554" i="9"/>
  <c r="CN1555" i="9"/>
  <c r="CN1556" i="9"/>
  <c r="CN1557" i="9"/>
  <c r="CN1558" i="9"/>
  <c r="CN1559" i="9"/>
  <c r="CN1560" i="9"/>
  <c r="CN1561" i="9"/>
  <c r="CN1562" i="9"/>
  <c r="CN1563" i="9"/>
  <c r="CN1564" i="9"/>
  <c r="CN1565" i="9"/>
  <c r="CN1566" i="9"/>
  <c r="CN1567" i="9"/>
  <c r="CN1568" i="9"/>
  <c r="CN1569" i="9"/>
  <c r="CN1570" i="9"/>
  <c r="CN1571" i="9"/>
  <c r="CN1572" i="9"/>
  <c r="CN1573" i="9"/>
  <c r="CN1574" i="9"/>
  <c r="CN1575" i="9"/>
  <c r="CN1576" i="9"/>
  <c r="CN1577" i="9"/>
  <c r="CN1578" i="9"/>
  <c r="CN1579" i="9"/>
  <c r="CN1580" i="9"/>
  <c r="CN1581" i="9"/>
  <c r="CN1582" i="9"/>
  <c r="CN1583" i="9"/>
  <c r="CN1584" i="9"/>
  <c r="CN1585" i="9"/>
  <c r="CN1586" i="9"/>
  <c r="CN1587" i="9"/>
  <c r="CN1588" i="9"/>
  <c r="CN1589" i="9"/>
  <c r="CN1590" i="9"/>
  <c r="CN1591" i="9"/>
  <c r="CN1592" i="9"/>
  <c r="CN1593" i="9"/>
  <c r="CN1594" i="9"/>
  <c r="CN1595" i="9"/>
  <c r="CN1596" i="9"/>
  <c r="CN1597" i="9"/>
  <c r="CN1598" i="9"/>
  <c r="CN1599" i="9"/>
  <c r="CN1600" i="9"/>
  <c r="CN1601" i="9"/>
  <c r="CN1602" i="9"/>
  <c r="CN1603" i="9"/>
  <c r="CN1604" i="9"/>
  <c r="CN1605" i="9"/>
  <c r="CN1606" i="9"/>
  <c r="CN1607" i="9"/>
  <c r="CN1608" i="9"/>
  <c r="CN1609" i="9"/>
  <c r="CN1610" i="9"/>
  <c r="CN1611" i="9"/>
  <c r="CN1612" i="9"/>
  <c r="CN1613" i="9"/>
  <c r="CN1614" i="9"/>
  <c r="CN1615" i="9"/>
  <c r="CN1616" i="9"/>
  <c r="CN1617" i="9"/>
  <c r="CN1618" i="9"/>
  <c r="CN1619" i="9"/>
  <c r="CN1620" i="9"/>
  <c r="CN1621" i="9"/>
  <c r="CN1622" i="9"/>
  <c r="CN1623" i="9"/>
  <c r="CN1624" i="9"/>
  <c r="CN1625" i="9"/>
  <c r="CN1626" i="9"/>
  <c r="CN1627" i="9"/>
  <c r="CN1628" i="9"/>
  <c r="CN1629" i="9"/>
  <c r="CN1630" i="9"/>
  <c r="CN1631" i="9"/>
  <c r="CN1632" i="9"/>
  <c r="CN1633" i="9"/>
  <c r="CN1634" i="9"/>
  <c r="CN1635" i="9"/>
  <c r="CN1636" i="9"/>
  <c r="CN1637" i="9"/>
  <c r="CN1638" i="9"/>
  <c r="CN1639" i="9"/>
  <c r="CN1640" i="9"/>
  <c r="CN1641" i="9"/>
  <c r="CN1642" i="9"/>
  <c r="CN1643" i="9"/>
  <c r="CN1644" i="9"/>
  <c r="CN1645" i="9"/>
  <c r="CN1646" i="9"/>
  <c r="CN1647" i="9"/>
  <c r="CN1648" i="9"/>
  <c r="CN1649" i="9"/>
  <c r="CN1650" i="9"/>
  <c r="CN1651" i="9"/>
  <c r="CN1652" i="9"/>
  <c r="CN1653" i="9"/>
  <c r="CN1654" i="9"/>
  <c r="CN1655" i="9"/>
  <c r="CN1656" i="9"/>
  <c r="CN1657" i="9"/>
  <c r="CN1658" i="9"/>
  <c r="CN1659" i="9"/>
  <c r="CN1660" i="9"/>
  <c r="CN1661" i="9"/>
  <c r="CN1662" i="9"/>
  <c r="CN1663" i="9"/>
  <c r="CN1664" i="9"/>
  <c r="CN1665" i="9"/>
  <c r="CN1666" i="9"/>
  <c r="CN1667" i="9"/>
  <c r="CN1668" i="9"/>
  <c r="CN1669" i="9"/>
  <c r="CN1670" i="9"/>
  <c r="CN1671" i="9"/>
  <c r="CN1672" i="9"/>
  <c r="CN1673" i="9"/>
  <c r="CN1674" i="9"/>
  <c r="CN1675" i="9"/>
  <c r="CN1676" i="9"/>
  <c r="CN1677" i="9"/>
  <c r="CN1678" i="9"/>
  <c r="CN1679" i="9"/>
  <c r="CN1680" i="9"/>
  <c r="CN1681" i="9"/>
  <c r="CN1682" i="9"/>
  <c r="CN1683" i="9"/>
  <c r="CN1684" i="9"/>
  <c r="CN1685" i="9"/>
  <c r="CN1686" i="9"/>
  <c r="CN1687" i="9"/>
  <c r="CN1688" i="9"/>
  <c r="CN1689" i="9"/>
  <c r="CN1690" i="9"/>
  <c r="CN1691" i="9"/>
  <c r="CN1692" i="9"/>
  <c r="CN1693" i="9"/>
  <c r="CN1694" i="9"/>
  <c r="CN1695" i="9"/>
  <c r="CN1696" i="9"/>
  <c r="CN1697" i="9"/>
  <c r="CN1698" i="9"/>
  <c r="CN1699" i="9"/>
  <c r="CN1700" i="9"/>
  <c r="CN1701" i="9"/>
  <c r="CN1702" i="9"/>
  <c r="CN1703" i="9"/>
  <c r="CN1704" i="9"/>
  <c r="CN1705" i="9"/>
  <c r="CN1706" i="9"/>
  <c r="CN1707" i="9"/>
  <c r="CN1708" i="9"/>
  <c r="CN1709" i="9"/>
  <c r="CN1710" i="9"/>
  <c r="CN1711" i="9"/>
  <c r="CN1712" i="9"/>
  <c r="CN1713" i="9"/>
  <c r="CN1714" i="9"/>
  <c r="CN1715" i="9"/>
  <c r="CN1716" i="9"/>
  <c r="CN1717" i="9"/>
  <c r="CN1718" i="9"/>
  <c r="CN1719" i="9"/>
  <c r="CN1720" i="9"/>
  <c r="CN1721" i="9"/>
  <c r="CN1722" i="9"/>
  <c r="CN1723" i="9"/>
  <c r="CN1724" i="9"/>
  <c r="CN1725" i="9"/>
  <c r="CN1726" i="9"/>
  <c r="CN1727" i="9"/>
  <c r="CN1728" i="9"/>
  <c r="CN1729" i="9"/>
  <c r="CN1730" i="9"/>
  <c r="CN1731" i="9"/>
  <c r="CN1732" i="9"/>
  <c r="CN1733" i="9"/>
  <c r="CN1734" i="9"/>
  <c r="CN1735" i="9"/>
  <c r="CN1736" i="9"/>
  <c r="CN1737" i="9"/>
  <c r="CN1738" i="9"/>
  <c r="CN1739" i="9"/>
  <c r="CN1740" i="9"/>
  <c r="CN1741" i="9"/>
  <c r="CN1742" i="9"/>
  <c r="CN1743" i="9"/>
  <c r="CN1744" i="9"/>
  <c r="CN1745" i="9"/>
  <c r="CN1746" i="9"/>
  <c r="CN1747" i="9"/>
  <c r="CN1748" i="9"/>
  <c r="CN1749" i="9"/>
  <c r="CN1750" i="9"/>
  <c r="CN1751" i="9"/>
  <c r="CN1752" i="9"/>
  <c r="CN1753" i="9"/>
  <c r="CN1754" i="9"/>
  <c r="CN1755" i="9"/>
  <c r="CN1756" i="9"/>
  <c r="CN1757" i="9"/>
  <c r="CN1758" i="9"/>
  <c r="CN1759" i="9"/>
  <c r="CN1760" i="9"/>
  <c r="CN1761" i="9"/>
  <c r="CN1762" i="9"/>
  <c r="CN1763" i="9"/>
  <c r="CN1764" i="9"/>
  <c r="CN1765" i="9"/>
  <c r="CN1766" i="9"/>
  <c r="CN1767" i="9"/>
  <c r="CN1768" i="9"/>
  <c r="CN1769" i="9"/>
  <c r="CN1770" i="9"/>
  <c r="CN1771" i="9"/>
  <c r="CN1772" i="9"/>
  <c r="CN1773" i="9"/>
  <c r="CN1774" i="9"/>
  <c r="CN1775" i="9"/>
  <c r="CN1776" i="9"/>
  <c r="CN1777" i="9"/>
  <c r="CN1778" i="9"/>
  <c r="CN1779" i="9"/>
  <c r="CN1780" i="9"/>
  <c r="CN1781" i="9"/>
  <c r="CN1782" i="9"/>
  <c r="CN1783" i="9"/>
  <c r="CN1784" i="9"/>
  <c r="CN1785" i="9"/>
  <c r="CN1786" i="9"/>
  <c r="CN1787" i="9"/>
  <c r="CN1788" i="9"/>
  <c r="CN1789" i="9"/>
  <c r="CN1790" i="9"/>
  <c r="CN1791" i="9"/>
  <c r="CN1792" i="9"/>
  <c r="CN1793" i="9"/>
  <c r="CN1794" i="9"/>
  <c r="CN1795" i="9"/>
  <c r="CN1796" i="9"/>
  <c r="CN1797" i="9"/>
  <c r="CN1798" i="9"/>
  <c r="CN1799" i="9"/>
  <c r="CN1800" i="9"/>
  <c r="CN1801" i="9"/>
  <c r="CN1802" i="9"/>
  <c r="CN1803" i="9"/>
  <c r="CN1804" i="9"/>
  <c r="CN1805" i="9"/>
  <c r="CN1806" i="9"/>
  <c r="CN1807" i="9"/>
  <c r="CN1808" i="9"/>
  <c r="CN1809" i="9"/>
  <c r="CN1810" i="9"/>
  <c r="CN1811" i="9"/>
  <c r="CN1812" i="9"/>
  <c r="CN1813" i="9"/>
  <c r="CN1814" i="9"/>
  <c r="CN1815" i="9"/>
  <c r="CN1816" i="9"/>
  <c r="CN1817" i="9"/>
  <c r="CN1818" i="9"/>
  <c r="CN1819" i="9"/>
  <c r="CN1820" i="9"/>
  <c r="CN1821" i="9"/>
  <c r="CN1822" i="9"/>
  <c r="CN1823" i="9"/>
  <c r="CN1824" i="9"/>
  <c r="CN1825" i="9"/>
  <c r="CN1826" i="9"/>
  <c r="CN1827" i="9"/>
  <c r="CN1828" i="9"/>
  <c r="CN1829" i="9"/>
  <c r="CN1830" i="9"/>
  <c r="CN1831" i="9"/>
  <c r="CN1832" i="9"/>
  <c r="CN1833" i="9"/>
  <c r="CN1834" i="9"/>
  <c r="CN1835" i="9"/>
  <c r="CN1836" i="9"/>
  <c r="CN1837" i="9"/>
  <c r="CN1838" i="9"/>
  <c r="CN1839" i="9"/>
  <c r="CN1840" i="9"/>
  <c r="CN1841" i="9"/>
  <c r="CN1842" i="9"/>
  <c r="CN1843" i="9"/>
  <c r="CN1844" i="9"/>
  <c r="CN1845" i="9"/>
  <c r="CN1846" i="9"/>
  <c r="CN1847" i="9"/>
  <c r="CN1848" i="9"/>
  <c r="CN1849" i="9"/>
  <c r="CN1850" i="9"/>
  <c r="CN1851" i="9"/>
  <c r="CN1852" i="9"/>
  <c r="CN1853" i="9"/>
  <c r="CN1854" i="9"/>
  <c r="CN1855" i="9"/>
  <c r="CN1856" i="9"/>
  <c r="CN1857" i="9"/>
  <c r="CN1858" i="9"/>
  <c r="CN1859" i="9"/>
  <c r="CN1860" i="9"/>
  <c r="CN1861" i="9"/>
  <c r="CN1862" i="9"/>
  <c r="CN1863" i="9"/>
  <c r="CN1864" i="9"/>
  <c r="CN1865" i="9"/>
  <c r="CN1866" i="9"/>
  <c r="CN1867" i="9"/>
  <c r="CN1868" i="9"/>
  <c r="CN1869" i="9"/>
  <c r="CN1870" i="9"/>
  <c r="CN1871" i="9"/>
  <c r="CN1872" i="9"/>
  <c r="CN1873" i="9"/>
  <c r="CN1874" i="9"/>
  <c r="CN1875" i="9"/>
  <c r="CN1876" i="9"/>
  <c r="CN1877" i="9"/>
  <c r="CN1878" i="9"/>
  <c r="CN1879" i="9"/>
  <c r="CN1880" i="9"/>
  <c r="CN1881" i="9"/>
  <c r="CN1882" i="9"/>
  <c r="CN1883" i="9"/>
  <c r="CN1884" i="9"/>
  <c r="CN1885" i="9"/>
  <c r="CN1886" i="9"/>
  <c r="CN1887" i="9"/>
  <c r="CN1888" i="9"/>
  <c r="CN1889" i="9"/>
  <c r="CN1890" i="9"/>
  <c r="CN1891" i="9"/>
  <c r="CN1892" i="9"/>
  <c r="CN1893" i="9"/>
  <c r="CN1894" i="9"/>
  <c r="CN1895" i="9"/>
  <c r="CN1896" i="9"/>
  <c r="CN1897" i="9"/>
  <c r="CN1898" i="9"/>
  <c r="CN1899" i="9"/>
  <c r="CN1900" i="9"/>
  <c r="CN1901" i="9"/>
  <c r="CN1902" i="9"/>
  <c r="CN1903" i="9"/>
  <c r="CN1904" i="9"/>
  <c r="CN1905" i="9"/>
  <c r="CN1906" i="9"/>
  <c r="CN1907" i="9"/>
  <c r="CN1908" i="9"/>
  <c r="CN1909" i="9"/>
  <c r="CN1910" i="9"/>
  <c r="CN1911" i="9"/>
  <c r="CN1912" i="9"/>
  <c r="CN1913" i="9"/>
  <c r="CN1914" i="9"/>
  <c r="CN1915" i="9"/>
  <c r="CN1916" i="9"/>
  <c r="CN1917" i="9"/>
  <c r="CN1918" i="9"/>
  <c r="CN1919" i="9"/>
  <c r="CN1920" i="9"/>
  <c r="CN1921" i="9"/>
  <c r="CN1922" i="9"/>
  <c r="CN1923" i="9"/>
  <c r="CN1924" i="9"/>
  <c r="CN1925" i="9"/>
  <c r="CN1926" i="9"/>
  <c r="CN1927" i="9"/>
  <c r="CN1928" i="9"/>
  <c r="CN1929" i="9"/>
  <c r="CN1930" i="9"/>
  <c r="CN1931" i="9"/>
  <c r="CN1932" i="9"/>
  <c r="CN1933" i="9"/>
  <c r="CN1934" i="9"/>
  <c r="CN1935" i="9"/>
  <c r="CN1936" i="9"/>
  <c r="CN1937" i="9"/>
  <c r="CN1938" i="9"/>
  <c r="CN1939" i="9"/>
  <c r="CN1940" i="9"/>
  <c r="CN1941" i="9"/>
  <c r="CN1942" i="9"/>
  <c r="CN1943" i="9"/>
  <c r="CN1944" i="9"/>
  <c r="CN1945" i="9"/>
  <c r="CN1946" i="9"/>
  <c r="CN1947" i="9"/>
  <c r="CN1948" i="9"/>
  <c r="CN1949" i="9"/>
  <c r="CN1950" i="9"/>
  <c r="CN1951" i="9"/>
  <c r="CN1952" i="9"/>
  <c r="CN1953" i="9"/>
  <c r="CN1954" i="9"/>
  <c r="CN1955" i="9"/>
  <c r="CN1956" i="9"/>
  <c r="CN1957" i="9"/>
  <c r="CN1958" i="9"/>
  <c r="CN1959" i="9"/>
  <c r="CN1960" i="9"/>
  <c r="CN1961" i="9"/>
  <c r="CN1962" i="9"/>
  <c r="CN1963" i="9"/>
  <c r="CN1964" i="9"/>
  <c r="CN1965" i="9"/>
  <c r="CN1966" i="9"/>
  <c r="CN1967" i="9"/>
  <c r="CN1968" i="9"/>
  <c r="CN1969" i="9"/>
  <c r="CN1970" i="9"/>
  <c r="CN1971" i="9"/>
  <c r="CN1972" i="9"/>
  <c r="CN1973" i="9"/>
  <c r="CN1974" i="9"/>
  <c r="CN1975" i="9"/>
  <c r="CN1976" i="9"/>
  <c r="CN1977" i="9"/>
  <c r="CN1978" i="9"/>
  <c r="CN1979" i="9"/>
  <c r="CN1980" i="9"/>
  <c r="CN1981" i="9"/>
  <c r="CN1982" i="9"/>
  <c r="CN1983" i="9"/>
  <c r="CN1984" i="9"/>
  <c r="CN1985" i="9"/>
  <c r="CN1986" i="9"/>
  <c r="CN1987" i="9"/>
  <c r="CN1988" i="9"/>
  <c r="CN1989" i="9"/>
  <c r="CN1990" i="9"/>
  <c r="CN1991" i="9"/>
  <c r="CN1992" i="9"/>
  <c r="CN1993" i="9"/>
  <c r="CN1994" i="9"/>
  <c r="CN1995" i="9"/>
  <c r="CN1996" i="9"/>
  <c r="CN1997" i="9"/>
  <c r="CN1998" i="9"/>
  <c r="CN1999" i="9"/>
  <c r="CN2000" i="9"/>
  <c r="CN2001" i="9"/>
  <c r="CN2002" i="9"/>
  <c r="CN2003" i="9"/>
  <c r="CN2004" i="9"/>
  <c r="CN2005" i="9"/>
  <c r="CN2006" i="9"/>
  <c r="CN2007" i="9"/>
  <c r="CN2008" i="9"/>
  <c r="CN9" i="9"/>
  <c r="CJ10" i="9"/>
  <c r="CJ11" i="9"/>
  <c r="CJ12" i="9"/>
  <c r="CJ13" i="9"/>
  <c r="CJ14" i="9"/>
  <c r="CJ15" i="9"/>
  <c r="CJ16" i="9"/>
  <c r="CJ17" i="9"/>
  <c r="CJ18" i="9"/>
  <c r="CJ19" i="9"/>
  <c r="CJ20" i="9"/>
  <c r="CJ21" i="9"/>
  <c r="CJ22" i="9"/>
  <c r="CJ23" i="9"/>
  <c r="CJ24" i="9"/>
  <c r="CJ25" i="9"/>
  <c r="CJ26" i="9"/>
  <c r="CJ27" i="9"/>
  <c r="CJ28" i="9"/>
  <c r="CJ29" i="9"/>
  <c r="CJ30" i="9"/>
  <c r="CJ31" i="9"/>
  <c r="CJ32" i="9"/>
  <c r="CJ33" i="9"/>
  <c r="CJ34" i="9"/>
  <c r="CJ35" i="9"/>
  <c r="CJ36" i="9"/>
  <c r="CJ37" i="9"/>
  <c r="CJ38" i="9"/>
  <c r="CJ39" i="9"/>
  <c r="CJ40" i="9"/>
  <c r="CJ41" i="9"/>
  <c r="CJ42" i="9"/>
  <c r="CJ43" i="9"/>
  <c r="CJ44" i="9"/>
  <c r="CJ45" i="9"/>
  <c r="CJ46" i="9"/>
  <c r="CJ47" i="9"/>
  <c r="CJ48" i="9"/>
  <c r="CJ49" i="9"/>
  <c r="CJ50" i="9"/>
  <c r="CJ51" i="9"/>
  <c r="CJ52" i="9"/>
  <c r="CJ53" i="9"/>
  <c r="CJ54" i="9"/>
  <c r="CJ55" i="9"/>
  <c r="CJ56" i="9"/>
  <c r="CJ57" i="9"/>
  <c r="CJ58" i="9"/>
  <c r="CJ59" i="9"/>
  <c r="CJ60" i="9"/>
  <c r="CJ61" i="9"/>
  <c r="CJ62" i="9"/>
  <c r="CJ63" i="9"/>
  <c r="CJ64" i="9"/>
  <c r="CJ65" i="9"/>
  <c r="CJ66" i="9"/>
  <c r="CJ67" i="9"/>
  <c r="CJ68" i="9"/>
  <c r="CJ69" i="9"/>
  <c r="CJ70" i="9"/>
  <c r="CJ71" i="9"/>
  <c r="CJ72" i="9"/>
  <c r="CJ73" i="9"/>
  <c r="CJ74" i="9"/>
  <c r="CJ75" i="9"/>
  <c r="CJ76" i="9"/>
  <c r="CJ77" i="9"/>
  <c r="CJ78" i="9"/>
  <c r="CJ79" i="9"/>
  <c r="CJ80" i="9"/>
  <c r="CJ81" i="9"/>
  <c r="CJ82" i="9"/>
  <c r="CJ83" i="9"/>
  <c r="CJ84" i="9"/>
  <c r="CJ85" i="9"/>
  <c r="CJ86" i="9"/>
  <c r="CJ87" i="9"/>
  <c r="CJ88" i="9"/>
  <c r="CJ89" i="9"/>
  <c r="CJ90" i="9"/>
  <c r="CJ91" i="9"/>
  <c r="CJ92" i="9"/>
  <c r="CJ93" i="9"/>
  <c r="CJ94" i="9"/>
  <c r="CJ95" i="9"/>
  <c r="CJ96" i="9"/>
  <c r="CJ97" i="9"/>
  <c r="CJ98" i="9"/>
  <c r="CJ99" i="9"/>
  <c r="CJ100" i="9"/>
  <c r="CJ101" i="9"/>
  <c r="CJ102" i="9"/>
  <c r="CJ103" i="9"/>
  <c r="CJ104" i="9"/>
  <c r="CJ105" i="9"/>
  <c r="CJ106" i="9"/>
  <c r="CJ107" i="9"/>
  <c r="CJ108" i="9"/>
  <c r="CJ109" i="9"/>
  <c r="CJ110" i="9"/>
  <c r="CJ111" i="9"/>
  <c r="CJ112" i="9"/>
  <c r="CJ113" i="9"/>
  <c r="CJ114" i="9"/>
  <c r="CJ115" i="9"/>
  <c r="CJ116" i="9"/>
  <c r="CJ117" i="9"/>
  <c r="CJ118" i="9"/>
  <c r="CJ119" i="9"/>
  <c r="CJ120" i="9"/>
  <c r="CJ121" i="9"/>
  <c r="CJ122" i="9"/>
  <c r="CJ123" i="9"/>
  <c r="CJ124" i="9"/>
  <c r="CJ125" i="9"/>
  <c r="CJ126" i="9"/>
  <c r="CJ127" i="9"/>
  <c r="CJ128" i="9"/>
  <c r="CJ129" i="9"/>
  <c r="CJ130" i="9"/>
  <c r="CJ131" i="9"/>
  <c r="CJ132" i="9"/>
  <c r="CJ133" i="9"/>
  <c r="CJ134" i="9"/>
  <c r="CJ135" i="9"/>
  <c r="CJ136" i="9"/>
  <c r="CJ137" i="9"/>
  <c r="CJ138" i="9"/>
  <c r="CJ139" i="9"/>
  <c r="CJ140" i="9"/>
  <c r="CJ141" i="9"/>
  <c r="CJ142" i="9"/>
  <c r="CJ143" i="9"/>
  <c r="CJ144" i="9"/>
  <c r="CJ145" i="9"/>
  <c r="CJ146" i="9"/>
  <c r="CJ147" i="9"/>
  <c r="CJ148" i="9"/>
  <c r="CJ149" i="9"/>
  <c r="CJ150" i="9"/>
  <c r="CJ151" i="9"/>
  <c r="CJ152" i="9"/>
  <c r="CJ153" i="9"/>
  <c r="CJ154" i="9"/>
  <c r="CJ155" i="9"/>
  <c r="CJ156" i="9"/>
  <c r="CJ157" i="9"/>
  <c r="CJ158" i="9"/>
  <c r="CJ159" i="9"/>
  <c r="CJ160" i="9"/>
  <c r="CJ161" i="9"/>
  <c r="CJ162" i="9"/>
  <c r="CJ163" i="9"/>
  <c r="CJ164" i="9"/>
  <c r="CJ165" i="9"/>
  <c r="CJ166" i="9"/>
  <c r="CJ167" i="9"/>
  <c r="CJ168" i="9"/>
  <c r="CJ169" i="9"/>
  <c r="CJ170" i="9"/>
  <c r="CJ171" i="9"/>
  <c r="CJ172" i="9"/>
  <c r="CJ173" i="9"/>
  <c r="CJ174" i="9"/>
  <c r="CJ175" i="9"/>
  <c r="CJ176" i="9"/>
  <c r="CJ177" i="9"/>
  <c r="CJ178" i="9"/>
  <c r="CJ179" i="9"/>
  <c r="CJ180" i="9"/>
  <c r="CJ181" i="9"/>
  <c r="CJ182" i="9"/>
  <c r="CJ183" i="9"/>
  <c r="CJ184" i="9"/>
  <c r="CJ185" i="9"/>
  <c r="CJ186" i="9"/>
  <c r="CJ187" i="9"/>
  <c r="CJ188" i="9"/>
  <c r="CJ189" i="9"/>
  <c r="CJ190" i="9"/>
  <c r="CJ191" i="9"/>
  <c r="CJ192" i="9"/>
  <c r="CJ193" i="9"/>
  <c r="CJ194" i="9"/>
  <c r="CJ195" i="9"/>
  <c r="CJ196" i="9"/>
  <c r="CJ197" i="9"/>
  <c r="CJ198" i="9"/>
  <c r="CJ199" i="9"/>
  <c r="CJ200" i="9"/>
  <c r="CJ201" i="9"/>
  <c r="CJ202" i="9"/>
  <c r="CJ203" i="9"/>
  <c r="CJ204" i="9"/>
  <c r="CJ205" i="9"/>
  <c r="CJ206" i="9"/>
  <c r="CJ207" i="9"/>
  <c r="CJ208" i="9"/>
  <c r="CJ209" i="9"/>
  <c r="CJ210" i="9"/>
  <c r="CJ211" i="9"/>
  <c r="CJ212" i="9"/>
  <c r="CJ213" i="9"/>
  <c r="CJ214" i="9"/>
  <c r="CJ215" i="9"/>
  <c r="CJ216" i="9"/>
  <c r="CJ217" i="9"/>
  <c r="CJ218" i="9"/>
  <c r="CJ219" i="9"/>
  <c r="CJ220" i="9"/>
  <c r="CJ221" i="9"/>
  <c r="CJ222" i="9"/>
  <c r="CJ223" i="9"/>
  <c r="CJ224" i="9"/>
  <c r="CJ225" i="9"/>
  <c r="CJ226" i="9"/>
  <c r="CJ227" i="9"/>
  <c r="CJ228" i="9"/>
  <c r="CJ229" i="9"/>
  <c r="CJ230" i="9"/>
  <c r="CJ231" i="9"/>
  <c r="CJ232" i="9"/>
  <c r="CJ233" i="9"/>
  <c r="CJ234" i="9"/>
  <c r="CJ235" i="9"/>
  <c r="CJ236" i="9"/>
  <c r="CJ237" i="9"/>
  <c r="CJ238" i="9"/>
  <c r="CJ239" i="9"/>
  <c r="CJ240" i="9"/>
  <c r="CJ241" i="9"/>
  <c r="CJ242" i="9"/>
  <c r="CJ243" i="9"/>
  <c r="CJ244" i="9"/>
  <c r="CJ245" i="9"/>
  <c r="CJ246" i="9"/>
  <c r="CJ247" i="9"/>
  <c r="CJ248" i="9"/>
  <c r="CJ249" i="9"/>
  <c r="CJ250" i="9"/>
  <c r="CJ251" i="9"/>
  <c r="CJ252" i="9"/>
  <c r="CJ253" i="9"/>
  <c r="CJ254" i="9"/>
  <c r="CJ255" i="9"/>
  <c r="CJ256" i="9"/>
  <c r="CJ257" i="9"/>
  <c r="CJ258" i="9"/>
  <c r="CJ259" i="9"/>
  <c r="CJ260" i="9"/>
  <c r="CJ261" i="9"/>
  <c r="CJ262" i="9"/>
  <c r="CJ263" i="9"/>
  <c r="CJ264" i="9"/>
  <c r="CJ265" i="9"/>
  <c r="CJ266" i="9"/>
  <c r="CJ267" i="9"/>
  <c r="CJ268" i="9"/>
  <c r="CJ269" i="9"/>
  <c r="CJ270" i="9"/>
  <c r="CJ271" i="9"/>
  <c r="CJ272" i="9"/>
  <c r="CJ273" i="9"/>
  <c r="CJ274" i="9"/>
  <c r="CJ275" i="9"/>
  <c r="CJ276" i="9"/>
  <c r="CJ277" i="9"/>
  <c r="CJ278" i="9"/>
  <c r="CJ279" i="9"/>
  <c r="CJ280" i="9"/>
  <c r="CJ281" i="9"/>
  <c r="CJ282" i="9"/>
  <c r="CJ283" i="9"/>
  <c r="CJ284" i="9"/>
  <c r="CJ285" i="9"/>
  <c r="CJ286" i="9"/>
  <c r="CJ287" i="9"/>
  <c r="CJ288" i="9"/>
  <c r="CJ289" i="9"/>
  <c r="CJ290" i="9"/>
  <c r="CJ291" i="9"/>
  <c r="CJ292" i="9"/>
  <c r="CJ293" i="9"/>
  <c r="CJ294" i="9"/>
  <c r="CJ295" i="9"/>
  <c r="CJ296" i="9"/>
  <c r="CJ297" i="9"/>
  <c r="CJ298" i="9"/>
  <c r="CJ299" i="9"/>
  <c r="CJ300" i="9"/>
  <c r="CJ301" i="9"/>
  <c r="CJ302" i="9"/>
  <c r="CJ303" i="9"/>
  <c r="CJ304" i="9"/>
  <c r="CJ305" i="9"/>
  <c r="CJ306" i="9"/>
  <c r="CJ307" i="9"/>
  <c r="CJ308" i="9"/>
  <c r="CJ309" i="9"/>
  <c r="CJ310" i="9"/>
  <c r="CJ311" i="9"/>
  <c r="CJ312" i="9"/>
  <c r="CJ313" i="9"/>
  <c r="CJ314" i="9"/>
  <c r="CJ315" i="9"/>
  <c r="CJ316" i="9"/>
  <c r="CJ317" i="9"/>
  <c r="CJ318" i="9"/>
  <c r="CJ319" i="9"/>
  <c r="CJ320" i="9"/>
  <c r="CJ321" i="9"/>
  <c r="CJ322" i="9"/>
  <c r="CJ323" i="9"/>
  <c r="CJ324" i="9"/>
  <c r="CJ325" i="9"/>
  <c r="CJ326" i="9"/>
  <c r="CJ327" i="9"/>
  <c r="CJ328" i="9"/>
  <c r="CJ329" i="9"/>
  <c r="CJ330" i="9"/>
  <c r="CJ331" i="9"/>
  <c r="CJ332" i="9"/>
  <c r="CJ333" i="9"/>
  <c r="CJ334" i="9"/>
  <c r="CJ335" i="9"/>
  <c r="CJ336" i="9"/>
  <c r="CJ337" i="9"/>
  <c r="CJ338" i="9"/>
  <c r="CJ339" i="9"/>
  <c r="CJ340" i="9"/>
  <c r="CJ341" i="9"/>
  <c r="CJ342" i="9"/>
  <c r="CJ343" i="9"/>
  <c r="CJ344" i="9"/>
  <c r="CJ345" i="9"/>
  <c r="CJ346" i="9"/>
  <c r="CJ347" i="9"/>
  <c r="CJ348" i="9"/>
  <c r="CJ349" i="9"/>
  <c r="CJ350" i="9"/>
  <c r="CJ351" i="9"/>
  <c r="CJ352" i="9"/>
  <c r="CJ353" i="9"/>
  <c r="CJ354" i="9"/>
  <c r="CJ355" i="9"/>
  <c r="CJ356" i="9"/>
  <c r="CJ357" i="9"/>
  <c r="CJ358" i="9"/>
  <c r="CJ359" i="9"/>
  <c r="CJ360" i="9"/>
  <c r="CJ361" i="9"/>
  <c r="CJ362" i="9"/>
  <c r="CJ363" i="9"/>
  <c r="CJ364" i="9"/>
  <c r="CJ365" i="9"/>
  <c r="CJ366" i="9"/>
  <c r="CJ367" i="9"/>
  <c r="CJ368" i="9"/>
  <c r="CJ369" i="9"/>
  <c r="CJ370" i="9"/>
  <c r="CJ371" i="9"/>
  <c r="CJ372" i="9"/>
  <c r="CJ373" i="9"/>
  <c r="CJ374" i="9"/>
  <c r="CJ375" i="9"/>
  <c r="CJ376" i="9"/>
  <c r="CJ377" i="9"/>
  <c r="CJ378" i="9"/>
  <c r="CJ379" i="9"/>
  <c r="CJ380" i="9"/>
  <c r="CJ381" i="9"/>
  <c r="CJ382" i="9"/>
  <c r="CJ383" i="9"/>
  <c r="CJ384" i="9"/>
  <c r="CJ385" i="9"/>
  <c r="CJ386" i="9"/>
  <c r="CJ387" i="9"/>
  <c r="CJ388" i="9"/>
  <c r="CJ389" i="9"/>
  <c r="CJ390" i="9"/>
  <c r="CJ391" i="9"/>
  <c r="CJ392" i="9"/>
  <c r="CJ393" i="9"/>
  <c r="CJ394" i="9"/>
  <c r="CJ395" i="9"/>
  <c r="CJ396" i="9"/>
  <c r="CJ397" i="9"/>
  <c r="CJ398" i="9"/>
  <c r="CJ399" i="9"/>
  <c r="CJ400" i="9"/>
  <c r="CJ401" i="9"/>
  <c r="CJ402" i="9"/>
  <c r="CJ403" i="9"/>
  <c r="CJ404" i="9"/>
  <c r="CJ405" i="9"/>
  <c r="CJ406" i="9"/>
  <c r="CJ407" i="9"/>
  <c r="CJ408" i="9"/>
  <c r="CJ409" i="9"/>
  <c r="CJ410" i="9"/>
  <c r="CJ411" i="9"/>
  <c r="CJ412" i="9"/>
  <c r="CJ413" i="9"/>
  <c r="CJ414" i="9"/>
  <c r="CJ415" i="9"/>
  <c r="CJ416" i="9"/>
  <c r="CJ417" i="9"/>
  <c r="CJ418" i="9"/>
  <c r="CJ419" i="9"/>
  <c r="CJ420" i="9"/>
  <c r="CJ421" i="9"/>
  <c r="CJ422" i="9"/>
  <c r="CJ423" i="9"/>
  <c r="CJ424" i="9"/>
  <c r="CJ425" i="9"/>
  <c r="CJ426" i="9"/>
  <c r="CJ427" i="9"/>
  <c r="CJ428" i="9"/>
  <c r="CJ429" i="9"/>
  <c r="CJ430" i="9"/>
  <c r="CJ431" i="9"/>
  <c r="CJ432" i="9"/>
  <c r="CJ433" i="9"/>
  <c r="CJ434" i="9"/>
  <c r="CJ435" i="9"/>
  <c r="CJ436" i="9"/>
  <c r="CJ437" i="9"/>
  <c r="CJ438" i="9"/>
  <c r="CJ439" i="9"/>
  <c r="CJ440" i="9"/>
  <c r="CJ441" i="9"/>
  <c r="CJ442" i="9"/>
  <c r="CJ443" i="9"/>
  <c r="CJ444" i="9"/>
  <c r="CJ445" i="9"/>
  <c r="CJ446" i="9"/>
  <c r="CJ447" i="9"/>
  <c r="CJ448" i="9"/>
  <c r="CJ449" i="9"/>
  <c r="CJ450" i="9"/>
  <c r="CJ451" i="9"/>
  <c r="CJ452" i="9"/>
  <c r="CJ453" i="9"/>
  <c r="CJ454" i="9"/>
  <c r="CJ455" i="9"/>
  <c r="CJ456" i="9"/>
  <c r="CJ457" i="9"/>
  <c r="CJ458" i="9"/>
  <c r="CJ459" i="9"/>
  <c r="CJ460" i="9"/>
  <c r="CJ461" i="9"/>
  <c r="CJ462" i="9"/>
  <c r="CJ463" i="9"/>
  <c r="CJ464" i="9"/>
  <c r="CJ465" i="9"/>
  <c r="CJ466" i="9"/>
  <c r="CJ467" i="9"/>
  <c r="CJ468" i="9"/>
  <c r="CJ469" i="9"/>
  <c r="CJ470" i="9"/>
  <c r="CJ471" i="9"/>
  <c r="CJ472" i="9"/>
  <c r="CJ473" i="9"/>
  <c r="CJ474" i="9"/>
  <c r="CJ475" i="9"/>
  <c r="CJ476" i="9"/>
  <c r="CJ477" i="9"/>
  <c r="CJ478" i="9"/>
  <c r="CJ479" i="9"/>
  <c r="CJ480" i="9"/>
  <c r="CJ481" i="9"/>
  <c r="CJ482" i="9"/>
  <c r="CJ483" i="9"/>
  <c r="CJ484" i="9"/>
  <c r="CJ485" i="9"/>
  <c r="CJ486" i="9"/>
  <c r="CJ487" i="9"/>
  <c r="CJ488" i="9"/>
  <c r="CJ489" i="9"/>
  <c r="CJ490" i="9"/>
  <c r="CJ491" i="9"/>
  <c r="CJ492" i="9"/>
  <c r="CJ493" i="9"/>
  <c r="CJ494" i="9"/>
  <c r="CJ495" i="9"/>
  <c r="CJ496" i="9"/>
  <c r="CJ497" i="9"/>
  <c r="CJ498" i="9"/>
  <c r="CJ499" i="9"/>
  <c r="CJ500" i="9"/>
  <c r="CJ501" i="9"/>
  <c r="CJ502" i="9"/>
  <c r="CJ503" i="9"/>
  <c r="CJ504" i="9"/>
  <c r="CJ505" i="9"/>
  <c r="CJ506" i="9"/>
  <c r="CJ507" i="9"/>
  <c r="CJ508" i="9"/>
  <c r="CJ509" i="9"/>
  <c r="CJ510" i="9"/>
  <c r="CJ511" i="9"/>
  <c r="CJ512" i="9"/>
  <c r="CJ513" i="9"/>
  <c r="CJ514" i="9"/>
  <c r="CJ515" i="9"/>
  <c r="CJ516" i="9"/>
  <c r="CJ517" i="9"/>
  <c r="CJ518" i="9"/>
  <c r="CJ519" i="9"/>
  <c r="CJ520" i="9"/>
  <c r="CJ521" i="9"/>
  <c r="CJ522" i="9"/>
  <c r="CJ523" i="9"/>
  <c r="CJ524" i="9"/>
  <c r="CJ525" i="9"/>
  <c r="CJ526" i="9"/>
  <c r="CJ527" i="9"/>
  <c r="CJ528" i="9"/>
  <c r="CJ529" i="9"/>
  <c r="CJ530" i="9"/>
  <c r="CJ531" i="9"/>
  <c r="CJ532" i="9"/>
  <c r="CJ533" i="9"/>
  <c r="CJ534" i="9"/>
  <c r="CJ535" i="9"/>
  <c r="CJ536" i="9"/>
  <c r="CJ537" i="9"/>
  <c r="CJ538" i="9"/>
  <c r="CJ539" i="9"/>
  <c r="CJ540" i="9"/>
  <c r="CJ541" i="9"/>
  <c r="CJ542" i="9"/>
  <c r="CJ543" i="9"/>
  <c r="CJ544" i="9"/>
  <c r="CJ545" i="9"/>
  <c r="CJ546" i="9"/>
  <c r="CJ547" i="9"/>
  <c r="CJ548" i="9"/>
  <c r="CJ549" i="9"/>
  <c r="CJ550" i="9"/>
  <c r="CJ551" i="9"/>
  <c r="CJ552" i="9"/>
  <c r="CJ553" i="9"/>
  <c r="CJ554" i="9"/>
  <c r="CJ555" i="9"/>
  <c r="CJ556" i="9"/>
  <c r="CJ557" i="9"/>
  <c r="CJ558" i="9"/>
  <c r="CJ559" i="9"/>
  <c r="CJ560" i="9"/>
  <c r="CJ561" i="9"/>
  <c r="CJ562" i="9"/>
  <c r="CJ563" i="9"/>
  <c r="CJ564" i="9"/>
  <c r="CJ565" i="9"/>
  <c r="CJ566" i="9"/>
  <c r="CJ567" i="9"/>
  <c r="CJ568" i="9"/>
  <c r="CJ569" i="9"/>
  <c r="CJ570" i="9"/>
  <c r="CJ571" i="9"/>
  <c r="CJ572" i="9"/>
  <c r="CJ573" i="9"/>
  <c r="CJ574" i="9"/>
  <c r="CJ575" i="9"/>
  <c r="CJ576" i="9"/>
  <c r="CJ577" i="9"/>
  <c r="CJ578" i="9"/>
  <c r="CJ579" i="9"/>
  <c r="CJ580" i="9"/>
  <c r="CJ581" i="9"/>
  <c r="CJ582" i="9"/>
  <c r="CJ583" i="9"/>
  <c r="CJ584" i="9"/>
  <c r="CJ585" i="9"/>
  <c r="CJ586" i="9"/>
  <c r="CJ587" i="9"/>
  <c r="CJ588" i="9"/>
  <c r="CJ589" i="9"/>
  <c r="CJ590" i="9"/>
  <c r="CJ591" i="9"/>
  <c r="CJ592" i="9"/>
  <c r="CJ593" i="9"/>
  <c r="CJ594" i="9"/>
  <c r="CJ595" i="9"/>
  <c r="CJ596" i="9"/>
  <c r="CJ597" i="9"/>
  <c r="CJ598" i="9"/>
  <c r="CJ599" i="9"/>
  <c r="CJ600" i="9"/>
  <c r="CJ601" i="9"/>
  <c r="CJ602" i="9"/>
  <c r="CJ603" i="9"/>
  <c r="CJ604" i="9"/>
  <c r="CJ605" i="9"/>
  <c r="CJ606" i="9"/>
  <c r="CJ607" i="9"/>
  <c r="CJ608" i="9"/>
  <c r="CJ609" i="9"/>
  <c r="CJ610" i="9"/>
  <c r="CJ611" i="9"/>
  <c r="CJ612" i="9"/>
  <c r="CJ613" i="9"/>
  <c r="CJ614" i="9"/>
  <c r="CJ615" i="9"/>
  <c r="CJ616" i="9"/>
  <c r="CJ617" i="9"/>
  <c r="CJ618" i="9"/>
  <c r="CJ619" i="9"/>
  <c r="CJ620" i="9"/>
  <c r="CJ621" i="9"/>
  <c r="CJ622" i="9"/>
  <c r="CJ623" i="9"/>
  <c r="CJ624" i="9"/>
  <c r="CJ625" i="9"/>
  <c r="CJ626" i="9"/>
  <c r="CJ627" i="9"/>
  <c r="CJ628" i="9"/>
  <c r="CJ629" i="9"/>
  <c r="CJ630" i="9"/>
  <c r="CJ631" i="9"/>
  <c r="CJ632" i="9"/>
  <c r="CJ633" i="9"/>
  <c r="CJ634" i="9"/>
  <c r="CJ635" i="9"/>
  <c r="CJ636" i="9"/>
  <c r="CJ637" i="9"/>
  <c r="CJ638" i="9"/>
  <c r="CJ639" i="9"/>
  <c r="CJ640" i="9"/>
  <c r="CJ641" i="9"/>
  <c r="CJ642" i="9"/>
  <c r="CJ643" i="9"/>
  <c r="CJ644" i="9"/>
  <c r="CJ645" i="9"/>
  <c r="CJ646" i="9"/>
  <c r="CJ647" i="9"/>
  <c r="CJ648" i="9"/>
  <c r="CJ649" i="9"/>
  <c r="CJ650" i="9"/>
  <c r="CJ651" i="9"/>
  <c r="CJ652" i="9"/>
  <c r="CJ653" i="9"/>
  <c r="CJ654" i="9"/>
  <c r="CJ655" i="9"/>
  <c r="CJ656" i="9"/>
  <c r="CJ657" i="9"/>
  <c r="CJ658" i="9"/>
  <c r="CJ659" i="9"/>
  <c r="CJ660" i="9"/>
  <c r="CJ661" i="9"/>
  <c r="CJ662" i="9"/>
  <c r="CJ663" i="9"/>
  <c r="CJ664" i="9"/>
  <c r="CJ665" i="9"/>
  <c r="CJ666" i="9"/>
  <c r="CJ667" i="9"/>
  <c r="CJ668" i="9"/>
  <c r="CJ669" i="9"/>
  <c r="CJ670" i="9"/>
  <c r="CJ671" i="9"/>
  <c r="CJ672" i="9"/>
  <c r="CJ673" i="9"/>
  <c r="CJ674" i="9"/>
  <c r="CJ675" i="9"/>
  <c r="CJ676" i="9"/>
  <c r="CJ677" i="9"/>
  <c r="CJ678" i="9"/>
  <c r="CJ679" i="9"/>
  <c r="CJ680" i="9"/>
  <c r="CJ681" i="9"/>
  <c r="CJ682" i="9"/>
  <c r="CJ683" i="9"/>
  <c r="CJ684" i="9"/>
  <c r="CJ685" i="9"/>
  <c r="CJ686" i="9"/>
  <c r="CJ687" i="9"/>
  <c r="CJ688" i="9"/>
  <c r="CJ689" i="9"/>
  <c r="CJ690" i="9"/>
  <c r="CJ691" i="9"/>
  <c r="CJ692" i="9"/>
  <c r="CJ693" i="9"/>
  <c r="CJ694" i="9"/>
  <c r="CJ695" i="9"/>
  <c r="CJ696" i="9"/>
  <c r="CJ697" i="9"/>
  <c r="CJ698" i="9"/>
  <c r="CJ699" i="9"/>
  <c r="CJ700" i="9"/>
  <c r="CJ701" i="9"/>
  <c r="CJ702" i="9"/>
  <c r="CJ703" i="9"/>
  <c r="CJ704" i="9"/>
  <c r="CJ705" i="9"/>
  <c r="CJ706" i="9"/>
  <c r="CJ707" i="9"/>
  <c r="CJ708" i="9"/>
  <c r="CJ709" i="9"/>
  <c r="CJ710" i="9"/>
  <c r="CJ711" i="9"/>
  <c r="CJ712" i="9"/>
  <c r="CJ713" i="9"/>
  <c r="CJ714" i="9"/>
  <c r="CJ715" i="9"/>
  <c r="CJ716" i="9"/>
  <c r="CJ717" i="9"/>
  <c r="CJ718" i="9"/>
  <c r="CJ719" i="9"/>
  <c r="CJ720" i="9"/>
  <c r="CJ721" i="9"/>
  <c r="CJ722" i="9"/>
  <c r="CJ723" i="9"/>
  <c r="CJ724" i="9"/>
  <c r="CJ725" i="9"/>
  <c r="CJ726" i="9"/>
  <c r="CJ727" i="9"/>
  <c r="CJ728" i="9"/>
  <c r="CJ729" i="9"/>
  <c r="CJ730" i="9"/>
  <c r="CJ731" i="9"/>
  <c r="CJ732" i="9"/>
  <c r="CJ733" i="9"/>
  <c r="CJ734" i="9"/>
  <c r="CJ735" i="9"/>
  <c r="CJ736" i="9"/>
  <c r="CJ737" i="9"/>
  <c r="CJ738" i="9"/>
  <c r="CJ739" i="9"/>
  <c r="CJ740" i="9"/>
  <c r="CJ741" i="9"/>
  <c r="CJ742" i="9"/>
  <c r="CJ743" i="9"/>
  <c r="CJ744" i="9"/>
  <c r="CJ745" i="9"/>
  <c r="CJ746" i="9"/>
  <c r="CJ747" i="9"/>
  <c r="CJ748" i="9"/>
  <c r="CJ749" i="9"/>
  <c r="CJ750" i="9"/>
  <c r="CJ751" i="9"/>
  <c r="CJ752" i="9"/>
  <c r="CJ753" i="9"/>
  <c r="CJ754" i="9"/>
  <c r="CJ755" i="9"/>
  <c r="CJ756" i="9"/>
  <c r="CJ757" i="9"/>
  <c r="CJ758" i="9"/>
  <c r="CJ759" i="9"/>
  <c r="CJ760" i="9"/>
  <c r="CJ761" i="9"/>
  <c r="CJ762" i="9"/>
  <c r="CJ763" i="9"/>
  <c r="CJ764" i="9"/>
  <c r="CJ765" i="9"/>
  <c r="CJ766" i="9"/>
  <c r="CJ767" i="9"/>
  <c r="CJ768" i="9"/>
  <c r="CJ769" i="9"/>
  <c r="CJ770" i="9"/>
  <c r="CJ771" i="9"/>
  <c r="CJ772" i="9"/>
  <c r="CJ773" i="9"/>
  <c r="CJ774" i="9"/>
  <c r="CJ775" i="9"/>
  <c r="CJ776" i="9"/>
  <c r="CJ777" i="9"/>
  <c r="CJ778" i="9"/>
  <c r="CJ779" i="9"/>
  <c r="CJ780" i="9"/>
  <c r="CJ781" i="9"/>
  <c r="CJ782" i="9"/>
  <c r="CJ783" i="9"/>
  <c r="CJ784" i="9"/>
  <c r="CJ785" i="9"/>
  <c r="CJ786" i="9"/>
  <c r="CJ787" i="9"/>
  <c r="CJ788" i="9"/>
  <c r="CJ789" i="9"/>
  <c r="CJ790" i="9"/>
  <c r="CJ791" i="9"/>
  <c r="CJ792" i="9"/>
  <c r="CJ793" i="9"/>
  <c r="CJ794" i="9"/>
  <c r="CJ795" i="9"/>
  <c r="CJ796" i="9"/>
  <c r="CJ797" i="9"/>
  <c r="CJ798" i="9"/>
  <c r="CJ799" i="9"/>
  <c r="CJ800" i="9"/>
  <c r="CJ801" i="9"/>
  <c r="CJ802" i="9"/>
  <c r="CJ803" i="9"/>
  <c r="CJ804" i="9"/>
  <c r="CJ805" i="9"/>
  <c r="CJ806" i="9"/>
  <c r="CJ807" i="9"/>
  <c r="CJ808" i="9"/>
  <c r="CJ809" i="9"/>
  <c r="CJ810" i="9"/>
  <c r="CJ811" i="9"/>
  <c r="CJ812" i="9"/>
  <c r="CJ813" i="9"/>
  <c r="CJ814" i="9"/>
  <c r="CJ815" i="9"/>
  <c r="CJ816" i="9"/>
  <c r="CJ817" i="9"/>
  <c r="CJ818" i="9"/>
  <c r="CJ819" i="9"/>
  <c r="CJ820" i="9"/>
  <c r="CJ821" i="9"/>
  <c r="CJ822" i="9"/>
  <c r="CJ823" i="9"/>
  <c r="CJ824" i="9"/>
  <c r="CJ825" i="9"/>
  <c r="CJ826" i="9"/>
  <c r="CJ827" i="9"/>
  <c r="CJ828" i="9"/>
  <c r="CJ829" i="9"/>
  <c r="CJ830" i="9"/>
  <c r="CJ831" i="9"/>
  <c r="CJ832" i="9"/>
  <c r="CJ833" i="9"/>
  <c r="CJ834" i="9"/>
  <c r="CJ835" i="9"/>
  <c r="CJ836" i="9"/>
  <c r="CJ837" i="9"/>
  <c r="CJ838" i="9"/>
  <c r="CJ839" i="9"/>
  <c r="CJ840" i="9"/>
  <c r="CJ841" i="9"/>
  <c r="CJ842" i="9"/>
  <c r="CJ843" i="9"/>
  <c r="CJ844" i="9"/>
  <c r="CJ845" i="9"/>
  <c r="CJ846" i="9"/>
  <c r="CJ847" i="9"/>
  <c r="CJ848" i="9"/>
  <c r="CJ849" i="9"/>
  <c r="CJ850" i="9"/>
  <c r="CJ851" i="9"/>
  <c r="CJ852" i="9"/>
  <c r="CJ853" i="9"/>
  <c r="CJ854" i="9"/>
  <c r="CJ855" i="9"/>
  <c r="CJ856" i="9"/>
  <c r="CJ857" i="9"/>
  <c r="CJ858" i="9"/>
  <c r="CJ859" i="9"/>
  <c r="CJ860" i="9"/>
  <c r="CJ861" i="9"/>
  <c r="CJ862" i="9"/>
  <c r="CJ863" i="9"/>
  <c r="CJ864" i="9"/>
  <c r="CJ865" i="9"/>
  <c r="CJ866" i="9"/>
  <c r="CJ867" i="9"/>
  <c r="CJ868" i="9"/>
  <c r="CJ869" i="9"/>
  <c r="CJ870" i="9"/>
  <c r="CJ871" i="9"/>
  <c r="CJ872" i="9"/>
  <c r="CJ873" i="9"/>
  <c r="CJ874" i="9"/>
  <c r="CJ875" i="9"/>
  <c r="CJ876" i="9"/>
  <c r="CJ877" i="9"/>
  <c r="CJ878" i="9"/>
  <c r="CJ879" i="9"/>
  <c r="CJ880" i="9"/>
  <c r="CJ881" i="9"/>
  <c r="CJ882" i="9"/>
  <c r="CJ883" i="9"/>
  <c r="CJ884" i="9"/>
  <c r="CJ885" i="9"/>
  <c r="CJ886" i="9"/>
  <c r="CJ887" i="9"/>
  <c r="CJ888" i="9"/>
  <c r="CJ889" i="9"/>
  <c r="CJ890" i="9"/>
  <c r="CJ891" i="9"/>
  <c r="CJ892" i="9"/>
  <c r="CJ893" i="9"/>
  <c r="CJ894" i="9"/>
  <c r="CJ895" i="9"/>
  <c r="CJ896" i="9"/>
  <c r="CJ897" i="9"/>
  <c r="CJ898" i="9"/>
  <c r="CJ899" i="9"/>
  <c r="CJ900" i="9"/>
  <c r="CJ901" i="9"/>
  <c r="CJ902" i="9"/>
  <c r="CJ903" i="9"/>
  <c r="CJ904" i="9"/>
  <c r="CJ905" i="9"/>
  <c r="CJ906" i="9"/>
  <c r="CJ907" i="9"/>
  <c r="CJ908" i="9"/>
  <c r="CJ909" i="9"/>
  <c r="CJ910" i="9"/>
  <c r="CJ911" i="9"/>
  <c r="CJ912" i="9"/>
  <c r="CJ913" i="9"/>
  <c r="CJ914" i="9"/>
  <c r="CJ915" i="9"/>
  <c r="CJ916" i="9"/>
  <c r="CJ917" i="9"/>
  <c r="CJ918" i="9"/>
  <c r="CJ919" i="9"/>
  <c r="CJ920" i="9"/>
  <c r="CJ921" i="9"/>
  <c r="CJ922" i="9"/>
  <c r="CJ923" i="9"/>
  <c r="CJ924" i="9"/>
  <c r="CJ925" i="9"/>
  <c r="CJ926" i="9"/>
  <c r="CJ927" i="9"/>
  <c r="CJ928" i="9"/>
  <c r="CJ929" i="9"/>
  <c r="CJ930" i="9"/>
  <c r="CJ931" i="9"/>
  <c r="CJ932" i="9"/>
  <c r="CJ933" i="9"/>
  <c r="CJ934" i="9"/>
  <c r="CJ935" i="9"/>
  <c r="CJ936" i="9"/>
  <c r="CJ937" i="9"/>
  <c r="CJ938" i="9"/>
  <c r="CJ939" i="9"/>
  <c r="CJ940" i="9"/>
  <c r="CJ941" i="9"/>
  <c r="CJ942" i="9"/>
  <c r="CJ943" i="9"/>
  <c r="CJ944" i="9"/>
  <c r="CJ945" i="9"/>
  <c r="CJ946" i="9"/>
  <c r="CJ947" i="9"/>
  <c r="CJ948" i="9"/>
  <c r="CJ949" i="9"/>
  <c r="CJ950" i="9"/>
  <c r="CJ951" i="9"/>
  <c r="CJ952" i="9"/>
  <c r="CJ953" i="9"/>
  <c r="CJ954" i="9"/>
  <c r="CJ955" i="9"/>
  <c r="CJ956" i="9"/>
  <c r="CJ957" i="9"/>
  <c r="CJ958" i="9"/>
  <c r="CJ959" i="9"/>
  <c r="CJ960" i="9"/>
  <c r="CJ961" i="9"/>
  <c r="CJ962" i="9"/>
  <c r="CJ963" i="9"/>
  <c r="CJ964" i="9"/>
  <c r="CJ965" i="9"/>
  <c r="CJ966" i="9"/>
  <c r="CJ967" i="9"/>
  <c r="CJ968" i="9"/>
  <c r="CJ969" i="9"/>
  <c r="CJ970" i="9"/>
  <c r="CJ971" i="9"/>
  <c r="CJ972" i="9"/>
  <c r="CJ973" i="9"/>
  <c r="CJ974" i="9"/>
  <c r="CJ975" i="9"/>
  <c r="CJ976" i="9"/>
  <c r="CJ977" i="9"/>
  <c r="CJ978" i="9"/>
  <c r="CJ979" i="9"/>
  <c r="CJ980" i="9"/>
  <c r="CJ981" i="9"/>
  <c r="CJ982" i="9"/>
  <c r="CJ983" i="9"/>
  <c r="CJ984" i="9"/>
  <c r="CJ985" i="9"/>
  <c r="CJ986" i="9"/>
  <c r="CJ987" i="9"/>
  <c r="CJ988" i="9"/>
  <c r="CJ989" i="9"/>
  <c r="CJ990" i="9"/>
  <c r="CJ991" i="9"/>
  <c r="CJ992" i="9"/>
  <c r="CJ993" i="9"/>
  <c r="CJ994" i="9"/>
  <c r="CJ995" i="9"/>
  <c r="CJ996" i="9"/>
  <c r="CJ997" i="9"/>
  <c r="CJ998" i="9"/>
  <c r="CJ999" i="9"/>
  <c r="CJ1000" i="9"/>
  <c r="CJ1001" i="9"/>
  <c r="CJ1002" i="9"/>
  <c r="CJ1003" i="9"/>
  <c r="CJ1004" i="9"/>
  <c r="CJ1005" i="9"/>
  <c r="CJ1006" i="9"/>
  <c r="CJ1007" i="9"/>
  <c r="CJ1008" i="9"/>
  <c r="CJ1009" i="9"/>
  <c r="CJ1010" i="9"/>
  <c r="CJ1011" i="9"/>
  <c r="CJ1012" i="9"/>
  <c r="CJ1013" i="9"/>
  <c r="CJ1014" i="9"/>
  <c r="CJ1015" i="9"/>
  <c r="CJ1016" i="9"/>
  <c r="CJ1017" i="9"/>
  <c r="CJ1018" i="9"/>
  <c r="CJ1019" i="9"/>
  <c r="CJ1020" i="9"/>
  <c r="CJ1021" i="9"/>
  <c r="CJ1022" i="9"/>
  <c r="CJ1023" i="9"/>
  <c r="CJ1024" i="9"/>
  <c r="CJ1025" i="9"/>
  <c r="CJ1026" i="9"/>
  <c r="CJ1027" i="9"/>
  <c r="CJ1028" i="9"/>
  <c r="CJ1029" i="9"/>
  <c r="CJ1030" i="9"/>
  <c r="CJ1031" i="9"/>
  <c r="CJ1032" i="9"/>
  <c r="CJ1033" i="9"/>
  <c r="CJ1034" i="9"/>
  <c r="CJ1035" i="9"/>
  <c r="CJ1036" i="9"/>
  <c r="CJ1037" i="9"/>
  <c r="CJ1038" i="9"/>
  <c r="CJ1039" i="9"/>
  <c r="CJ1040" i="9"/>
  <c r="CJ1041" i="9"/>
  <c r="CJ1042" i="9"/>
  <c r="CJ1043" i="9"/>
  <c r="CJ1044" i="9"/>
  <c r="CJ1045" i="9"/>
  <c r="CJ1046" i="9"/>
  <c r="CJ1047" i="9"/>
  <c r="CJ1048" i="9"/>
  <c r="CJ1049" i="9"/>
  <c r="CJ1050" i="9"/>
  <c r="CJ1051" i="9"/>
  <c r="CJ1052" i="9"/>
  <c r="CJ1053" i="9"/>
  <c r="CJ1054" i="9"/>
  <c r="CJ1055" i="9"/>
  <c r="CJ1056" i="9"/>
  <c r="CJ1057" i="9"/>
  <c r="CJ1058" i="9"/>
  <c r="CJ1059" i="9"/>
  <c r="CJ1060" i="9"/>
  <c r="CJ1061" i="9"/>
  <c r="CJ1062" i="9"/>
  <c r="CJ1063" i="9"/>
  <c r="CJ1064" i="9"/>
  <c r="CJ1065" i="9"/>
  <c r="CJ1066" i="9"/>
  <c r="CJ1067" i="9"/>
  <c r="CJ1068" i="9"/>
  <c r="CJ1069" i="9"/>
  <c r="CJ1070" i="9"/>
  <c r="CJ1071" i="9"/>
  <c r="CJ1072" i="9"/>
  <c r="CJ1073" i="9"/>
  <c r="CJ1074" i="9"/>
  <c r="CJ1075" i="9"/>
  <c r="CJ1076" i="9"/>
  <c r="CJ1077" i="9"/>
  <c r="CJ1078" i="9"/>
  <c r="CJ1079" i="9"/>
  <c r="CJ1080" i="9"/>
  <c r="CJ1081" i="9"/>
  <c r="CJ1082" i="9"/>
  <c r="CJ1083" i="9"/>
  <c r="CJ1084" i="9"/>
  <c r="CJ1085" i="9"/>
  <c r="CJ1086" i="9"/>
  <c r="CJ1087" i="9"/>
  <c r="CJ1088" i="9"/>
  <c r="CJ1089" i="9"/>
  <c r="CJ1090" i="9"/>
  <c r="CJ1091" i="9"/>
  <c r="CJ1092" i="9"/>
  <c r="CJ1093" i="9"/>
  <c r="CJ1094" i="9"/>
  <c r="CJ1095" i="9"/>
  <c r="CJ1096" i="9"/>
  <c r="CJ1097" i="9"/>
  <c r="CJ1098" i="9"/>
  <c r="CJ1099" i="9"/>
  <c r="CJ1100" i="9"/>
  <c r="CJ1101" i="9"/>
  <c r="CJ1102" i="9"/>
  <c r="CJ1103" i="9"/>
  <c r="CJ1104" i="9"/>
  <c r="CJ1105" i="9"/>
  <c r="CJ1106" i="9"/>
  <c r="CJ1107" i="9"/>
  <c r="CJ1108" i="9"/>
  <c r="CJ1109" i="9"/>
  <c r="CJ1110" i="9"/>
  <c r="CJ1111" i="9"/>
  <c r="CJ1112" i="9"/>
  <c r="CJ1113" i="9"/>
  <c r="CJ1114" i="9"/>
  <c r="CJ1115" i="9"/>
  <c r="CJ1116" i="9"/>
  <c r="CJ1117" i="9"/>
  <c r="CJ1118" i="9"/>
  <c r="CJ1119" i="9"/>
  <c r="CJ1120" i="9"/>
  <c r="CJ1121" i="9"/>
  <c r="CJ1122" i="9"/>
  <c r="CJ1123" i="9"/>
  <c r="CJ1124" i="9"/>
  <c r="CJ1125" i="9"/>
  <c r="CJ1126" i="9"/>
  <c r="CJ1127" i="9"/>
  <c r="CJ1128" i="9"/>
  <c r="CJ1129" i="9"/>
  <c r="CJ1130" i="9"/>
  <c r="CJ1131" i="9"/>
  <c r="CJ1132" i="9"/>
  <c r="CJ1133" i="9"/>
  <c r="CJ1134" i="9"/>
  <c r="CJ1135" i="9"/>
  <c r="CJ1136" i="9"/>
  <c r="CJ1137" i="9"/>
  <c r="CJ1138" i="9"/>
  <c r="CJ1139" i="9"/>
  <c r="CJ1140" i="9"/>
  <c r="CJ1141" i="9"/>
  <c r="CJ1142" i="9"/>
  <c r="CJ1143" i="9"/>
  <c r="CJ1144" i="9"/>
  <c r="CJ1145" i="9"/>
  <c r="CJ1146" i="9"/>
  <c r="CJ1147" i="9"/>
  <c r="CJ1148" i="9"/>
  <c r="CJ1149" i="9"/>
  <c r="CJ1150" i="9"/>
  <c r="CJ1151" i="9"/>
  <c r="CJ1152" i="9"/>
  <c r="CJ1153" i="9"/>
  <c r="CJ1154" i="9"/>
  <c r="CJ1155" i="9"/>
  <c r="CJ1156" i="9"/>
  <c r="CJ1157" i="9"/>
  <c r="CJ1158" i="9"/>
  <c r="CJ1159" i="9"/>
  <c r="CJ1160" i="9"/>
  <c r="CJ1161" i="9"/>
  <c r="CJ1162" i="9"/>
  <c r="CJ1163" i="9"/>
  <c r="CJ1164" i="9"/>
  <c r="CJ1165" i="9"/>
  <c r="CJ1166" i="9"/>
  <c r="CJ1167" i="9"/>
  <c r="CJ1168" i="9"/>
  <c r="CJ1169" i="9"/>
  <c r="CJ1170" i="9"/>
  <c r="CJ1171" i="9"/>
  <c r="CJ1172" i="9"/>
  <c r="CJ1173" i="9"/>
  <c r="CJ1174" i="9"/>
  <c r="CJ1175" i="9"/>
  <c r="CJ1176" i="9"/>
  <c r="CJ1177" i="9"/>
  <c r="CJ1178" i="9"/>
  <c r="CJ1179" i="9"/>
  <c r="CJ1180" i="9"/>
  <c r="CJ1181" i="9"/>
  <c r="CJ1182" i="9"/>
  <c r="CJ1183" i="9"/>
  <c r="CJ1184" i="9"/>
  <c r="CJ1185" i="9"/>
  <c r="CJ1186" i="9"/>
  <c r="CJ1187" i="9"/>
  <c r="CJ1188" i="9"/>
  <c r="CJ1189" i="9"/>
  <c r="CJ1190" i="9"/>
  <c r="CJ1191" i="9"/>
  <c r="CJ1192" i="9"/>
  <c r="CJ1193" i="9"/>
  <c r="CJ1194" i="9"/>
  <c r="CJ1195" i="9"/>
  <c r="CJ1196" i="9"/>
  <c r="CJ1197" i="9"/>
  <c r="CJ1198" i="9"/>
  <c r="CJ1199" i="9"/>
  <c r="CJ1200" i="9"/>
  <c r="CJ1201" i="9"/>
  <c r="CJ1202" i="9"/>
  <c r="CJ1203" i="9"/>
  <c r="CJ1204" i="9"/>
  <c r="CJ1205" i="9"/>
  <c r="CJ1206" i="9"/>
  <c r="CJ1207" i="9"/>
  <c r="CJ1208" i="9"/>
  <c r="CJ1209" i="9"/>
  <c r="CJ1210" i="9"/>
  <c r="CJ1211" i="9"/>
  <c r="CJ1212" i="9"/>
  <c r="CJ1213" i="9"/>
  <c r="CJ1214" i="9"/>
  <c r="CJ1215" i="9"/>
  <c r="CJ1216" i="9"/>
  <c r="CJ1217" i="9"/>
  <c r="CJ1218" i="9"/>
  <c r="CJ1219" i="9"/>
  <c r="CJ1220" i="9"/>
  <c r="CJ1221" i="9"/>
  <c r="CJ1222" i="9"/>
  <c r="CJ1223" i="9"/>
  <c r="CJ1224" i="9"/>
  <c r="CJ1225" i="9"/>
  <c r="CJ1226" i="9"/>
  <c r="CJ1227" i="9"/>
  <c r="CJ1228" i="9"/>
  <c r="CJ1229" i="9"/>
  <c r="CJ1230" i="9"/>
  <c r="CJ1231" i="9"/>
  <c r="CJ1232" i="9"/>
  <c r="CJ1233" i="9"/>
  <c r="CJ1234" i="9"/>
  <c r="CJ1235" i="9"/>
  <c r="CJ1236" i="9"/>
  <c r="CJ1237" i="9"/>
  <c r="CJ1238" i="9"/>
  <c r="CJ1239" i="9"/>
  <c r="CJ1240" i="9"/>
  <c r="CJ1241" i="9"/>
  <c r="CJ1242" i="9"/>
  <c r="CJ1243" i="9"/>
  <c r="CJ1244" i="9"/>
  <c r="CJ1245" i="9"/>
  <c r="CJ1246" i="9"/>
  <c r="CJ1247" i="9"/>
  <c r="CJ1248" i="9"/>
  <c r="CJ1249" i="9"/>
  <c r="CJ1250" i="9"/>
  <c r="CJ1251" i="9"/>
  <c r="CJ1252" i="9"/>
  <c r="CJ1253" i="9"/>
  <c r="CJ1254" i="9"/>
  <c r="CJ1255" i="9"/>
  <c r="CJ1256" i="9"/>
  <c r="CJ1257" i="9"/>
  <c r="CJ1258" i="9"/>
  <c r="CJ1259" i="9"/>
  <c r="CJ1260" i="9"/>
  <c r="CJ1261" i="9"/>
  <c r="CJ1262" i="9"/>
  <c r="CJ1263" i="9"/>
  <c r="CJ1264" i="9"/>
  <c r="CJ1265" i="9"/>
  <c r="CJ1266" i="9"/>
  <c r="CJ1267" i="9"/>
  <c r="CJ1268" i="9"/>
  <c r="CJ1269" i="9"/>
  <c r="CJ1270" i="9"/>
  <c r="CJ1271" i="9"/>
  <c r="CJ1272" i="9"/>
  <c r="CJ1273" i="9"/>
  <c r="CJ1274" i="9"/>
  <c r="CJ1275" i="9"/>
  <c r="CJ1276" i="9"/>
  <c r="CJ1277" i="9"/>
  <c r="CJ1278" i="9"/>
  <c r="CJ1279" i="9"/>
  <c r="CJ1280" i="9"/>
  <c r="CJ1281" i="9"/>
  <c r="CJ1282" i="9"/>
  <c r="CJ1283" i="9"/>
  <c r="CJ1284" i="9"/>
  <c r="CJ1285" i="9"/>
  <c r="CJ1286" i="9"/>
  <c r="CJ1287" i="9"/>
  <c r="CJ1288" i="9"/>
  <c r="CJ1289" i="9"/>
  <c r="CJ1290" i="9"/>
  <c r="CJ1291" i="9"/>
  <c r="CJ1292" i="9"/>
  <c r="CJ1293" i="9"/>
  <c r="CJ1294" i="9"/>
  <c r="CJ1295" i="9"/>
  <c r="CJ1296" i="9"/>
  <c r="CJ1297" i="9"/>
  <c r="CJ1298" i="9"/>
  <c r="CJ1299" i="9"/>
  <c r="CJ1300" i="9"/>
  <c r="CJ1301" i="9"/>
  <c r="CJ1302" i="9"/>
  <c r="CJ1303" i="9"/>
  <c r="CJ1304" i="9"/>
  <c r="CJ1305" i="9"/>
  <c r="CJ1306" i="9"/>
  <c r="CJ1307" i="9"/>
  <c r="CJ1308" i="9"/>
  <c r="CJ1309" i="9"/>
  <c r="CJ1310" i="9"/>
  <c r="CJ1311" i="9"/>
  <c r="CJ1312" i="9"/>
  <c r="CJ1313" i="9"/>
  <c r="CJ1314" i="9"/>
  <c r="CJ1315" i="9"/>
  <c r="CJ1316" i="9"/>
  <c r="CJ1317" i="9"/>
  <c r="CJ1318" i="9"/>
  <c r="CJ1319" i="9"/>
  <c r="CJ1320" i="9"/>
  <c r="CJ1321" i="9"/>
  <c r="CJ1322" i="9"/>
  <c r="CJ1323" i="9"/>
  <c r="CJ1324" i="9"/>
  <c r="CJ1325" i="9"/>
  <c r="CJ1326" i="9"/>
  <c r="CJ1327" i="9"/>
  <c r="CJ1328" i="9"/>
  <c r="CJ1329" i="9"/>
  <c r="CJ1330" i="9"/>
  <c r="CJ1331" i="9"/>
  <c r="CJ1332" i="9"/>
  <c r="CJ1333" i="9"/>
  <c r="CJ1334" i="9"/>
  <c r="CJ1335" i="9"/>
  <c r="CJ1336" i="9"/>
  <c r="CJ1337" i="9"/>
  <c r="CJ1338" i="9"/>
  <c r="CJ1339" i="9"/>
  <c r="CJ1340" i="9"/>
  <c r="CJ1341" i="9"/>
  <c r="CJ1342" i="9"/>
  <c r="CJ1343" i="9"/>
  <c r="CJ1344" i="9"/>
  <c r="CJ1345" i="9"/>
  <c r="CJ1346" i="9"/>
  <c r="CJ1347" i="9"/>
  <c r="CJ1348" i="9"/>
  <c r="CJ1349" i="9"/>
  <c r="CJ1350" i="9"/>
  <c r="CJ1351" i="9"/>
  <c r="CJ1352" i="9"/>
  <c r="CJ1353" i="9"/>
  <c r="CJ1354" i="9"/>
  <c r="CJ1355" i="9"/>
  <c r="CJ1356" i="9"/>
  <c r="CJ1357" i="9"/>
  <c r="CJ1358" i="9"/>
  <c r="CJ1359" i="9"/>
  <c r="CJ1360" i="9"/>
  <c r="CJ1361" i="9"/>
  <c r="CJ1362" i="9"/>
  <c r="CJ1363" i="9"/>
  <c r="CJ1364" i="9"/>
  <c r="CJ1365" i="9"/>
  <c r="CJ1366" i="9"/>
  <c r="CJ1367" i="9"/>
  <c r="CJ1368" i="9"/>
  <c r="CJ1369" i="9"/>
  <c r="CJ1370" i="9"/>
  <c r="CJ1371" i="9"/>
  <c r="CJ1372" i="9"/>
  <c r="CJ1373" i="9"/>
  <c r="CJ1374" i="9"/>
  <c r="CJ1375" i="9"/>
  <c r="CJ1376" i="9"/>
  <c r="CJ1377" i="9"/>
  <c r="CJ1378" i="9"/>
  <c r="CJ1379" i="9"/>
  <c r="CJ1380" i="9"/>
  <c r="CJ1381" i="9"/>
  <c r="CJ1382" i="9"/>
  <c r="CJ1383" i="9"/>
  <c r="CJ1384" i="9"/>
  <c r="CJ1385" i="9"/>
  <c r="CJ1386" i="9"/>
  <c r="CJ1387" i="9"/>
  <c r="CJ1388" i="9"/>
  <c r="CJ1389" i="9"/>
  <c r="CJ1390" i="9"/>
  <c r="CJ1391" i="9"/>
  <c r="CJ1392" i="9"/>
  <c r="CJ1393" i="9"/>
  <c r="CJ1394" i="9"/>
  <c r="CJ1395" i="9"/>
  <c r="CJ1396" i="9"/>
  <c r="CJ1397" i="9"/>
  <c r="CJ1398" i="9"/>
  <c r="CJ1399" i="9"/>
  <c r="CJ1400" i="9"/>
  <c r="CJ1401" i="9"/>
  <c r="CJ1402" i="9"/>
  <c r="CJ1403" i="9"/>
  <c r="CJ1404" i="9"/>
  <c r="CJ1405" i="9"/>
  <c r="CJ1406" i="9"/>
  <c r="CJ1407" i="9"/>
  <c r="CJ1408" i="9"/>
  <c r="CJ1409" i="9"/>
  <c r="CJ1410" i="9"/>
  <c r="CJ1411" i="9"/>
  <c r="CJ1412" i="9"/>
  <c r="CJ1413" i="9"/>
  <c r="CJ1414" i="9"/>
  <c r="CJ1415" i="9"/>
  <c r="CJ1416" i="9"/>
  <c r="CJ1417" i="9"/>
  <c r="CJ1418" i="9"/>
  <c r="CJ1419" i="9"/>
  <c r="CJ1420" i="9"/>
  <c r="CJ1421" i="9"/>
  <c r="CJ1422" i="9"/>
  <c r="CJ1423" i="9"/>
  <c r="CJ1424" i="9"/>
  <c r="CJ1425" i="9"/>
  <c r="CJ1426" i="9"/>
  <c r="CJ1427" i="9"/>
  <c r="CJ1428" i="9"/>
  <c r="CJ1429" i="9"/>
  <c r="CJ1430" i="9"/>
  <c r="CJ1431" i="9"/>
  <c r="CJ1432" i="9"/>
  <c r="CJ1433" i="9"/>
  <c r="CJ1434" i="9"/>
  <c r="CJ1435" i="9"/>
  <c r="CJ1436" i="9"/>
  <c r="CJ1437" i="9"/>
  <c r="CJ1438" i="9"/>
  <c r="CJ1439" i="9"/>
  <c r="CJ1440" i="9"/>
  <c r="CJ1441" i="9"/>
  <c r="CJ1442" i="9"/>
  <c r="CJ1443" i="9"/>
  <c r="CJ1444" i="9"/>
  <c r="CJ1445" i="9"/>
  <c r="CJ1446" i="9"/>
  <c r="CJ1447" i="9"/>
  <c r="CJ1448" i="9"/>
  <c r="CJ1449" i="9"/>
  <c r="CJ1450" i="9"/>
  <c r="CJ1451" i="9"/>
  <c r="CJ1452" i="9"/>
  <c r="CJ1453" i="9"/>
  <c r="CJ1454" i="9"/>
  <c r="CJ1455" i="9"/>
  <c r="CJ1456" i="9"/>
  <c r="CJ1457" i="9"/>
  <c r="CJ1458" i="9"/>
  <c r="CJ1459" i="9"/>
  <c r="CJ1460" i="9"/>
  <c r="CJ1461" i="9"/>
  <c r="CJ1462" i="9"/>
  <c r="CJ1463" i="9"/>
  <c r="CJ1464" i="9"/>
  <c r="CJ1465" i="9"/>
  <c r="CJ1466" i="9"/>
  <c r="CJ1467" i="9"/>
  <c r="CJ1468" i="9"/>
  <c r="CJ1469" i="9"/>
  <c r="CJ1470" i="9"/>
  <c r="CJ1471" i="9"/>
  <c r="CJ1472" i="9"/>
  <c r="CJ1473" i="9"/>
  <c r="CJ1474" i="9"/>
  <c r="CJ1475" i="9"/>
  <c r="CJ1476" i="9"/>
  <c r="CJ1477" i="9"/>
  <c r="CJ1478" i="9"/>
  <c r="CJ1479" i="9"/>
  <c r="CJ1480" i="9"/>
  <c r="CJ1481" i="9"/>
  <c r="CJ1482" i="9"/>
  <c r="CJ1483" i="9"/>
  <c r="CJ1484" i="9"/>
  <c r="CJ1485" i="9"/>
  <c r="CJ1486" i="9"/>
  <c r="CJ1487" i="9"/>
  <c r="CJ1488" i="9"/>
  <c r="CJ1489" i="9"/>
  <c r="CJ1490" i="9"/>
  <c r="CJ1491" i="9"/>
  <c r="CJ1492" i="9"/>
  <c r="CJ1493" i="9"/>
  <c r="CJ1494" i="9"/>
  <c r="CJ1495" i="9"/>
  <c r="CJ1496" i="9"/>
  <c r="CJ1497" i="9"/>
  <c r="CJ1498" i="9"/>
  <c r="CJ1499" i="9"/>
  <c r="CJ1500" i="9"/>
  <c r="CJ1501" i="9"/>
  <c r="CJ1502" i="9"/>
  <c r="CJ1503" i="9"/>
  <c r="CJ1504" i="9"/>
  <c r="CJ1505" i="9"/>
  <c r="CJ1506" i="9"/>
  <c r="CJ1507" i="9"/>
  <c r="CJ1508" i="9"/>
  <c r="CJ1509" i="9"/>
  <c r="CJ1510" i="9"/>
  <c r="CJ1511" i="9"/>
  <c r="CJ1512" i="9"/>
  <c r="CJ1513" i="9"/>
  <c r="CJ1514" i="9"/>
  <c r="CJ1515" i="9"/>
  <c r="CJ1516" i="9"/>
  <c r="CJ1517" i="9"/>
  <c r="CJ1518" i="9"/>
  <c r="CJ1519" i="9"/>
  <c r="CJ1520" i="9"/>
  <c r="CJ1521" i="9"/>
  <c r="CJ1522" i="9"/>
  <c r="CJ1523" i="9"/>
  <c r="CJ1524" i="9"/>
  <c r="CJ1525" i="9"/>
  <c r="CJ1526" i="9"/>
  <c r="CJ1527" i="9"/>
  <c r="CJ1528" i="9"/>
  <c r="CJ1529" i="9"/>
  <c r="CJ1530" i="9"/>
  <c r="CJ1531" i="9"/>
  <c r="CJ1532" i="9"/>
  <c r="CJ1533" i="9"/>
  <c r="CJ1534" i="9"/>
  <c r="CJ1535" i="9"/>
  <c r="CJ1536" i="9"/>
  <c r="CJ1537" i="9"/>
  <c r="CJ1538" i="9"/>
  <c r="CJ1539" i="9"/>
  <c r="CJ1540" i="9"/>
  <c r="CJ1541" i="9"/>
  <c r="CJ1542" i="9"/>
  <c r="CJ1543" i="9"/>
  <c r="CJ1544" i="9"/>
  <c r="CJ1545" i="9"/>
  <c r="CJ1546" i="9"/>
  <c r="CJ1547" i="9"/>
  <c r="CJ1548" i="9"/>
  <c r="CJ1549" i="9"/>
  <c r="CJ1550" i="9"/>
  <c r="CJ1551" i="9"/>
  <c r="CJ1552" i="9"/>
  <c r="CJ1553" i="9"/>
  <c r="CJ1554" i="9"/>
  <c r="CJ1555" i="9"/>
  <c r="CJ1556" i="9"/>
  <c r="CJ1557" i="9"/>
  <c r="CJ1558" i="9"/>
  <c r="CJ1559" i="9"/>
  <c r="CJ1560" i="9"/>
  <c r="CJ1561" i="9"/>
  <c r="CJ1562" i="9"/>
  <c r="CJ1563" i="9"/>
  <c r="CJ1564" i="9"/>
  <c r="CJ1565" i="9"/>
  <c r="CJ1566" i="9"/>
  <c r="CJ1567" i="9"/>
  <c r="CJ1568" i="9"/>
  <c r="CJ1569" i="9"/>
  <c r="CJ1570" i="9"/>
  <c r="CJ1571" i="9"/>
  <c r="CJ1572" i="9"/>
  <c r="CJ1573" i="9"/>
  <c r="CJ1574" i="9"/>
  <c r="CJ1575" i="9"/>
  <c r="CJ1576" i="9"/>
  <c r="CJ1577" i="9"/>
  <c r="CJ1578" i="9"/>
  <c r="CJ1579" i="9"/>
  <c r="CJ1580" i="9"/>
  <c r="CJ1581" i="9"/>
  <c r="CJ1582" i="9"/>
  <c r="CJ1583" i="9"/>
  <c r="CJ1584" i="9"/>
  <c r="CJ1585" i="9"/>
  <c r="CJ1586" i="9"/>
  <c r="CJ1587" i="9"/>
  <c r="CJ1588" i="9"/>
  <c r="CJ1589" i="9"/>
  <c r="CJ1590" i="9"/>
  <c r="CJ1591" i="9"/>
  <c r="CJ1592" i="9"/>
  <c r="CJ1593" i="9"/>
  <c r="CJ1594" i="9"/>
  <c r="CJ1595" i="9"/>
  <c r="CJ1596" i="9"/>
  <c r="CJ1597" i="9"/>
  <c r="CJ1598" i="9"/>
  <c r="CJ1599" i="9"/>
  <c r="CJ1600" i="9"/>
  <c r="CJ1601" i="9"/>
  <c r="CJ1602" i="9"/>
  <c r="CJ1603" i="9"/>
  <c r="CJ1604" i="9"/>
  <c r="CJ1605" i="9"/>
  <c r="CJ1606" i="9"/>
  <c r="CJ1607" i="9"/>
  <c r="CJ1608" i="9"/>
  <c r="CJ1609" i="9"/>
  <c r="CJ1610" i="9"/>
  <c r="CJ1611" i="9"/>
  <c r="CJ1612" i="9"/>
  <c r="CJ1613" i="9"/>
  <c r="CJ1614" i="9"/>
  <c r="CJ1615" i="9"/>
  <c r="CJ1616" i="9"/>
  <c r="CJ1617" i="9"/>
  <c r="CJ1618" i="9"/>
  <c r="CJ1619" i="9"/>
  <c r="CJ1620" i="9"/>
  <c r="CJ1621" i="9"/>
  <c r="CJ1622" i="9"/>
  <c r="CJ1623" i="9"/>
  <c r="CJ1624" i="9"/>
  <c r="CJ1625" i="9"/>
  <c r="CJ1626" i="9"/>
  <c r="CJ1627" i="9"/>
  <c r="CJ1628" i="9"/>
  <c r="CJ1629" i="9"/>
  <c r="CJ1630" i="9"/>
  <c r="CJ1631" i="9"/>
  <c r="CJ1632" i="9"/>
  <c r="CJ1633" i="9"/>
  <c r="CJ1634" i="9"/>
  <c r="CJ1635" i="9"/>
  <c r="CJ1636" i="9"/>
  <c r="CJ1637" i="9"/>
  <c r="CJ1638" i="9"/>
  <c r="CJ1639" i="9"/>
  <c r="CJ1640" i="9"/>
  <c r="CJ1641" i="9"/>
  <c r="CJ1642" i="9"/>
  <c r="CJ1643" i="9"/>
  <c r="CJ1644" i="9"/>
  <c r="CJ1645" i="9"/>
  <c r="CJ1646" i="9"/>
  <c r="CJ1647" i="9"/>
  <c r="CJ1648" i="9"/>
  <c r="CJ1649" i="9"/>
  <c r="CJ1650" i="9"/>
  <c r="CJ1651" i="9"/>
  <c r="CJ1652" i="9"/>
  <c r="CJ1653" i="9"/>
  <c r="CJ1654" i="9"/>
  <c r="CJ1655" i="9"/>
  <c r="CJ1656" i="9"/>
  <c r="CJ1657" i="9"/>
  <c r="CJ1658" i="9"/>
  <c r="CJ1659" i="9"/>
  <c r="CJ1660" i="9"/>
  <c r="CJ1661" i="9"/>
  <c r="CJ1662" i="9"/>
  <c r="CJ1663" i="9"/>
  <c r="CJ1664" i="9"/>
  <c r="CJ1665" i="9"/>
  <c r="CJ1666" i="9"/>
  <c r="CJ1667" i="9"/>
  <c r="CJ1668" i="9"/>
  <c r="CJ1669" i="9"/>
  <c r="CJ1670" i="9"/>
  <c r="CJ1671" i="9"/>
  <c r="CJ1672" i="9"/>
  <c r="CJ1673" i="9"/>
  <c r="CJ1674" i="9"/>
  <c r="CJ1675" i="9"/>
  <c r="CJ1676" i="9"/>
  <c r="CJ1677" i="9"/>
  <c r="CJ1678" i="9"/>
  <c r="CJ1679" i="9"/>
  <c r="CJ1680" i="9"/>
  <c r="CJ1681" i="9"/>
  <c r="CJ1682" i="9"/>
  <c r="CJ1683" i="9"/>
  <c r="CJ1684" i="9"/>
  <c r="CJ1685" i="9"/>
  <c r="CJ1686" i="9"/>
  <c r="CJ1687" i="9"/>
  <c r="CJ1688" i="9"/>
  <c r="CJ1689" i="9"/>
  <c r="CJ1690" i="9"/>
  <c r="CJ1691" i="9"/>
  <c r="CJ1692" i="9"/>
  <c r="CJ1693" i="9"/>
  <c r="CJ1694" i="9"/>
  <c r="CJ1695" i="9"/>
  <c r="CJ1696" i="9"/>
  <c r="CJ1697" i="9"/>
  <c r="CJ1698" i="9"/>
  <c r="CJ1699" i="9"/>
  <c r="CJ1700" i="9"/>
  <c r="CJ1701" i="9"/>
  <c r="CJ1702" i="9"/>
  <c r="CJ1703" i="9"/>
  <c r="CJ1704" i="9"/>
  <c r="CJ1705" i="9"/>
  <c r="CJ1706" i="9"/>
  <c r="CJ1707" i="9"/>
  <c r="CJ1708" i="9"/>
  <c r="CJ1709" i="9"/>
  <c r="CJ1710" i="9"/>
  <c r="CJ1711" i="9"/>
  <c r="CJ1712" i="9"/>
  <c r="CJ1713" i="9"/>
  <c r="CJ1714" i="9"/>
  <c r="CJ1715" i="9"/>
  <c r="CJ1716" i="9"/>
  <c r="CJ1717" i="9"/>
  <c r="CJ1718" i="9"/>
  <c r="CJ1719" i="9"/>
  <c r="CJ1720" i="9"/>
  <c r="CJ1721" i="9"/>
  <c r="CJ1722" i="9"/>
  <c r="CJ1723" i="9"/>
  <c r="CJ1724" i="9"/>
  <c r="CJ1725" i="9"/>
  <c r="CJ1726" i="9"/>
  <c r="CJ1727" i="9"/>
  <c r="CJ1728" i="9"/>
  <c r="CJ1729" i="9"/>
  <c r="CJ1730" i="9"/>
  <c r="CJ1731" i="9"/>
  <c r="CJ1732" i="9"/>
  <c r="CJ1733" i="9"/>
  <c r="CJ1734" i="9"/>
  <c r="CJ1735" i="9"/>
  <c r="CJ1736" i="9"/>
  <c r="CJ1737" i="9"/>
  <c r="CJ1738" i="9"/>
  <c r="CJ1739" i="9"/>
  <c r="CJ1740" i="9"/>
  <c r="CJ1741" i="9"/>
  <c r="CJ1742" i="9"/>
  <c r="CJ1743" i="9"/>
  <c r="CJ1744" i="9"/>
  <c r="CJ1745" i="9"/>
  <c r="CJ1746" i="9"/>
  <c r="CJ1747" i="9"/>
  <c r="CJ1748" i="9"/>
  <c r="CJ1749" i="9"/>
  <c r="CJ1750" i="9"/>
  <c r="CJ1751" i="9"/>
  <c r="CJ1752" i="9"/>
  <c r="CJ1753" i="9"/>
  <c r="CJ1754" i="9"/>
  <c r="CJ1755" i="9"/>
  <c r="CJ1756" i="9"/>
  <c r="CJ1757" i="9"/>
  <c r="CJ1758" i="9"/>
  <c r="CJ1759" i="9"/>
  <c r="CJ1760" i="9"/>
  <c r="CJ1761" i="9"/>
  <c r="CJ1762" i="9"/>
  <c r="CJ1763" i="9"/>
  <c r="CJ1764" i="9"/>
  <c r="CJ1765" i="9"/>
  <c r="CJ1766" i="9"/>
  <c r="CJ1767" i="9"/>
  <c r="CJ1768" i="9"/>
  <c r="CJ1769" i="9"/>
  <c r="CJ1770" i="9"/>
  <c r="CJ1771" i="9"/>
  <c r="CJ1772" i="9"/>
  <c r="CJ1773" i="9"/>
  <c r="CJ1774" i="9"/>
  <c r="CJ1775" i="9"/>
  <c r="CJ1776" i="9"/>
  <c r="CJ1777" i="9"/>
  <c r="CJ1778" i="9"/>
  <c r="CJ1779" i="9"/>
  <c r="CJ1780" i="9"/>
  <c r="CJ1781" i="9"/>
  <c r="CJ1782" i="9"/>
  <c r="CJ1783" i="9"/>
  <c r="CJ1784" i="9"/>
  <c r="CJ1785" i="9"/>
  <c r="CJ1786" i="9"/>
  <c r="CJ1787" i="9"/>
  <c r="CJ1788" i="9"/>
  <c r="CJ1789" i="9"/>
  <c r="CJ1790" i="9"/>
  <c r="CJ1791" i="9"/>
  <c r="CJ1792" i="9"/>
  <c r="CJ1793" i="9"/>
  <c r="CJ1794" i="9"/>
  <c r="CJ1795" i="9"/>
  <c r="CJ1796" i="9"/>
  <c r="CJ1797" i="9"/>
  <c r="CJ1798" i="9"/>
  <c r="CJ1799" i="9"/>
  <c r="CJ1800" i="9"/>
  <c r="CJ1801" i="9"/>
  <c r="CJ1802" i="9"/>
  <c r="CJ1803" i="9"/>
  <c r="CJ1804" i="9"/>
  <c r="CJ1805" i="9"/>
  <c r="CJ1806" i="9"/>
  <c r="CJ1807" i="9"/>
  <c r="CJ1808" i="9"/>
  <c r="CJ1809" i="9"/>
  <c r="CJ1810" i="9"/>
  <c r="CJ1811" i="9"/>
  <c r="CJ1812" i="9"/>
  <c r="CJ1813" i="9"/>
  <c r="CJ1814" i="9"/>
  <c r="CJ1815" i="9"/>
  <c r="CJ1816" i="9"/>
  <c r="CJ1817" i="9"/>
  <c r="CJ1818" i="9"/>
  <c r="CJ1819" i="9"/>
  <c r="CJ1820" i="9"/>
  <c r="CJ1821" i="9"/>
  <c r="CJ1822" i="9"/>
  <c r="CJ1823" i="9"/>
  <c r="CJ1824" i="9"/>
  <c r="CJ1825" i="9"/>
  <c r="CJ1826" i="9"/>
  <c r="CJ1827" i="9"/>
  <c r="CJ1828" i="9"/>
  <c r="CJ1829" i="9"/>
  <c r="CJ1830" i="9"/>
  <c r="CJ1831" i="9"/>
  <c r="CJ1832" i="9"/>
  <c r="CJ1833" i="9"/>
  <c r="CJ1834" i="9"/>
  <c r="CJ1835" i="9"/>
  <c r="CJ1836" i="9"/>
  <c r="CJ1837" i="9"/>
  <c r="CJ1838" i="9"/>
  <c r="CJ1839" i="9"/>
  <c r="CJ1840" i="9"/>
  <c r="CJ1841" i="9"/>
  <c r="CJ1842" i="9"/>
  <c r="CJ1843" i="9"/>
  <c r="CJ1844" i="9"/>
  <c r="CJ1845" i="9"/>
  <c r="CJ1846" i="9"/>
  <c r="CJ1847" i="9"/>
  <c r="CJ1848" i="9"/>
  <c r="CJ1849" i="9"/>
  <c r="CJ1850" i="9"/>
  <c r="CJ1851" i="9"/>
  <c r="CJ1852" i="9"/>
  <c r="CJ1853" i="9"/>
  <c r="CJ1854" i="9"/>
  <c r="CJ1855" i="9"/>
  <c r="CJ1856" i="9"/>
  <c r="CJ1857" i="9"/>
  <c r="CJ1858" i="9"/>
  <c r="CJ1859" i="9"/>
  <c r="CJ1860" i="9"/>
  <c r="CJ1861" i="9"/>
  <c r="CJ1862" i="9"/>
  <c r="CJ1863" i="9"/>
  <c r="CJ1864" i="9"/>
  <c r="CJ1865" i="9"/>
  <c r="CJ1866" i="9"/>
  <c r="CJ1867" i="9"/>
  <c r="CJ1868" i="9"/>
  <c r="CJ1869" i="9"/>
  <c r="CJ1870" i="9"/>
  <c r="CJ1871" i="9"/>
  <c r="CJ1872" i="9"/>
  <c r="CJ1873" i="9"/>
  <c r="CJ1874" i="9"/>
  <c r="CJ1875" i="9"/>
  <c r="CJ1876" i="9"/>
  <c r="CJ1877" i="9"/>
  <c r="CJ1878" i="9"/>
  <c r="CJ1879" i="9"/>
  <c r="CJ1880" i="9"/>
  <c r="CJ1881" i="9"/>
  <c r="CJ1882" i="9"/>
  <c r="CJ1883" i="9"/>
  <c r="CJ1884" i="9"/>
  <c r="CJ1885" i="9"/>
  <c r="CJ1886" i="9"/>
  <c r="CJ1887" i="9"/>
  <c r="CJ1888" i="9"/>
  <c r="CJ1889" i="9"/>
  <c r="CJ1890" i="9"/>
  <c r="CJ1891" i="9"/>
  <c r="CJ1892" i="9"/>
  <c r="CJ1893" i="9"/>
  <c r="CJ1894" i="9"/>
  <c r="CJ1895" i="9"/>
  <c r="CJ1896" i="9"/>
  <c r="CJ1897" i="9"/>
  <c r="CJ1898" i="9"/>
  <c r="CJ1899" i="9"/>
  <c r="CJ1900" i="9"/>
  <c r="CJ1901" i="9"/>
  <c r="CJ1902" i="9"/>
  <c r="CJ1903" i="9"/>
  <c r="CJ1904" i="9"/>
  <c r="CJ1905" i="9"/>
  <c r="CJ1906" i="9"/>
  <c r="CJ1907" i="9"/>
  <c r="CJ1908" i="9"/>
  <c r="CJ1909" i="9"/>
  <c r="CJ1910" i="9"/>
  <c r="CJ1911" i="9"/>
  <c r="CJ1912" i="9"/>
  <c r="CJ1913" i="9"/>
  <c r="CJ1914" i="9"/>
  <c r="CJ1915" i="9"/>
  <c r="CJ1916" i="9"/>
  <c r="CJ1917" i="9"/>
  <c r="CJ1918" i="9"/>
  <c r="CJ1919" i="9"/>
  <c r="CJ1920" i="9"/>
  <c r="CJ1921" i="9"/>
  <c r="CJ1922" i="9"/>
  <c r="CJ1923" i="9"/>
  <c r="CJ1924" i="9"/>
  <c r="CJ1925" i="9"/>
  <c r="CJ1926" i="9"/>
  <c r="CJ1927" i="9"/>
  <c r="CJ1928" i="9"/>
  <c r="CJ1929" i="9"/>
  <c r="CJ1930" i="9"/>
  <c r="CJ1931" i="9"/>
  <c r="CJ1932" i="9"/>
  <c r="CJ1933" i="9"/>
  <c r="CJ1934" i="9"/>
  <c r="CJ1935" i="9"/>
  <c r="CJ1936" i="9"/>
  <c r="CJ1937" i="9"/>
  <c r="CJ1938" i="9"/>
  <c r="CJ1939" i="9"/>
  <c r="CJ1940" i="9"/>
  <c r="CJ1941" i="9"/>
  <c r="CJ1942" i="9"/>
  <c r="CJ1943" i="9"/>
  <c r="CJ1944" i="9"/>
  <c r="CJ1945" i="9"/>
  <c r="CJ1946" i="9"/>
  <c r="CJ1947" i="9"/>
  <c r="CJ1948" i="9"/>
  <c r="CJ1949" i="9"/>
  <c r="CJ1950" i="9"/>
  <c r="CJ1951" i="9"/>
  <c r="CJ1952" i="9"/>
  <c r="CJ1953" i="9"/>
  <c r="CJ1954" i="9"/>
  <c r="CJ1955" i="9"/>
  <c r="CJ1956" i="9"/>
  <c r="CJ1957" i="9"/>
  <c r="CJ1958" i="9"/>
  <c r="CJ1959" i="9"/>
  <c r="CJ1960" i="9"/>
  <c r="CJ1961" i="9"/>
  <c r="CJ1962" i="9"/>
  <c r="CJ1963" i="9"/>
  <c r="CJ1964" i="9"/>
  <c r="CJ1965" i="9"/>
  <c r="CJ1966" i="9"/>
  <c r="CJ1967" i="9"/>
  <c r="CJ1968" i="9"/>
  <c r="CJ1969" i="9"/>
  <c r="CJ1970" i="9"/>
  <c r="CJ1971" i="9"/>
  <c r="CJ1972" i="9"/>
  <c r="CJ1973" i="9"/>
  <c r="CJ1974" i="9"/>
  <c r="CJ1975" i="9"/>
  <c r="CJ1976" i="9"/>
  <c r="CJ1977" i="9"/>
  <c r="CJ1978" i="9"/>
  <c r="CJ1979" i="9"/>
  <c r="CJ1980" i="9"/>
  <c r="CJ1981" i="9"/>
  <c r="CJ1982" i="9"/>
  <c r="CJ1983" i="9"/>
  <c r="CJ1984" i="9"/>
  <c r="CJ1985" i="9"/>
  <c r="CJ1986" i="9"/>
  <c r="CJ1987" i="9"/>
  <c r="CJ1988" i="9"/>
  <c r="CJ1989" i="9"/>
  <c r="CJ1990" i="9"/>
  <c r="CJ1991" i="9"/>
  <c r="CJ1992" i="9"/>
  <c r="CJ1993" i="9"/>
  <c r="CJ1994" i="9"/>
  <c r="CJ1995" i="9"/>
  <c r="CJ1996" i="9"/>
  <c r="CJ1997" i="9"/>
  <c r="CJ1998" i="9"/>
  <c r="CJ1999" i="9"/>
  <c r="CJ2000" i="9"/>
  <c r="CJ2001" i="9"/>
  <c r="CJ2002" i="9"/>
  <c r="CJ2003" i="9"/>
  <c r="CJ2004" i="9"/>
  <c r="CJ2005" i="9"/>
  <c r="CJ2006" i="9"/>
  <c r="CJ2007" i="9"/>
  <c r="CJ2008" i="9"/>
  <c r="CJ9" i="9"/>
  <c r="CG9" i="9"/>
  <c r="DF12" i="9" l="1"/>
  <c r="DF16" i="9"/>
  <c r="CZ52" i="9"/>
  <c r="BU133" i="9"/>
  <c r="BP133" i="9"/>
  <c r="BS130" i="9"/>
  <c r="BP132" i="9"/>
  <c r="BP131" i="9"/>
  <c r="BR123" i="9"/>
  <c r="BR122" i="9"/>
  <c r="BP128" i="9"/>
  <c r="BP126" i="9"/>
  <c r="BP125" i="9"/>
  <c r="BO125" i="9"/>
  <c r="BO121" i="9"/>
  <c r="BO122" i="9"/>
  <c r="BO120" i="9"/>
  <c r="BN121" i="9"/>
  <c r="BN122" i="9"/>
  <c r="BN120" i="9"/>
  <c r="BM122" i="9"/>
  <c r="BM121" i="9"/>
  <c r="BL122" i="9"/>
  <c r="BM120" i="9"/>
  <c r="BP135" i="9" l="1"/>
  <c r="BP137" i="9" s="1"/>
  <c r="BN117" i="9"/>
  <c r="BN116" i="9"/>
  <c r="BN115" i="9"/>
  <c r="BK113" i="9"/>
  <c r="BK112" i="9"/>
  <c r="BK111" i="9"/>
  <c r="BI107" i="9"/>
  <c r="BI106" i="9"/>
  <c r="BR118" i="9" l="1"/>
  <c r="BV106" i="9"/>
  <c r="BU106" i="9"/>
  <c r="BR75" i="9"/>
  <c r="BQ73" i="9"/>
  <c r="BR73" i="9" s="1"/>
  <c r="BQ74" i="9"/>
  <c r="BQ75" i="9"/>
  <c r="BQ76" i="9"/>
  <c r="BQ72" i="9"/>
  <c r="BR72" i="9" s="1"/>
  <c r="BP77" i="9"/>
  <c r="BR77" i="9" l="1"/>
  <c r="BR78" i="9" s="1"/>
  <c r="BS73" i="9" s="1"/>
  <c r="BT73" i="9" s="1"/>
  <c r="BR76" i="9"/>
  <c r="BR74" i="9"/>
  <c r="BO10" i="9"/>
  <c r="BO11" i="9"/>
  <c r="BO12" i="9"/>
  <c r="BO13" i="9"/>
  <c r="BO14" i="9"/>
  <c r="BO15" i="9"/>
  <c r="BO16" i="9"/>
  <c r="BO17" i="9"/>
  <c r="BO18" i="9"/>
  <c r="BO19" i="9"/>
  <c r="BO20" i="9"/>
  <c r="BO21" i="9"/>
  <c r="BO22" i="9"/>
  <c r="BO23" i="9"/>
  <c r="BO24" i="9"/>
  <c r="BO25" i="9"/>
  <c r="BO26" i="9"/>
  <c r="BO27" i="9"/>
  <c r="BO28" i="9"/>
  <c r="BO29" i="9"/>
  <c r="BO30" i="9"/>
  <c r="BO31" i="9"/>
  <c r="BO32" i="9"/>
  <c r="BO33" i="9"/>
  <c r="BO34" i="9"/>
  <c r="BO35" i="9"/>
  <c r="BO36" i="9"/>
  <c r="BO37" i="9"/>
  <c r="BO38" i="9"/>
  <c r="BO39" i="9"/>
  <c r="BO40" i="9"/>
  <c r="BO41" i="9"/>
  <c r="BO42" i="9"/>
  <c r="BO43" i="9"/>
  <c r="BO44" i="9"/>
  <c r="BO45" i="9"/>
  <c r="BO46" i="9"/>
  <c r="BO47" i="9"/>
  <c r="BO48" i="9"/>
  <c r="BO49" i="9"/>
  <c r="BO50" i="9"/>
  <c r="BO51" i="9"/>
  <c r="BO52" i="9"/>
  <c r="BO53" i="9"/>
  <c r="BO9" i="9"/>
  <c r="AX24" i="9"/>
  <c r="AV25" i="9"/>
  <c r="AV23" i="9"/>
  <c r="AV22" i="9"/>
  <c r="AV26" i="9" s="1"/>
  <c r="AX25" i="9" s="1"/>
  <c r="AX26" i="9" s="1"/>
  <c r="AL5" i="9"/>
  <c r="AN39" i="9"/>
  <c r="AN40" i="9"/>
  <c r="AN41" i="9" s="1"/>
  <c r="AN42" i="9" s="1"/>
  <c r="AL6" i="9"/>
  <c r="AL7" i="9"/>
  <c r="AL8" i="9"/>
  <c r="AL9" i="9"/>
  <c r="AL10" i="9"/>
  <c r="AL11" i="9"/>
  <c r="AL12" i="9"/>
  <c r="AL13" i="9"/>
  <c r="AL14" i="9"/>
  <c r="AL15" i="9"/>
  <c r="AL16" i="9"/>
  <c r="AL17" i="9"/>
  <c r="AL18" i="9"/>
  <c r="AL19" i="9"/>
  <c r="AL20" i="9"/>
  <c r="AL21" i="9"/>
  <c r="AL22" i="9"/>
  <c r="AL23" i="9"/>
  <c r="AL24" i="9"/>
  <c r="AL4" i="9"/>
  <c r="AO22" i="9"/>
  <c r="BP43" i="9" l="1"/>
  <c r="BP24" i="9"/>
  <c r="BP39" i="9"/>
  <c r="BP29" i="9"/>
  <c r="BP13" i="9"/>
  <c r="BP51" i="9"/>
  <c r="BP35" i="9"/>
  <c r="BP31" i="9"/>
  <c r="BP46" i="9"/>
  <c r="BP52" i="9"/>
  <c r="BP27" i="9"/>
  <c r="BN10" i="9"/>
  <c r="BN18" i="9"/>
  <c r="BN26" i="9"/>
  <c r="BN34" i="9"/>
  <c r="BN42" i="9"/>
  <c r="BN50" i="9"/>
  <c r="BN11" i="9"/>
  <c r="BP11" i="9" s="1"/>
  <c r="BN19" i="9"/>
  <c r="BP19" i="9" s="1"/>
  <c r="BN27" i="9"/>
  <c r="BN35" i="9"/>
  <c r="BN43" i="9"/>
  <c r="BN51" i="9"/>
  <c r="BN12" i="9"/>
  <c r="BP12" i="9" s="1"/>
  <c r="BN20" i="9"/>
  <c r="BP20" i="9" s="1"/>
  <c r="BN28" i="9"/>
  <c r="BP28" i="9" s="1"/>
  <c r="BN36" i="9"/>
  <c r="BP36" i="9" s="1"/>
  <c r="BN44" i="9"/>
  <c r="BP44" i="9" s="1"/>
  <c r="BN52" i="9"/>
  <c r="BN13" i="9"/>
  <c r="BN21" i="9"/>
  <c r="BP21" i="9" s="1"/>
  <c r="BN29" i="9"/>
  <c r="BN37" i="9"/>
  <c r="BP37" i="9" s="1"/>
  <c r="BN45" i="9"/>
  <c r="BP45" i="9" s="1"/>
  <c r="BN53" i="9"/>
  <c r="BP53" i="9" s="1"/>
  <c r="BR53" i="9" s="1"/>
  <c r="BN14" i="9"/>
  <c r="BP14" i="9" s="1"/>
  <c r="BN22" i="9"/>
  <c r="BP22" i="9" s="1"/>
  <c r="BN30" i="9"/>
  <c r="BP30" i="9" s="1"/>
  <c r="BN38" i="9"/>
  <c r="BP38" i="9" s="1"/>
  <c r="BN46" i="9"/>
  <c r="BN9" i="9"/>
  <c r="BN15" i="9"/>
  <c r="BP15" i="9" s="1"/>
  <c r="BN23" i="9"/>
  <c r="BP23" i="9" s="1"/>
  <c r="BN31" i="9"/>
  <c r="BN39" i="9"/>
  <c r="BN47" i="9"/>
  <c r="BP47" i="9" s="1"/>
  <c r="BN16" i="9"/>
  <c r="BP16" i="9" s="1"/>
  <c r="BN24" i="9"/>
  <c r="BN32" i="9"/>
  <c r="BP32" i="9" s="1"/>
  <c r="BN40" i="9"/>
  <c r="BP40" i="9" s="1"/>
  <c r="BN48" i="9"/>
  <c r="BP48" i="9" s="1"/>
  <c r="BN17" i="9"/>
  <c r="BN25" i="9"/>
  <c r="BN33" i="9"/>
  <c r="BN41" i="9"/>
  <c r="BP41" i="9" s="1"/>
  <c r="BN49" i="9"/>
  <c r="BP50" i="9"/>
  <c r="BP42" i="9"/>
  <c r="BP34" i="9"/>
  <c r="BP26" i="9"/>
  <c r="BP18" i="9"/>
  <c r="BP10" i="9"/>
  <c r="BP49" i="9"/>
  <c r="BP33" i="9"/>
  <c r="BP25" i="9"/>
  <c r="BP17" i="9"/>
  <c r="BS72" i="9"/>
  <c r="BS74" i="9"/>
  <c r="BT74" i="9" s="1"/>
  <c r="BS75" i="9"/>
  <c r="BT75" i="9" s="1"/>
  <c r="BS76" i="9"/>
  <c r="BT76" i="9" s="1"/>
  <c r="BQ95" i="9"/>
  <c r="BP94" i="9"/>
  <c r="BR95" i="9"/>
  <c r="BQ94" i="9"/>
  <c r="BR94" i="9"/>
  <c r="BP95" i="9"/>
  <c r="AQ41" i="9"/>
  <c r="AQ42" i="9" s="1"/>
  <c r="AX41" i="9"/>
  <c r="AX42" i="9" s="1"/>
  <c r="BE40" i="9"/>
  <c r="BE41" i="9" s="1"/>
  <c r="BE42" i="9" s="1"/>
  <c r="BD40" i="9"/>
  <c r="BD41" i="9" s="1"/>
  <c r="BD42" i="9" s="1"/>
  <c r="BC40" i="9"/>
  <c r="BC41" i="9" s="1"/>
  <c r="BC42" i="9" s="1"/>
  <c r="BE39" i="9"/>
  <c r="BD39" i="9"/>
  <c r="BC39" i="9"/>
  <c r="AX40" i="9"/>
  <c r="AW40" i="9"/>
  <c r="AW41" i="9" s="1"/>
  <c r="AW42" i="9" s="1"/>
  <c r="AV40" i="9"/>
  <c r="AV41" i="9" s="1"/>
  <c r="AV42" i="9" s="1"/>
  <c r="AX39" i="9"/>
  <c r="AW39" i="9"/>
  <c r="AV39" i="9"/>
  <c r="AS40" i="9"/>
  <c r="AS41" i="9" s="1"/>
  <c r="AS42" i="9" s="1"/>
  <c r="AR40" i="9"/>
  <c r="AQ40" i="9"/>
  <c r="AS39" i="9"/>
  <c r="AR39" i="9"/>
  <c r="AR41" i="9" s="1"/>
  <c r="AR42" i="9" s="1"/>
  <c r="AQ39" i="9"/>
  <c r="AM39" i="9"/>
  <c r="AM40" i="9"/>
  <c r="AM41" i="9" s="1"/>
  <c r="AM42" i="9" s="1"/>
  <c r="AL40" i="9"/>
  <c r="AL41" i="9" s="1"/>
  <c r="AL42" i="9" s="1"/>
  <c r="AL39" i="9"/>
  <c r="BR86" i="9" l="1"/>
  <c r="BQ87" i="9"/>
  <c r="BQ88" i="9"/>
  <c r="BP87" i="9"/>
  <c r="BP86" i="9"/>
  <c r="BR88" i="9"/>
  <c r="BP88" i="9"/>
  <c r="BQ86" i="9"/>
  <c r="BR87" i="9"/>
  <c r="BP90" i="9"/>
  <c r="BR89" i="9"/>
  <c r="BQ89" i="9"/>
  <c r="BP89" i="9"/>
  <c r="BQ90" i="9"/>
  <c r="BR90" i="9"/>
  <c r="BQ91" i="9"/>
  <c r="BR91" i="9"/>
  <c r="BP91" i="9"/>
  <c r="BT72" i="9"/>
  <c r="BS77" i="9"/>
  <c r="BT77" i="9" s="1"/>
  <c r="AI32" i="9"/>
  <c r="AI33" i="9" s="1"/>
  <c r="BU87" i="9" l="1"/>
  <c r="BQ96" i="9"/>
  <c r="BQ97" i="9"/>
  <c r="BR97" i="9"/>
  <c r="BP97" i="9"/>
  <c r="BP96" i="9"/>
  <c r="BT96" i="9" s="1"/>
  <c r="BR96" i="9"/>
  <c r="BU91" i="9"/>
  <c r="BP93" i="9"/>
  <c r="BP92" i="9"/>
  <c r="BT86" i="9" s="1"/>
  <c r="BR92" i="9"/>
  <c r="BV87" i="9" s="1"/>
  <c r="BQ93" i="9"/>
  <c r="BU93" i="9" s="1"/>
  <c r="BR93" i="9"/>
  <c r="BV93" i="9" s="1"/>
  <c r="BQ92" i="9"/>
  <c r="AJ5" i="9"/>
  <c r="AK5" i="9" s="1"/>
  <c r="AJ6" i="9"/>
  <c r="AK6" i="9" s="1"/>
  <c r="AJ7" i="9"/>
  <c r="AK7" i="9" s="1"/>
  <c r="AJ8" i="9"/>
  <c r="AK8" i="9" s="1"/>
  <c r="AJ9" i="9"/>
  <c r="AK9" i="9" s="1"/>
  <c r="AJ10" i="9"/>
  <c r="AK10" i="9" s="1"/>
  <c r="AJ11" i="9"/>
  <c r="AK11" i="9" s="1"/>
  <c r="AJ12" i="9"/>
  <c r="AK12" i="9" s="1"/>
  <c r="AJ13" i="9"/>
  <c r="AK13" i="9" s="1"/>
  <c r="AJ14" i="9"/>
  <c r="AK14" i="9" s="1"/>
  <c r="AJ15" i="9"/>
  <c r="AK15" i="9" s="1"/>
  <c r="AJ16" i="9"/>
  <c r="AK16" i="9" s="1"/>
  <c r="AJ17" i="9"/>
  <c r="AK17" i="9" s="1"/>
  <c r="AJ18" i="9"/>
  <c r="AK18" i="9" s="1"/>
  <c r="AJ19" i="9"/>
  <c r="AK19" i="9" s="1"/>
  <c r="AJ20" i="9"/>
  <c r="AK20" i="9" s="1"/>
  <c r="AJ21" i="9"/>
  <c r="AK21" i="9" s="1"/>
  <c r="AJ22" i="9"/>
  <c r="AK22" i="9" s="1"/>
  <c r="AJ23" i="9"/>
  <c r="AK23" i="9" s="1"/>
  <c r="AJ24" i="9"/>
  <c r="AK24" i="9" s="1"/>
  <c r="AJ4" i="9"/>
  <c r="AK4" i="9" s="1"/>
  <c r="Y5" i="9"/>
  <c r="BV95" i="9" l="1"/>
  <c r="BU95" i="9"/>
  <c r="BV88" i="9"/>
  <c r="BT97" i="9"/>
  <c r="BU89" i="9"/>
  <c r="BT87" i="9"/>
  <c r="BT90" i="9"/>
  <c r="BV94" i="9"/>
  <c r="BT93" i="9"/>
  <c r="BT91" i="9"/>
  <c r="BU97" i="9"/>
  <c r="BV89" i="9"/>
  <c r="BT88" i="9"/>
  <c r="BU96" i="9"/>
  <c r="BV96" i="9"/>
  <c r="BV92" i="9"/>
  <c r="BV91" i="9"/>
  <c r="BU88" i="9"/>
  <c r="BT92" i="9"/>
  <c r="BT95" i="9"/>
  <c r="BV97" i="9"/>
  <c r="BT89" i="9"/>
  <c r="BT94" i="9"/>
  <c r="BU86" i="9"/>
  <c r="BV86" i="9"/>
  <c r="BU92" i="9"/>
  <c r="BU94" i="9"/>
  <c r="BU102" i="9" s="1"/>
  <c r="BU104" i="9" s="1"/>
  <c r="BU90" i="9"/>
  <c r="BU100" i="9" s="1"/>
  <c r="BU105" i="9" s="1"/>
  <c r="BV90" i="9"/>
  <c r="BV100" i="9" s="1"/>
  <c r="BV105" i="9" s="1"/>
  <c r="J1795" i="9"/>
  <c r="J1803" i="9"/>
  <c r="J1810" i="9"/>
  <c r="J1811" i="9"/>
  <c r="J1818" i="9"/>
  <c r="J1819" i="9"/>
  <c r="J1826" i="9"/>
  <c r="J1827" i="9"/>
  <c r="J1834" i="9"/>
  <c r="J1835" i="9"/>
  <c r="J1842" i="9"/>
  <c r="J1843" i="9"/>
  <c r="J1850" i="9"/>
  <c r="J1851" i="9"/>
  <c r="J1858" i="9"/>
  <c r="J1859" i="9"/>
  <c r="J1866" i="9"/>
  <c r="J1867" i="9"/>
  <c r="J1874" i="9"/>
  <c r="J1875" i="9"/>
  <c r="J1882" i="9"/>
  <c r="J1883" i="9"/>
  <c r="J1890" i="9"/>
  <c r="J1891" i="9"/>
  <c r="J1898" i="9"/>
  <c r="J1899" i="9"/>
  <c r="J1905" i="9"/>
  <c r="J1906" i="9"/>
  <c r="J1907" i="9"/>
  <c r="J1914" i="9"/>
  <c r="J1915" i="9"/>
  <c r="J1922" i="9"/>
  <c r="J1923" i="9"/>
  <c r="J1930" i="9"/>
  <c r="J1931" i="9"/>
  <c r="J1937" i="9"/>
  <c r="J1938" i="9"/>
  <c r="J1939" i="9"/>
  <c r="J1945" i="9"/>
  <c r="J1946" i="9"/>
  <c r="J1947" i="9"/>
  <c r="J1953" i="9"/>
  <c r="J1954" i="9"/>
  <c r="J1955" i="9"/>
  <c r="J1961" i="9"/>
  <c r="J1962" i="9"/>
  <c r="J1963" i="9"/>
  <c r="J1969" i="9"/>
  <c r="J1970" i="9"/>
  <c r="J1971" i="9"/>
  <c r="J1977" i="9"/>
  <c r="J1978" i="9"/>
  <c r="J1979" i="9"/>
  <c r="J1985" i="9"/>
  <c r="J1986" i="9"/>
  <c r="J1987" i="9"/>
  <c r="J1993" i="9"/>
  <c r="J1994" i="9"/>
  <c r="J1995" i="9"/>
  <c r="J2001" i="9"/>
  <c r="J2002" i="9"/>
  <c r="J3" i="9"/>
  <c r="C3" i="9"/>
  <c r="J1202" i="9" s="1"/>
  <c r="J1787" i="9" l="1"/>
  <c r="J1779" i="9"/>
  <c r="J1771" i="9"/>
  <c r="J1763" i="9"/>
  <c r="J1755" i="9"/>
  <c r="J1747" i="9"/>
  <c r="J1739" i="9"/>
  <c r="J1731" i="9"/>
  <c r="J1723" i="9"/>
  <c r="J1715" i="9"/>
  <c r="J1707" i="9"/>
  <c r="J1699" i="9"/>
  <c r="J1691" i="9"/>
  <c r="J1683" i="9"/>
  <c r="J1675" i="9"/>
  <c r="J1667" i="9"/>
  <c r="J1659" i="9"/>
  <c r="J1651" i="9"/>
  <c r="J1643" i="9"/>
  <c r="J1635" i="9"/>
  <c r="J1627" i="9"/>
  <c r="J1619" i="9"/>
  <c r="J1611" i="9"/>
  <c r="J1603" i="9"/>
  <c r="J1595" i="9"/>
  <c r="J1587" i="9"/>
  <c r="J1579" i="9"/>
  <c r="J1571" i="9"/>
  <c r="J1563" i="9"/>
  <c r="J1555" i="9"/>
  <c r="J1547" i="9"/>
  <c r="J1539" i="9"/>
  <c r="J1531" i="9"/>
  <c r="J1523" i="9"/>
  <c r="J1515" i="9"/>
  <c r="J1507" i="9"/>
  <c r="J1499" i="9"/>
  <c r="J1490" i="9"/>
  <c r="J1481" i="9"/>
  <c r="J1472" i="9"/>
  <c r="J1463" i="9"/>
  <c r="J1454" i="9"/>
  <c r="J1437" i="9"/>
  <c r="J1414" i="9"/>
  <c r="J1396" i="9"/>
  <c r="J1372" i="9"/>
  <c r="J1343" i="9"/>
  <c r="J1266" i="9"/>
  <c r="J1171" i="9"/>
  <c r="J1802" i="9"/>
  <c r="J1794" i="9"/>
  <c r="J1786" i="9"/>
  <c r="J1778" i="9"/>
  <c r="J1770" i="9"/>
  <c r="J1762" i="9"/>
  <c r="J1754" i="9"/>
  <c r="J1746" i="9"/>
  <c r="J1738" i="9"/>
  <c r="J1730" i="9"/>
  <c r="J1722" i="9"/>
  <c r="J1714" i="9"/>
  <c r="J1706" i="9"/>
  <c r="J1698" i="9"/>
  <c r="J1690" i="9"/>
  <c r="J1682" i="9"/>
  <c r="J1674" i="9"/>
  <c r="J1666" i="9"/>
  <c r="J1658" i="9"/>
  <c r="J1650" i="9"/>
  <c r="J1642" i="9"/>
  <c r="J1634" i="9"/>
  <c r="J1626" i="9"/>
  <c r="J1618" i="9"/>
  <c r="J1610" i="9"/>
  <c r="J1602" i="9"/>
  <c r="J1594" i="9"/>
  <c r="J1586" i="9"/>
  <c r="J1578" i="9"/>
  <c r="J1570" i="9"/>
  <c r="J1562" i="9"/>
  <c r="J1554" i="9"/>
  <c r="J1546" i="9"/>
  <c r="J1538" i="9"/>
  <c r="J1530" i="9"/>
  <c r="J1522" i="9"/>
  <c r="J1514" i="9"/>
  <c r="J1506" i="9"/>
  <c r="J1498" i="9"/>
  <c r="J1489" i="9"/>
  <c r="J1480" i="9"/>
  <c r="J1471" i="9"/>
  <c r="J1462" i="9"/>
  <c r="J1453" i="9"/>
  <c r="J1436" i="9"/>
  <c r="J1413" i="9"/>
  <c r="J1390" i="9"/>
  <c r="J1371" i="9"/>
  <c r="J1340" i="9"/>
  <c r="J1256" i="9"/>
  <c r="J1155" i="9"/>
  <c r="J1929" i="9"/>
  <c r="J1921" i="9"/>
  <c r="J1889" i="9"/>
  <c r="J1873" i="9"/>
  <c r="J1865" i="9"/>
  <c r="J1857" i="9"/>
  <c r="J1849" i="9"/>
  <c r="J1841" i="9"/>
  <c r="J1833" i="9"/>
  <c r="J1825" i="9"/>
  <c r="J1817" i="9"/>
  <c r="J1809" i="9"/>
  <c r="J1801" i="9"/>
  <c r="J1793" i="9"/>
  <c r="J1785" i="9"/>
  <c r="J1777" i="9"/>
  <c r="J1769" i="9"/>
  <c r="J1761" i="9"/>
  <c r="J1753" i="9"/>
  <c r="J1745" i="9"/>
  <c r="J1737" i="9"/>
  <c r="J1729" i="9"/>
  <c r="J1721" i="9"/>
  <c r="J1713" i="9"/>
  <c r="J1705" i="9"/>
  <c r="J1697" i="9"/>
  <c r="J1689" i="9"/>
  <c r="J1681" i="9"/>
  <c r="J1673" i="9"/>
  <c r="J1665" i="9"/>
  <c r="J1657" i="9"/>
  <c r="J1649" i="9"/>
  <c r="J1641" i="9"/>
  <c r="J1633" i="9"/>
  <c r="J1625" i="9"/>
  <c r="J1617" i="9"/>
  <c r="J1609" i="9"/>
  <c r="J1601" i="9"/>
  <c r="J1593" i="9"/>
  <c r="J1585" i="9"/>
  <c r="J1577" i="9"/>
  <c r="J1569" i="9"/>
  <c r="J1561" i="9"/>
  <c r="J1553" i="9"/>
  <c r="J1545" i="9"/>
  <c r="J1537" i="9"/>
  <c r="J1529" i="9"/>
  <c r="J1521" i="9"/>
  <c r="J1513" i="9"/>
  <c r="J1505" i="9"/>
  <c r="J1497" i="9"/>
  <c r="J1488" i="9"/>
  <c r="J1479" i="9"/>
  <c r="J1470" i="9"/>
  <c r="J1461" i="9"/>
  <c r="J1452" i="9"/>
  <c r="J1430" i="9"/>
  <c r="J1412" i="9"/>
  <c r="J1389" i="9"/>
  <c r="J1363" i="9"/>
  <c r="J1330" i="9"/>
  <c r="J1244" i="9"/>
  <c r="J1139" i="9"/>
  <c r="J1913" i="9"/>
  <c r="J1976" i="9"/>
  <c r="J1960" i="9"/>
  <c r="J1936" i="9"/>
  <c r="J1928" i="9"/>
  <c r="J1920" i="9"/>
  <c r="J1912" i="9"/>
  <c r="J1904" i="9"/>
  <c r="J1896" i="9"/>
  <c r="J1888" i="9"/>
  <c r="J1880" i="9"/>
  <c r="J1872" i="9"/>
  <c r="J1864" i="9"/>
  <c r="J1856" i="9"/>
  <c r="J1848" i="9"/>
  <c r="J1840" i="9"/>
  <c r="J1832" i="9"/>
  <c r="J1824" i="9"/>
  <c r="J1816" i="9"/>
  <c r="J1808" i="9"/>
  <c r="J1800" i="9"/>
  <c r="J1792" i="9"/>
  <c r="J1784" i="9"/>
  <c r="J1776" i="9"/>
  <c r="J1768" i="9"/>
  <c r="J1760" i="9"/>
  <c r="J1752" i="9"/>
  <c r="J1744" i="9"/>
  <c r="J1736" i="9"/>
  <c r="J1728" i="9"/>
  <c r="J1720" i="9"/>
  <c r="J1712" i="9"/>
  <c r="J1704" i="9"/>
  <c r="J1696" i="9"/>
  <c r="J1688" i="9"/>
  <c r="J1680" i="9"/>
  <c r="J1672" i="9"/>
  <c r="J1664" i="9"/>
  <c r="J1656" i="9"/>
  <c r="J1648" i="9"/>
  <c r="J1640" i="9"/>
  <c r="J1632" i="9"/>
  <c r="J1624" i="9"/>
  <c r="J1616" i="9"/>
  <c r="J1608" i="9"/>
  <c r="J1600" i="9"/>
  <c r="J1592" i="9"/>
  <c r="J1584" i="9"/>
  <c r="J1576" i="9"/>
  <c r="J1568" i="9"/>
  <c r="J1560" i="9"/>
  <c r="J1552" i="9"/>
  <c r="J1544" i="9"/>
  <c r="J1536" i="9"/>
  <c r="J1528" i="9"/>
  <c r="J1520" i="9"/>
  <c r="J1512" i="9"/>
  <c r="J1504" i="9"/>
  <c r="J1496" i="9"/>
  <c r="J1487" i="9"/>
  <c r="J1478" i="9"/>
  <c r="J1469" i="9"/>
  <c r="J1460" i="9"/>
  <c r="J1448" i="9"/>
  <c r="J1429" i="9"/>
  <c r="J1406" i="9"/>
  <c r="J1388" i="9"/>
  <c r="J1362" i="9"/>
  <c r="J1320" i="9"/>
  <c r="J1234" i="9"/>
  <c r="J1881" i="9"/>
  <c r="J1992" i="9"/>
  <c r="J1944" i="9"/>
  <c r="J1999" i="9"/>
  <c r="J1991" i="9"/>
  <c r="J1983" i="9"/>
  <c r="J1975" i="9"/>
  <c r="J1967" i="9"/>
  <c r="J1959" i="9"/>
  <c r="J1951" i="9"/>
  <c r="J1943" i="9"/>
  <c r="J1935" i="9"/>
  <c r="J1927" i="9"/>
  <c r="J1919" i="9"/>
  <c r="J1911" i="9"/>
  <c r="J1903" i="9"/>
  <c r="J1895" i="9"/>
  <c r="J1887" i="9"/>
  <c r="J1879" i="9"/>
  <c r="J1871" i="9"/>
  <c r="J1863" i="9"/>
  <c r="J1855" i="9"/>
  <c r="J1847" i="9"/>
  <c r="J1839" i="9"/>
  <c r="J1831" i="9"/>
  <c r="J1823" i="9"/>
  <c r="J1815" i="9"/>
  <c r="J1807" i="9"/>
  <c r="J1799" i="9"/>
  <c r="J1791" i="9"/>
  <c r="J1783" i="9"/>
  <c r="J1775" i="9"/>
  <c r="J1767" i="9"/>
  <c r="J1759" i="9"/>
  <c r="J1751" i="9"/>
  <c r="J1743" i="9"/>
  <c r="J1735" i="9"/>
  <c r="J1727" i="9"/>
  <c r="J1719" i="9"/>
  <c r="J1711" i="9"/>
  <c r="J1703" i="9"/>
  <c r="J1695" i="9"/>
  <c r="J1687" i="9"/>
  <c r="J1679" i="9"/>
  <c r="J1671" i="9"/>
  <c r="J1663" i="9"/>
  <c r="J1655" i="9"/>
  <c r="J1647" i="9"/>
  <c r="J1639" i="9"/>
  <c r="J1631" i="9"/>
  <c r="J1623" i="9"/>
  <c r="J1615" i="9"/>
  <c r="J1607" i="9"/>
  <c r="J1599" i="9"/>
  <c r="J1591" i="9"/>
  <c r="J1583" i="9"/>
  <c r="J1575" i="9"/>
  <c r="J1567" i="9"/>
  <c r="J1559" i="9"/>
  <c r="J1551" i="9"/>
  <c r="J1543" i="9"/>
  <c r="J1535" i="9"/>
  <c r="J1527" i="9"/>
  <c r="J1519" i="9"/>
  <c r="J1511" i="9"/>
  <c r="J1503" i="9"/>
  <c r="J1495" i="9"/>
  <c r="J1486" i="9"/>
  <c r="J1477" i="9"/>
  <c r="J1468" i="9"/>
  <c r="J1458" i="9"/>
  <c r="J1446" i="9"/>
  <c r="J1428" i="9"/>
  <c r="J1405" i="9"/>
  <c r="J1382" i="9"/>
  <c r="J1361" i="9"/>
  <c r="J1308" i="9"/>
  <c r="J1224" i="9"/>
  <c r="J1897" i="9"/>
  <c r="J1984" i="9"/>
  <c r="J1952" i="9"/>
  <c r="J1998" i="9"/>
  <c r="J1990" i="9"/>
  <c r="J1982" i="9"/>
  <c r="J1974" i="9"/>
  <c r="J1966" i="9"/>
  <c r="J1958" i="9"/>
  <c r="J1950" i="9"/>
  <c r="J1942" i="9"/>
  <c r="J1934" i="9"/>
  <c r="J1926" i="9"/>
  <c r="J1918" i="9"/>
  <c r="J1910" i="9"/>
  <c r="J1902" i="9"/>
  <c r="J1894" i="9"/>
  <c r="J1886" i="9"/>
  <c r="J1878" i="9"/>
  <c r="J1870" i="9"/>
  <c r="J1862" i="9"/>
  <c r="J1854" i="9"/>
  <c r="J1846" i="9"/>
  <c r="J1838" i="9"/>
  <c r="J1830" i="9"/>
  <c r="J1822" i="9"/>
  <c r="J1814" i="9"/>
  <c r="J1806" i="9"/>
  <c r="J1798" i="9"/>
  <c r="J1790" i="9"/>
  <c r="J1782" i="9"/>
  <c r="J1774" i="9"/>
  <c r="J1766" i="9"/>
  <c r="J1758" i="9"/>
  <c r="J1750" i="9"/>
  <c r="J1742" i="9"/>
  <c r="J1734" i="9"/>
  <c r="J1726" i="9"/>
  <c r="J1718" i="9"/>
  <c r="J1710" i="9"/>
  <c r="J1702" i="9"/>
  <c r="J1694" i="9"/>
  <c r="J1686" i="9"/>
  <c r="J1678" i="9"/>
  <c r="J1670" i="9"/>
  <c r="J1662" i="9"/>
  <c r="J1654" i="9"/>
  <c r="J1646" i="9"/>
  <c r="J1638" i="9"/>
  <c r="J1630" i="9"/>
  <c r="J1622" i="9"/>
  <c r="J1614" i="9"/>
  <c r="J1606" i="9"/>
  <c r="J1598" i="9"/>
  <c r="J1590" i="9"/>
  <c r="J1582" i="9"/>
  <c r="J1574" i="9"/>
  <c r="J1566" i="9"/>
  <c r="J1558" i="9"/>
  <c r="J1550" i="9"/>
  <c r="J1542" i="9"/>
  <c r="J1534" i="9"/>
  <c r="J1526" i="9"/>
  <c r="J1518" i="9"/>
  <c r="J1510" i="9"/>
  <c r="J1502" i="9"/>
  <c r="J1494" i="9"/>
  <c r="J1485" i="9"/>
  <c r="J1476" i="9"/>
  <c r="J1466" i="9"/>
  <c r="J1457" i="9"/>
  <c r="J1445" i="9"/>
  <c r="J1422" i="9"/>
  <c r="J1404" i="9"/>
  <c r="J1381" i="9"/>
  <c r="J1353" i="9"/>
  <c r="J1298" i="9"/>
  <c r="J1212" i="9"/>
  <c r="J2000" i="9"/>
  <c r="J1968" i="9"/>
  <c r="J1997" i="9"/>
  <c r="J1989" i="9"/>
  <c r="J1981" i="9"/>
  <c r="J1973" i="9"/>
  <c r="J1965" i="9"/>
  <c r="J1957" i="9"/>
  <c r="J1949" i="9"/>
  <c r="J1941" i="9"/>
  <c r="J1933" i="9"/>
  <c r="J1925" i="9"/>
  <c r="J1917" i="9"/>
  <c r="J1909" i="9"/>
  <c r="J1901" i="9"/>
  <c r="J1893" i="9"/>
  <c r="J1885" i="9"/>
  <c r="J1877" i="9"/>
  <c r="J1869" i="9"/>
  <c r="J1861" i="9"/>
  <c r="J1853" i="9"/>
  <c r="J1845" i="9"/>
  <c r="J1837" i="9"/>
  <c r="J1829" i="9"/>
  <c r="J1821" i="9"/>
  <c r="J1813" i="9"/>
  <c r="J1805" i="9"/>
  <c r="J1797" i="9"/>
  <c r="J1789" i="9"/>
  <c r="J1781" i="9"/>
  <c r="J1773" i="9"/>
  <c r="J1765" i="9"/>
  <c r="J1757" i="9"/>
  <c r="J1749" i="9"/>
  <c r="J1741" i="9"/>
  <c r="J1733" i="9"/>
  <c r="J1725" i="9"/>
  <c r="J1717" i="9"/>
  <c r="J1709" i="9"/>
  <c r="J1701" i="9"/>
  <c r="J1693" i="9"/>
  <c r="J1685" i="9"/>
  <c r="J1677" i="9"/>
  <c r="J1669" i="9"/>
  <c r="J1661" i="9"/>
  <c r="J1653" i="9"/>
  <c r="J1645" i="9"/>
  <c r="J1637" i="9"/>
  <c r="J1629" i="9"/>
  <c r="J1621" i="9"/>
  <c r="J1613" i="9"/>
  <c r="J1605" i="9"/>
  <c r="J1597" i="9"/>
  <c r="J1589" i="9"/>
  <c r="J1581" i="9"/>
  <c r="J1573" i="9"/>
  <c r="J1565" i="9"/>
  <c r="J1557" i="9"/>
  <c r="J1549" i="9"/>
  <c r="J1541" i="9"/>
  <c r="J1533" i="9"/>
  <c r="J1525" i="9"/>
  <c r="J1517" i="9"/>
  <c r="J1509" i="9"/>
  <c r="J1501" i="9"/>
  <c r="J1493" i="9"/>
  <c r="J1484" i="9"/>
  <c r="J1474" i="9"/>
  <c r="J1465" i="9"/>
  <c r="J1456" i="9"/>
  <c r="J1444" i="9"/>
  <c r="J1421" i="9"/>
  <c r="J1398" i="9"/>
  <c r="J1380" i="9"/>
  <c r="J1352" i="9"/>
  <c r="J1288" i="9"/>
  <c r="R8" i="9"/>
  <c r="R16" i="9"/>
  <c r="R24" i="9"/>
  <c r="R32" i="9"/>
  <c r="R40" i="9"/>
  <c r="R48" i="9"/>
  <c r="R56" i="9"/>
  <c r="R64" i="9"/>
  <c r="R72" i="9"/>
  <c r="R80" i="9"/>
  <c r="R88" i="9"/>
  <c r="R96" i="9"/>
  <c r="R104" i="9"/>
  <c r="R112" i="9"/>
  <c r="R120" i="9"/>
  <c r="R128" i="9"/>
  <c r="R136" i="9"/>
  <c r="R144" i="9"/>
  <c r="R152" i="9"/>
  <c r="R160" i="9"/>
  <c r="R168" i="9"/>
  <c r="R176" i="9"/>
  <c r="R184" i="9"/>
  <c r="R192" i="9"/>
  <c r="R200" i="9"/>
  <c r="R208" i="9"/>
  <c r="R216" i="9"/>
  <c r="R224" i="9"/>
  <c r="R232" i="9"/>
  <c r="R240" i="9"/>
  <c r="R248" i="9"/>
  <c r="R256" i="9"/>
  <c r="R264" i="9"/>
  <c r="R272" i="9"/>
  <c r="R280" i="9"/>
  <c r="R288" i="9"/>
  <c r="R296" i="9"/>
  <c r="R304" i="9"/>
  <c r="R312" i="9"/>
  <c r="R320" i="9"/>
  <c r="R328" i="9"/>
  <c r="R336" i="9"/>
  <c r="R344" i="9"/>
  <c r="R352" i="9"/>
  <c r="R360" i="9"/>
  <c r="R368" i="9"/>
  <c r="R376" i="9"/>
  <c r="R4" i="9"/>
  <c r="R12" i="9"/>
  <c r="R20" i="9"/>
  <c r="R28" i="9"/>
  <c r="R36" i="9"/>
  <c r="R44" i="9"/>
  <c r="R52" i="9"/>
  <c r="R60" i="9"/>
  <c r="R68" i="9"/>
  <c r="R76" i="9"/>
  <c r="R84" i="9"/>
  <c r="R92" i="9"/>
  <c r="R100" i="9"/>
  <c r="R108" i="9"/>
  <c r="R116" i="9"/>
  <c r="R124" i="9"/>
  <c r="R132" i="9"/>
  <c r="R140" i="9"/>
  <c r="R148" i="9"/>
  <c r="R156" i="9"/>
  <c r="R164" i="9"/>
  <c r="R172" i="9"/>
  <c r="R180" i="9"/>
  <c r="R188" i="9"/>
  <c r="R196" i="9"/>
  <c r="R204" i="9"/>
  <c r="R212" i="9"/>
  <c r="R220" i="9"/>
  <c r="R228" i="9"/>
  <c r="R236" i="9"/>
  <c r="R244" i="9"/>
  <c r="R252" i="9"/>
  <c r="R260" i="9"/>
  <c r="R268" i="9"/>
  <c r="R276" i="9"/>
  <c r="R284" i="9"/>
  <c r="R292" i="9"/>
  <c r="R300" i="9"/>
  <c r="R308" i="9"/>
  <c r="R316" i="9"/>
  <c r="R324" i="9"/>
  <c r="R332" i="9"/>
  <c r="R340" i="9"/>
  <c r="R348" i="9"/>
  <c r="R356" i="9"/>
  <c r="R364" i="9"/>
  <c r="R372" i="9"/>
  <c r="R5" i="9"/>
  <c r="R13" i="9"/>
  <c r="R21" i="9"/>
  <c r="R29" i="9"/>
  <c r="R37" i="9"/>
  <c r="R45" i="9"/>
  <c r="R53" i="9"/>
  <c r="R61" i="9"/>
  <c r="R69" i="9"/>
  <c r="R77" i="9"/>
  <c r="R85" i="9"/>
  <c r="R93" i="9"/>
  <c r="R101" i="9"/>
  <c r="R109" i="9"/>
  <c r="R117" i="9"/>
  <c r="R125" i="9"/>
  <c r="R133" i="9"/>
  <c r="R141" i="9"/>
  <c r="R149" i="9"/>
  <c r="R157" i="9"/>
  <c r="R165" i="9"/>
  <c r="R173" i="9"/>
  <c r="R181" i="9"/>
  <c r="R189" i="9"/>
  <c r="R197" i="9"/>
  <c r="R205" i="9"/>
  <c r="R213" i="9"/>
  <c r="R221" i="9"/>
  <c r="R229" i="9"/>
  <c r="R237" i="9"/>
  <c r="R245" i="9"/>
  <c r="R253" i="9"/>
  <c r="R261" i="9"/>
  <c r="R269" i="9"/>
  <c r="R277" i="9"/>
  <c r="R285" i="9"/>
  <c r="R293" i="9"/>
  <c r="R301" i="9"/>
  <c r="R309" i="9"/>
  <c r="R317" i="9"/>
  <c r="R325" i="9"/>
  <c r="R333" i="9"/>
  <c r="R341" i="9"/>
  <c r="R349" i="9"/>
  <c r="R357" i="9"/>
  <c r="R365" i="9"/>
  <c r="R373" i="9"/>
  <c r="R381" i="9"/>
  <c r="R389" i="9"/>
  <c r="R397" i="9"/>
  <c r="R405" i="9"/>
  <c r="R413" i="9"/>
  <c r="R421" i="9"/>
  <c r="R429" i="9"/>
  <c r="R437" i="9"/>
  <c r="R445" i="9"/>
  <c r="R453" i="9"/>
  <c r="R461" i="9"/>
  <c r="R469" i="9"/>
  <c r="R477" i="9"/>
  <c r="R485" i="9"/>
  <c r="R493" i="9"/>
  <c r="R501" i="9"/>
  <c r="R509" i="9"/>
  <c r="R517" i="9"/>
  <c r="R525" i="9"/>
  <c r="R533" i="9"/>
  <c r="R541" i="9"/>
  <c r="R549" i="9"/>
  <c r="R557" i="9"/>
  <c r="R565" i="9"/>
  <c r="R573" i="9"/>
  <c r="R581" i="9"/>
  <c r="R589" i="9"/>
  <c r="R597" i="9"/>
  <c r="R605" i="9"/>
  <c r="R613" i="9"/>
  <c r="R621" i="9"/>
  <c r="R629" i="9"/>
  <c r="R637" i="9"/>
  <c r="R645" i="9"/>
  <c r="R653" i="9"/>
  <c r="R661" i="9"/>
  <c r="R669" i="9"/>
  <c r="R7" i="9"/>
  <c r="R15" i="9"/>
  <c r="R23" i="9"/>
  <c r="R31" i="9"/>
  <c r="R39" i="9"/>
  <c r="R47" i="9"/>
  <c r="R55" i="9"/>
  <c r="R63" i="9"/>
  <c r="R71" i="9"/>
  <c r="R79" i="9"/>
  <c r="R87" i="9"/>
  <c r="R95" i="9"/>
  <c r="R103" i="9"/>
  <c r="R111" i="9"/>
  <c r="R119" i="9"/>
  <c r="R127" i="9"/>
  <c r="R135" i="9"/>
  <c r="R143" i="9"/>
  <c r="R151" i="9"/>
  <c r="R159" i="9"/>
  <c r="R167" i="9"/>
  <c r="R175" i="9"/>
  <c r="R183" i="9"/>
  <c r="R191" i="9"/>
  <c r="R199" i="9"/>
  <c r="R207" i="9"/>
  <c r="R215" i="9"/>
  <c r="R223" i="9"/>
  <c r="R231" i="9"/>
  <c r="R239" i="9"/>
  <c r="R247" i="9"/>
  <c r="R255" i="9"/>
  <c r="R263" i="9"/>
  <c r="R271" i="9"/>
  <c r="R279" i="9"/>
  <c r="R287" i="9"/>
  <c r="R295" i="9"/>
  <c r="R303" i="9"/>
  <c r="R311" i="9"/>
  <c r="R319" i="9"/>
  <c r="R327" i="9"/>
  <c r="R335" i="9"/>
  <c r="R343" i="9"/>
  <c r="R351" i="9"/>
  <c r="R359" i="9"/>
  <c r="R367" i="9"/>
  <c r="R375" i="9"/>
  <c r="R383" i="9"/>
  <c r="R391" i="9"/>
  <c r="R399" i="9"/>
  <c r="R407" i="9"/>
  <c r="R415" i="9"/>
  <c r="R423" i="9"/>
  <c r="R431" i="9"/>
  <c r="R439" i="9"/>
  <c r="R447" i="9"/>
  <c r="R455" i="9"/>
  <c r="R463" i="9"/>
  <c r="R471" i="9"/>
  <c r="R479" i="9"/>
  <c r="R487" i="9"/>
  <c r="R495" i="9"/>
  <c r="R503" i="9"/>
  <c r="R511" i="9"/>
  <c r="R519" i="9"/>
  <c r="R527" i="9"/>
  <c r="R535" i="9"/>
  <c r="R543" i="9"/>
  <c r="R551" i="9"/>
  <c r="R559" i="9"/>
  <c r="R567" i="9"/>
  <c r="R575" i="9"/>
  <c r="R583" i="9"/>
  <c r="R591" i="9"/>
  <c r="R599" i="9"/>
  <c r="R607" i="9"/>
  <c r="R615" i="9"/>
  <c r="R623" i="9"/>
  <c r="R631" i="9"/>
  <c r="R639" i="9"/>
  <c r="R647" i="9"/>
  <c r="R655" i="9"/>
  <c r="R663" i="9"/>
  <c r="R671" i="9"/>
  <c r="R19" i="9"/>
  <c r="R35" i="9"/>
  <c r="R51" i="9"/>
  <c r="R67" i="9"/>
  <c r="R83" i="9"/>
  <c r="R99" i="9"/>
  <c r="R115" i="9"/>
  <c r="R131" i="9"/>
  <c r="R147" i="9"/>
  <c r="R163" i="9"/>
  <c r="R179" i="9"/>
  <c r="R195" i="9"/>
  <c r="R211" i="9"/>
  <c r="R227" i="9"/>
  <c r="R243" i="9"/>
  <c r="R259" i="9"/>
  <c r="R275" i="9"/>
  <c r="R291" i="9"/>
  <c r="R307" i="9"/>
  <c r="R323" i="9"/>
  <c r="R339" i="9"/>
  <c r="R355" i="9"/>
  <c r="R371" i="9"/>
  <c r="R385" i="9"/>
  <c r="R395" i="9"/>
  <c r="R406" i="9"/>
  <c r="R417" i="9"/>
  <c r="R427" i="9"/>
  <c r="R438" i="9"/>
  <c r="R449" i="9"/>
  <c r="R459" i="9"/>
  <c r="R470" i="9"/>
  <c r="R481" i="9"/>
  <c r="R491" i="9"/>
  <c r="R502" i="9"/>
  <c r="R513" i="9"/>
  <c r="R523" i="9"/>
  <c r="R534" i="9"/>
  <c r="R545" i="9"/>
  <c r="R555" i="9"/>
  <c r="R566" i="9"/>
  <c r="R577" i="9"/>
  <c r="R587" i="9"/>
  <c r="R598" i="9"/>
  <c r="R609" i="9"/>
  <c r="R619" i="9"/>
  <c r="R630" i="9"/>
  <c r="R641" i="9"/>
  <c r="R651" i="9"/>
  <c r="R662" i="9"/>
  <c r="R673" i="9"/>
  <c r="R681" i="9"/>
  <c r="R689" i="9"/>
  <c r="R697" i="9"/>
  <c r="R705" i="9"/>
  <c r="R713" i="9"/>
  <c r="R721" i="9"/>
  <c r="R729" i="9"/>
  <c r="R737" i="9"/>
  <c r="R745" i="9"/>
  <c r="R753" i="9"/>
  <c r="R761" i="9"/>
  <c r="R769" i="9"/>
  <c r="R777" i="9"/>
  <c r="R785" i="9"/>
  <c r="R793" i="9"/>
  <c r="R801" i="9"/>
  <c r="R809" i="9"/>
  <c r="R817" i="9"/>
  <c r="R825" i="9"/>
  <c r="R833" i="9"/>
  <c r="R841" i="9"/>
  <c r="R849" i="9"/>
  <c r="R857" i="9"/>
  <c r="R865" i="9"/>
  <c r="R873" i="9"/>
  <c r="R881" i="9"/>
  <c r="R889" i="9"/>
  <c r="R897" i="9"/>
  <c r="R905" i="9"/>
  <c r="R913" i="9"/>
  <c r="R921" i="9"/>
  <c r="R929" i="9"/>
  <c r="R937" i="9"/>
  <c r="R6" i="9"/>
  <c r="R22" i="9"/>
  <c r="R38" i="9"/>
  <c r="R54" i="9"/>
  <c r="R70" i="9"/>
  <c r="R86" i="9"/>
  <c r="R102" i="9"/>
  <c r="R118" i="9"/>
  <c r="R134" i="9"/>
  <c r="R150" i="9"/>
  <c r="R166" i="9"/>
  <c r="R182" i="9"/>
  <c r="R198" i="9"/>
  <c r="R214" i="9"/>
  <c r="R230" i="9"/>
  <c r="R246" i="9"/>
  <c r="R262" i="9"/>
  <c r="R278" i="9"/>
  <c r="R294" i="9"/>
  <c r="R310" i="9"/>
  <c r="R326" i="9"/>
  <c r="R342" i="9"/>
  <c r="R358" i="9"/>
  <c r="R374" i="9"/>
  <c r="R386" i="9"/>
  <c r="R396" i="9"/>
  <c r="R408" i="9"/>
  <c r="R418" i="9"/>
  <c r="R428" i="9"/>
  <c r="R440" i="9"/>
  <c r="R450" i="9"/>
  <c r="R460" i="9"/>
  <c r="R472" i="9"/>
  <c r="R482" i="9"/>
  <c r="R492" i="9"/>
  <c r="R504" i="9"/>
  <c r="R514" i="9"/>
  <c r="R524" i="9"/>
  <c r="R536" i="9"/>
  <c r="R546" i="9"/>
  <c r="R556" i="9"/>
  <c r="R568" i="9"/>
  <c r="R578" i="9"/>
  <c r="R588" i="9"/>
  <c r="R600" i="9"/>
  <c r="R610" i="9"/>
  <c r="R620" i="9"/>
  <c r="R632" i="9"/>
  <c r="R642" i="9"/>
  <c r="R652" i="9"/>
  <c r="R664" i="9"/>
  <c r="R674" i="9"/>
  <c r="R682" i="9"/>
  <c r="R690" i="9"/>
  <c r="R698" i="9"/>
  <c r="R706" i="9"/>
  <c r="R714" i="9"/>
  <c r="R722" i="9"/>
  <c r="R730" i="9"/>
  <c r="R738" i="9"/>
  <c r="R746" i="9"/>
  <c r="R754" i="9"/>
  <c r="R762" i="9"/>
  <c r="R770" i="9"/>
  <c r="R778" i="9"/>
  <c r="R786" i="9"/>
  <c r="R794" i="9"/>
  <c r="R802" i="9"/>
  <c r="R810" i="9"/>
  <c r="R818" i="9"/>
  <c r="R826" i="9"/>
  <c r="R834" i="9"/>
  <c r="R842" i="9"/>
  <c r="R850" i="9"/>
  <c r="R858" i="9"/>
  <c r="R866" i="9"/>
  <c r="R874" i="9"/>
  <c r="R882" i="9"/>
  <c r="R890" i="9"/>
  <c r="R898" i="9"/>
  <c r="R906" i="9"/>
  <c r="R914" i="9"/>
  <c r="R922" i="9"/>
  <c r="R930" i="9"/>
  <c r="R9" i="9"/>
  <c r="R27" i="9"/>
  <c r="R49" i="9"/>
  <c r="R73" i="9"/>
  <c r="R91" i="9"/>
  <c r="R113" i="9"/>
  <c r="R137" i="9"/>
  <c r="R155" i="9"/>
  <c r="R177" i="9"/>
  <c r="R201" i="9"/>
  <c r="R219" i="9"/>
  <c r="R241" i="9"/>
  <c r="R265" i="9"/>
  <c r="R283" i="9"/>
  <c r="R305" i="9"/>
  <c r="R329" i="9"/>
  <c r="R347" i="9"/>
  <c r="R369" i="9"/>
  <c r="R387" i="9"/>
  <c r="R401" i="9"/>
  <c r="R414" i="9"/>
  <c r="R430" i="9"/>
  <c r="R443" i="9"/>
  <c r="R457" i="9"/>
  <c r="R473" i="9"/>
  <c r="R486" i="9"/>
  <c r="R499" i="9"/>
  <c r="R515" i="9"/>
  <c r="R529" i="9"/>
  <c r="R542" i="9"/>
  <c r="R558" i="9"/>
  <c r="R571" i="9"/>
  <c r="R585" i="9"/>
  <c r="R601" i="9"/>
  <c r="R614" i="9"/>
  <c r="R627" i="9"/>
  <c r="R643" i="9"/>
  <c r="R657" i="9"/>
  <c r="R670" i="9"/>
  <c r="R683" i="9"/>
  <c r="R693" i="9"/>
  <c r="R703" i="9"/>
  <c r="R715" i="9"/>
  <c r="R725" i="9"/>
  <c r="R735" i="9"/>
  <c r="R747" i="9"/>
  <c r="R757" i="9"/>
  <c r="R767" i="9"/>
  <c r="R779" i="9"/>
  <c r="R789" i="9"/>
  <c r="R799" i="9"/>
  <c r="R811" i="9"/>
  <c r="R821" i="9"/>
  <c r="R831" i="9"/>
  <c r="R843" i="9"/>
  <c r="R853" i="9"/>
  <c r="R863" i="9"/>
  <c r="R875" i="9"/>
  <c r="R885" i="9"/>
  <c r="R895" i="9"/>
  <c r="R907" i="9"/>
  <c r="R917" i="9"/>
  <c r="R927" i="9"/>
  <c r="R938" i="9"/>
  <c r="R946" i="9"/>
  <c r="R954" i="9"/>
  <c r="R962" i="9"/>
  <c r="R970" i="9"/>
  <c r="R978" i="9"/>
  <c r="R986" i="9"/>
  <c r="R994" i="9"/>
  <c r="R1002" i="9"/>
  <c r="R1010" i="9"/>
  <c r="R1018" i="9"/>
  <c r="R1026" i="9"/>
  <c r="R1034" i="9"/>
  <c r="R1042" i="9"/>
  <c r="R1050" i="9"/>
  <c r="R1058" i="9"/>
  <c r="R1066" i="9"/>
  <c r="R1074" i="9"/>
  <c r="R1082" i="9"/>
  <c r="R1090" i="9"/>
  <c r="R1098" i="9"/>
  <c r="R1106" i="9"/>
  <c r="R10" i="9"/>
  <c r="R30" i="9"/>
  <c r="R50" i="9"/>
  <c r="R74" i="9"/>
  <c r="R94" i="9"/>
  <c r="R114" i="9"/>
  <c r="R138" i="9"/>
  <c r="R158" i="9"/>
  <c r="R178" i="9"/>
  <c r="R202" i="9"/>
  <c r="R222" i="9"/>
  <c r="R242" i="9"/>
  <c r="R266" i="9"/>
  <c r="R286" i="9"/>
  <c r="R306" i="9"/>
  <c r="R330" i="9"/>
  <c r="R350" i="9"/>
  <c r="R370" i="9"/>
  <c r="R388" i="9"/>
  <c r="R402" i="9"/>
  <c r="R416" i="9"/>
  <c r="R432" i="9"/>
  <c r="R444" i="9"/>
  <c r="R458" i="9"/>
  <c r="R474" i="9"/>
  <c r="R488" i="9"/>
  <c r="R500" i="9"/>
  <c r="R516" i="9"/>
  <c r="R530" i="9"/>
  <c r="R544" i="9"/>
  <c r="R560" i="9"/>
  <c r="R572" i="9"/>
  <c r="R586" i="9"/>
  <c r="R602" i="9"/>
  <c r="R616" i="9"/>
  <c r="R628" i="9"/>
  <c r="R644" i="9"/>
  <c r="R658" i="9"/>
  <c r="R672" i="9"/>
  <c r="R684" i="9"/>
  <c r="R694" i="9"/>
  <c r="R704" i="9"/>
  <c r="R716" i="9"/>
  <c r="R726" i="9"/>
  <c r="R736" i="9"/>
  <c r="R748" i="9"/>
  <c r="R758" i="9"/>
  <c r="R768" i="9"/>
  <c r="R780" i="9"/>
  <c r="R790" i="9"/>
  <c r="R800" i="9"/>
  <c r="R812" i="9"/>
  <c r="R822" i="9"/>
  <c r="R832" i="9"/>
  <c r="R844" i="9"/>
  <c r="R854" i="9"/>
  <c r="R864" i="9"/>
  <c r="R876" i="9"/>
  <c r="R886" i="9"/>
  <c r="R896" i="9"/>
  <c r="R908" i="9"/>
  <c r="R918" i="9"/>
  <c r="R928" i="9"/>
  <c r="R939" i="9"/>
  <c r="R947" i="9"/>
  <c r="R955" i="9"/>
  <c r="R963" i="9"/>
  <c r="R971" i="9"/>
  <c r="R979" i="9"/>
  <c r="R987" i="9"/>
  <c r="R995" i="9"/>
  <c r="R1003" i="9"/>
  <c r="R1011" i="9"/>
  <c r="R1019" i="9"/>
  <c r="R1027" i="9"/>
  <c r="R1035" i="9"/>
  <c r="R1043" i="9"/>
  <c r="R1051" i="9"/>
  <c r="R1059" i="9"/>
  <c r="R1067" i="9"/>
  <c r="R1075" i="9"/>
  <c r="R1083" i="9"/>
  <c r="R1091" i="9"/>
  <c r="R1099" i="9"/>
  <c r="R1107" i="9"/>
  <c r="R18" i="9"/>
  <c r="R46" i="9"/>
  <c r="R78" i="9"/>
  <c r="R106" i="9"/>
  <c r="R130" i="9"/>
  <c r="R162" i="9"/>
  <c r="R190" i="9"/>
  <c r="R218" i="9"/>
  <c r="R250" i="9"/>
  <c r="R274" i="9"/>
  <c r="R302" i="9"/>
  <c r="R334" i="9"/>
  <c r="R362" i="9"/>
  <c r="R384" i="9"/>
  <c r="R404" i="9"/>
  <c r="R424" i="9"/>
  <c r="R442" i="9"/>
  <c r="R464" i="9"/>
  <c r="R480" i="9"/>
  <c r="R498" i="9"/>
  <c r="R520" i="9"/>
  <c r="R538" i="9"/>
  <c r="R554" i="9"/>
  <c r="R576" i="9"/>
  <c r="R594" i="9"/>
  <c r="R612" i="9"/>
  <c r="R634" i="9"/>
  <c r="R650" i="9"/>
  <c r="R668" i="9"/>
  <c r="R686" i="9"/>
  <c r="R700" i="9"/>
  <c r="R712" i="9"/>
  <c r="R728" i="9"/>
  <c r="R742" i="9"/>
  <c r="R756" i="9"/>
  <c r="R772" i="9"/>
  <c r="R784" i="9"/>
  <c r="R798" i="9"/>
  <c r="R814" i="9"/>
  <c r="R828" i="9"/>
  <c r="R840" i="9"/>
  <c r="R856" i="9"/>
  <c r="R870" i="9"/>
  <c r="R884" i="9"/>
  <c r="R900" i="9"/>
  <c r="R912" i="9"/>
  <c r="R926" i="9"/>
  <c r="R941" i="9"/>
  <c r="R951" i="9"/>
  <c r="R961" i="9"/>
  <c r="R973" i="9"/>
  <c r="R983" i="9"/>
  <c r="R993" i="9"/>
  <c r="R1005" i="9"/>
  <c r="R1015" i="9"/>
  <c r="R1025" i="9"/>
  <c r="R1037" i="9"/>
  <c r="R1047" i="9"/>
  <c r="R1057" i="9"/>
  <c r="R1069" i="9"/>
  <c r="R1079" i="9"/>
  <c r="R1089" i="9"/>
  <c r="R1101" i="9"/>
  <c r="R1111" i="9"/>
  <c r="R1119" i="9"/>
  <c r="R1127" i="9"/>
  <c r="R1135" i="9"/>
  <c r="R1143" i="9"/>
  <c r="R1151" i="9"/>
  <c r="R1159" i="9"/>
  <c r="R1167" i="9"/>
  <c r="R1175" i="9"/>
  <c r="R1183" i="9"/>
  <c r="R1191" i="9"/>
  <c r="R1199" i="9"/>
  <c r="R1207" i="9"/>
  <c r="R1215" i="9"/>
  <c r="R1223" i="9"/>
  <c r="R1231" i="9"/>
  <c r="R1239" i="9"/>
  <c r="R1247" i="9"/>
  <c r="R1255" i="9"/>
  <c r="R1263" i="9"/>
  <c r="R1271" i="9"/>
  <c r="R34" i="9"/>
  <c r="R62" i="9"/>
  <c r="R90" i="9"/>
  <c r="R122" i="9"/>
  <c r="R146" i="9"/>
  <c r="R174" i="9"/>
  <c r="R206" i="9"/>
  <c r="R234" i="9"/>
  <c r="R258" i="9"/>
  <c r="R290" i="9"/>
  <c r="R318" i="9"/>
  <c r="R346" i="9"/>
  <c r="R378" i="9"/>
  <c r="R394" i="9"/>
  <c r="R412" i="9"/>
  <c r="R434" i="9"/>
  <c r="R452" i="9"/>
  <c r="R468" i="9"/>
  <c r="R490" i="9"/>
  <c r="R508" i="9"/>
  <c r="R528" i="9"/>
  <c r="R548" i="9"/>
  <c r="R564" i="9"/>
  <c r="R584" i="9"/>
  <c r="R604" i="9"/>
  <c r="R624" i="9"/>
  <c r="R640" i="9"/>
  <c r="R660" i="9"/>
  <c r="R678" i="9"/>
  <c r="R692" i="9"/>
  <c r="R708" i="9"/>
  <c r="R720" i="9"/>
  <c r="R734" i="9"/>
  <c r="R750" i="9"/>
  <c r="R764" i="9"/>
  <c r="R776" i="9"/>
  <c r="R792" i="9"/>
  <c r="R806" i="9"/>
  <c r="R820" i="9"/>
  <c r="R836" i="9"/>
  <c r="R848" i="9"/>
  <c r="R862" i="9"/>
  <c r="R878" i="9"/>
  <c r="R892" i="9"/>
  <c r="R904" i="9"/>
  <c r="R920" i="9"/>
  <c r="R934" i="9"/>
  <c r="R945" i="9"/>
  <c r="R957" i="9"/>
  <c r="R967" i="9"/>
  <c r="R977" i="9"/>
  <c r="R989" i="9"/>
  <c r="R999" i="9"/>
  <c r="R1009" i="9"/>
  <c r="R1021" i="9"/>
  <c r="R1031" i="9"/>
  <c r="R1041" i="9"/>
  <c r="R1053" i="9"/>
  <c r="R1063" i="9"/>
  <c r="R1073" i="9"/>
  <c r="R1085" i="9"/>
  <c r="R1095" i="9"/>
  <c r="R1105" i="9"/>
  <c r="R1115" i="9"/>
  <c r="R1123" i="9"/>
  <c r="R1131" i="9"/>
  <c r="R1139" i="9"/>
  <c r="R1147" i="9"/>
  <c r="R1155" i="9"/>
  <c r="R1163" i="9"/>
  <c r="R1171" i="9"/>
  <c r="R1179" i="9"/>
  <c r="R1187" i="9"/>
  <c r="R1195" i="9"/>
  <c r="R1203" i="9"/>
  <c r="R1211" i="9"/>
  <c r="R1219" i="9"/>
  <c r="R1227" i="9"/>
  <c r="R1235" i="9"/>
  <c r="R1243" i="9"/>
  <c r="R1251" i="9"/>
  <c r="R1259" i="9"/>
  <c r="R1267" i="9"/>
  <c r="R11" i="9"/>
  <c r="R41" i="9"/>
  <c r="R14" i="9"/>
  <c r="R42" i="9"/>
  <c r="R66" i="9"/>
  <c r="R98" i="9"/>
  <c r="R126" i="9"/>
  <c r="R154" i="9"/>
  <c r="R186" i="9"/>
  <c r="R210" i="9"/>
  <c r="R238" i="9"/>
  <c r="R270" i="9"/>
  <c r="R298" i="9"/>
  <c r="R322" i="9"/>
  <c r="R354" i="9"/>
  <c r="R380" i="9"/>
  <c r="R400" i="9"/>
  <c r="R420" i="9"/>
  <c r="R436" i="9"/>
  <c r="R456" i="9"/>
  <c r="R476" i="9"/>
  <c r="R496" i="9"/>
  <c r="R512" i="9"/>
  <c r="R532" i="9"/>
  <c r="R552" i="9"/>
  <c r="R570" i="9"/>
  <c r="R592" i="9"/>
  <c r="R608" i="9"/>
  <c r="R626" i="9"/>
  <c r="R648" i="9"/>
  <c r="R666" i="9"/>
  <c r="R680" i="9"/>
  <c r="R696" i="9"/>
  <c r="R710" i="9"/>
  <c r="R724" i="9"/>
  <c r="R740" i="9"/>
  <c r="R752" i="9"/>
  <c r="R766" i="9"/>
  <c r="R782" i="9"/>
  <c r="R796" i="9"/>
  <c r="R808" i="9"/>
  <c r="R824" i="9"/>
  <c r="R838" i="9"/>
  <c r="R852" i="9"/>
  <c r="R868" i="9"/>
  <c r="R880" i="9"/>
  <c r="R894" i="9"/>
  <c r="R910" i="9"/>
  <c r="R924" i="9"/>
  <c r="R936" i="9"/>
  <c r="R949" i="9"/>
  <c r="R959" i="9"/>
  <c r="R969" i="9"/>
  <c r="R981" i="9"/>
  <c r="R991" i="9"/>
  <c r="R1001" i="9"/>
  <c r="R1013" i="9"/>
  <c r="R1023" i="9"/>
  <c r="R1033" i="9"/>
  <c r="R1045" i="9"/>
  <c r="R1055" i="9"/>
  <c r="R1065" i="9"/>
  <c r="R1077" i="9"/>
  <c r="R1087" i="9"/>
  <c r="R1097" i="9"/>
  <c r="R1109" i="9"/>
  <c r="R1117" i="9"/>
  <c r="R1125" i="9"/>
  <c r="R1133" i="9"/>
  <c r="R1141" i="9"/>
  <c r="R1149" i="9"/>
  <c r="R1157" i="9"/>
  <c r="R1165" i="9"/>
  <c r="R1173" i="9"/>
  <c r="R1181" i="9"/>
  <c r="R1189" i="9"/>
  <c r="R1197" i="9"/>
  <c r="R1205" i="9"/>
  <c r="R1213" i="9"/>
  <c r="R1221" i="9"/>
  <c r="R1229" i="9"/>
  <c r="R1237" i="9"/>
  <c r="R1245" i="9"/>
  <c r="R1253" i="9"/>
  <c r="R1261" i="9"/>
  <c r="R1269" i="9"/>
  <c r="R1277" i="9"/>
  <c r="R1285" i="9"/>
  <c r="R1293" i="9"/>
  <c r="R1301" i="9"/>
  <c r="R1309" i="9"/>
  <c r="R1317" i="9"/>
  <c r="R1325" i="9"/>
  <c r="R1333" i="9"/>
  <c r="R1341" i="9"/>
  <c r="R1349" i="9"/>
  <c r="R1357" i="9"/>
  <c r="R1365" i="9"/>
  <c r="R1373" i="9"/>
  <c r="R1381" i="9"/>
  <c r="R1389" i="9"/>
  <c r="R1397" i="9"/>
  <c r="R1405" i="9"/>
  <c r="R1413" i="9"/>
  <c r="R1421" i="9"/>
  <c r="R1429" i="9"/>
  <c r="R1437" i="9"/>
  <c r="R1445" i="9"/>
  <c r="R1453" i="9"/>
  <c r="R1461" i="9"/>
  <c r="R1469" i="9"/>
  <c r="R1477" i="9"/>
  <c r="R1485" i="9"/>
  <c r="R1493" i="9"/>
  <c r="R1501" i="9"/>
  <c r="R1509" i="9"/>
  <c r="R1517" i="9"/>
  <c r="R1525" i="9"/>
  <c r="R1533" i="9"/>
  <c r="R1541" i="9"/>
  <c r="R1549" i="9"/>
  <c r="R1557" i="9"/>
  <c r="R1565" i="9"/>
  <c r="R1573" i="9"/>
  <c r="R1581" i="9"/>
  <c r="R1589" i="9"/>
  <c r="R1597" i="9"/>
  <c r="R1605" i="9"/>
  <c r="R1613" i="9"/>
  <c r="R1621" i="9"/>
  <c r="R1629" i="9"/>
  <c r="R1637" i="9"/>
  <c r="R1645" i="9"/>
  <c r="R1653" i="9"/>
  <c r="R1661" i="9"/>
  <c r="R1669" i="9"/>
  <c r="R1677" i="9"/>
  <c r="R1685" i="9"/>
  <c r="R1693" i="9"/>
  <c r="R1701" i="9"/>
  <c r="R1709" i="9"/>
  <c r="R1717" i="9"/>
  <c r="R1725" i="9"/>
  <c r="R1733" i="9"/>
  <c r="R1741" i="9"/>
  <c r="R1749" i="9"/>
  <c r="R1757" i="9"/>
  <c r="R1765" i="9"/>
  <c r="R1773" i="9"/>
  <c r="R1781" i="9"/>
  <c r="R1789" i="9"/>
  <c r="R1797" i="9"/>
  <c r="R1805" i="9"/>
  <c r="R1813" i="9"/>
  <c r="R1821" i="9"/>
  <c r="R17" i="9"/>
  <c r="R43" i="9"/>
  <c r="R75" i="9"/>
  <c r="R105" i="9"/>
  <c r="R129" i="9"/>
  <c r="R161" i="9"/>
  <c r="R187" i="9"/>
  <c r="R217" i="9"/>
  <c r="R249" i="9"/>
  <c r="R273" i="9"/>
  <c r="R299" i="9"/>
  <c r="R331" i="9"/>
  <c r="R361" i="9"/>
  <c r="R382" i="9"/>
  <c r="R403" i="9"/>
  <c r="R422" i="9"/>
  <c r="R441" i="9"/>
  <c r="R462" i="9"/>
  <c r="R478" i="9"/>
  <c r="R497" i="9"/>
  <c r="R518" i="9"/>
  <c r="R537" i="9"/>
  <c r="R553" i="9"/>
  <c r="R574" i="9"/>
  <c r="R593" i="9"/>
  <c r="R611" i="9"/>
  <c r="R633" i="9"/>
  <c r="R649" i="9"/>
  <c r="R667" i="9"/>
  <c r="R685" i="9"/>
  <c r="R699" i="9"/>
  <c r="R711" i="9"/>
  <c r="R727" i="9"/>
  <c r="R741" i="9"/>
  <c r="R755" i="9"/>
  <c r="R771" i="9"/>
  <c r="R783" i="9"/>
  <c r="R797" i="9"/>
  <c r="R813" i="9"/>
  <c r="R827" i="9"/>
  <c r="R839" i="9"/>
  <c r="R855" i="9"/>
  <c r="R869" i="9"/>
  <c r="R883" i="9"/>
  <c r="R899" i="9"/>
  <c r="R911" i="9"/>
  <c r="R925" i="9"/>
  <c r="R940" i="9"/>
  <c r="R950" i="9"/>
  <c r="R960" i="9"/>
  <c r="R972" i="9"/>
  <c r="R982" i="9"/>
  <c r="R992" i="9"/>
  <c r="R1004" i="9"/>
  <c r="R1014" i="9"/>
  <c r="R1024" i="9"/>
  <c r="R1036" i="9"/>
  <c r="R1046" i="9"/>
  <c r="R1056" i="9"/>
  <c r="R1068" i="9"/>
  <c r="R1078" i="9"/>
  <c r="R1088" i="9"/>
  <c r="R1100" i="9"/>
  <c r="R1110" i="9"/>
  <c r="R1118" i="9"/>
  <c r="R1126" i="9"/>
  <c r="R1134" i="9"/>
  <c r="R1142" i="9"/>
  <c r="R1150" i="9"/>
  <c r="R1158" i="9"/>
  <c r="R1166" i="9"/>
  <c r="R1174" i="9"/>
  <c r="R1182" i="9"/>
  <c r="R1190" i="9"/>
  <c r="R1198" i="9"/>
  <c r="R1206" i="9"/>
  <c r="R1214" i="9"/>
  <c r="R1222" i="9"/>
  <c r="R1230" i="9"/>
  <c r="R1238" i="9"/>
  <c r="R1246" i="9"/>
  <c r="R1254" i="9"/>
  <c r="R1262" i="9"/>
  <c r="R1270" i="9"/>
  <c r="R1278" i="9"/>
  <c r="R1286" i="9"/>
  <c r="R1294" i="9"/>
  <c r="R1302" i="9"/>
  <c r="R1310" i="9"/>
  <c r="R1318" i="9"/>
  <c r="R1326" i="9"/>
  <c r="R1334" i="9"/>
  <c r="R1342" i="9"/>
  <c r="R1350" i="9"/>
  <c r="R1358" i="9"/>
  <c r="R1366" i="9"/>
  <c r="R1374" i="9"/>
  <c r="R1382" i="9"/>
  <c r="R1390" i="9"/>
  <c r="R1398" i="9"/>
  <c r="R1406" i="9"/>
  <c r="R1414" i="9"/>
  <c r="R1422" i="9"/>
  <c r="R1430" i="9"/>
  <c r="R1438" i="9"/>
  <c r="R1446" i="9"/>
  <c r="R1454" i="9"/>
  <c r="R1462" i="9"/>
  <c r="R1470" i="9"/>
  <c r="R1478" i="9"/>
  <c r="R1486" i="9"/>
  <c r="R1494" i="9"/>
  <c r="R1502" i="9"/>
  <c r="R1510" i="9"/>
  <c r="R1518" i="9"/>
  <c r="R1526" i="9"/>
  <c r="R1534" i="9"/>
  <c r="R1542" i="9"/>
  <c r="R1550" i="9"/>
  <c r="R1558" i="9"/>
  <c r="R1566" i="9"/>
  <c r="R1574" i="9"/>
  <c r="R1582" i="9"/>
  <c r="R1590" i="9"/>
  <c r="R1598" i="9"/>
  <c r="R1606" i="9"/>
  <c r="R1614" i="9"/>
  <c r="R1622" i="9"/>
  <c r="R1630" i="9"/>
  <c r="R1638" i="9"/>
  <c r="R1646" i="9"/>
  <c r="R1654" i="9"/>
  <c r="R1662" i="9"/>
  <c r="R1670" i="9"/>
  <c r="R1678" i="9"/>
  <c r="R1686" i="9"/>
  <c r="R1694" i="9"/>
  <c r="R1702" i="9"/>
  <c r="R1710" i="9"/>
  <c r="R1718" i="9"/>
  <c r="R1726" i="9"/>
  <c r="R1734" i="9"/>
  <c r="R1742" i="9"/>
  <c r="R1750" i="9"/>
  <c r="R1758" i="9"/>
  <c r="R1766" i="9"/>
  <c r="R1774" i="9"/>
  <c r="R1782" i="9"/>
  <c r="R1790" i="9"/>
  <c r="R1798" i="9"/>
  <c r="R1806" i="9"/>
  <c r="R1814" i="9"/>
  <c r="R1822" i="9"/>
  <c r="R58" i="9"/>
  <c r="R110" i="9"/>
  <c r="R170" i="9"/>
  <c r="R226" i="9"/>
  <c r="R282" i="9"/>
  <c r="R338" i="9"/>
  <c r="R392" i="9"/>
  <c r="R426" i="9"/>
  <c r="R466" i="9"/>
  <c r="R506" i="9"/>
  <c r="R540" i="9"/>
  <c r="R580" i="9"/>
  <c r="R618" i="9"/>
  <c r="R656" i="9"/>
  <c r="R688" i="9"/>
  <c r="R718" i="9"/>
  <c r="R744" i="9"/>
  <c r="R774" i="9"/>
  <c r="R804" i="9"/>
  <c r="R830" i="9"/>
  <c r="R860" i="9"/>
  <c r="R888" i="9"/>
  <c r="R916" i="9"/>
  <c r="R943" i="9"/>
  <c r="R965" i="9"/>
  <c r="R985" i="9"/>
  <c r="R1007" i="9"/>
  <c r="R1029" i="9"/>
  <c r="R1049" i="9"/>
  <c r="R1071" i="9"/>
  <c r="R1093" i="9"/>
  <c r="R25" i="9"/>
  <c r="R82" i="9"/>
  <c r="R142" i="9"/>
  <c r="R194" i="9"/>
  <c r="R254" i="9"/>
  <c r="R314" i="9"/>
  <c r="R366" i="9"/>
  <c r="R410" i="9"/>
  <c r="R448" i="9"/>
  <c r="R484" i="9"/>
  <c r="R522" i="9"/>
  <c r="R562" i="9"/>
  <c r="R596" i="9"/>
  <c r="R636" i="9"/>
  <c r="R676" i="9"/>
  <c r="R702" i="9"/>
  <c r="R732" i="9"/>
  <c r="R760" i="9"/>
  <c r="R788" i="9"/>
  <c r="R816" i="9"/>
  <c r="R846" i="9"/>
  <c r="R872" i="9"/>
  <c r="R902" i="9"/>
  <c r="R932" i="9"/>
  <c r="R953" i="9"/>
  <c r="R975" i="9"/>
  <c r="R997" i="9"/>
  <c r="R1017" i="9"/>
  <c r="R1039" i="9"/>
  <c r="R1061" i="9"/>
  <c r="R1081" i="9"/>
  <c r="R1103" i="9"/>
  <c r="R1121" i="9"/>
  <c r="R1137" i="9"/>
  <c r="R1153" i="9"/>
  <c r="R1169" i="9"/>
  <c r="R1185" i="9"/>
  <c r="R1201" i="9"/>
  <c r="R1217" i="9"/>
  <c r="R1233" i="9"/>
  <c r="R1249" i="9"/>
  <c r="R1265" i="9"/>
  <c r="R1279" i="9"/>
  <c r="R1289" i="9"/>
  <c r="R1299" i="9"/>
  <c r="R1311" i="9"/>
  <c r="R1321" i="9"/>
  <c r="R1331" i="9"/>
  <c r="R1343" i="9"/>
  <c r="R1353" i="9"/>
  <c r="R1363" i="9"/>
  <c r="R1375" i="9"/>
  <c r="R1385" i="9"/>
  <c r="R1395" i="9"/>
  <c r="R1407" i="9"/>
  <c r="R1417" i="9"/>
  <c r="R1427" i="9"/>
  <c r="R1439" i="9"/>
  <c r="R1449" i="9"/>
  <c r="R1459" i="9"/>
  <c r="R1471" i="9"/>
  <c r="R1481" i="9"/>
  <c r="R1491" i="9"/>
  <c r="R1503" i="9"/>
  <c r="R1513" i="9"/>
  <c r="R1523" i="9"/>
  <c r="R1535" i="9"/>
  <c r="R1545" i="9"/>
  <c r="R1555" i="9"/>
  <c r="R1567" i="9"/>
  <c r="R1577" i="9"/>
  <c r="R1587" i="9"/>
  <c r="R1599" i="9"/>
  <c r="R1609" i="9"/>
  <c r="R1619" i="9"/>
  <c r="R1631" i="9"/>
  <c r="R1641" i="9"/>
  <c r="R1651" i="9"/>
  <c r="R1663" i="9"/>
  <c r="R1673" i="9"/>
  <c r="R1683" i="9"/>
  <c r="R1695" i="9"/>
  <c r="R1705" i="9"/>
  <c r="R1715" i="9"/>
  <c r="R1727" i="9"/>
  <c r="R1737" i="9"/>
  <c r="R1747" i="9"/>
  <c r="R1759" i="9"/>
  <c r="R1769" i="9"/>
  <c r="R1779" i="9"/>
  <c r="R1791" i="9"/>
  <c r="R1801" i="9"/>
  <c r="R1811" i="9"/>
  <c r="R1823" i="9"/>
  <c r="R1831" i="9"/>
  <c r="R1839" i="9"/>
  <c r="R1847" i="9"/>
  <c r="R1855" i="9"/>
  <c r="R1863" i="9"/>
  <c r="R1871" i="9"/>
  <c r="R1879" i="9"/>
  <c r="R1887" i="9"/>
  <c r="R1895" i="9"/>
  <c r="R1903" i="9"/>
  <c r="R1911" i="9"/>
  <c r="R1919" i="9"/>
  <c r="R1927" i="9"/>
  <c r="R1935" i="9"/>
  <c r="R1943" i="9"/>
  <c r="R1951" i="9"/>
  <c r="R1959" i="9"/>
  <c r="R1967" i="9"/>
  <c r="R1975" i="9"/>
  <c r="R1983" i="9"/>
  <c r="R1991" i="9"/>
  <c r="R1999" i="9"/>
  <c r="O7" i="9"/>
  <c r="O15" i="9"/>
  <c r="O23" i="9"/>
  <c r="O31" i="9"/>
  <c r="O39" i="9"/>
  <c r="O47" i="9"/>
  <c r="O55" i="9"/>
  <c r="O63" i="9"/>
  <c r="O71" i="9"/>
  <c r="O79" i="9"/>
  <c r="O87" i="9"/>
  <c r="O95" i="9"/>
  <c r="O103" i="9"/>
  <c r="O111" i="9"/>
  <c r="O119" i="9"/>
  <c r="O127" i="9"/>
  <c r="O135" i="9"/>
  <c r="O143" i="9"/>
  <c r="O151" i="9"/>
  <c r="O159" i="9"/>
  <c r="O167" i="9"/>
  <c r="O175" i="9"/>
  <c r="O183" i="9"/>
  <c r="O191" i="9"/>
  <c r="O199" i="9"/>
  <c r="O207" i="9"/>
  <c r="O215" i="9"/>
  <c r="O223" i="9"/>
  <c r="O231" i="9"/>
  <c r="O239" i="9"/>
  <c r="O247" i="9"/>
  <c r="O255" i="9"/>
  <c r="O263" i="9"/>
  <c r="O271" i="9"/>
  <c r="O279" i="9"/>
  <c r="O287" i="9"/>
  <c r="O295" i="9"/>
  <c r="O303" i="9"/>
  <c r="O311" i="9"/>
  <c r="O319" i="9"/>
  <c r="O327" i="9"/>
  <c r="O335" i="9"/>
  <c r="O343" i="9"/>
  <c r="O351" i="9"/>
  <c r="O359" i="9"/>
  <c r="O367" i="9"/>
  <c r="O375" i="9"/>
  <c r="O383" i="9"/>
  <c r="O391" i="9"/>
  <c r="O399" i="9"/>
  <c r="O407" i="9"/>
  <c r="O415" i="9"/>
  <c r="O423" i="9"/>
  <c r="O431" i="9"/>
  <c r="R26" i="9"/>
  <c r="R89" i="9"/>
  <c r="R145" i="9"/>
  <c r="R203" i="9"/>
  <c r="R257" i="9"/>
  <c r="R315" i="9"/>
  <c r="R377" i="9"/>
  <c r="R411" i="9"/>
  <c r="R451" i="9"/>
  <c r="R489" i="9"/>
  <c r="R526" i="9"/>
  <c r="R563" i="9"/>
  <c r="R603" i="9"/>
  <c r="R638" i="9"/>
  <c r="R677" i="9"/>
  <c r="R707" i="9"/>
  <c r="R733" i="9"/>
  <c r="R763" i="9"/>
  <c r="R791" i="9"/>
  <c r="R819" i="9"/>
  <c r="R847" i="9"/>
  <c r="R877" i="9"/>
  <c r="R903" i="9"/>
  <c r="R933" i="9"/>
  <c r="R956" i="9"/>
  <c r="R976" i="9"/>
  <c r="R998" i="9"/>
  <c r="R1020" i="9"/>
  <c r="R1040" i="9"/>
  <c r="R1062" i="9"/>
  <c r="R1084" i="9"/>
  <c r="R33" i="9"/>
  <c r="R97" i="9"/>
  <c r="R153" i="9"/>
  <c r="R209" i="9"/>
  <c r="R267" i="9"/>
  <c r="R321" i="9"/>
  <c r="R379" i="9"/>
  <c r="R419" i="9"/>
  <c r="R454" i="9"/>
  <c r="R494" i="9"/>
  <c r="R531" i="9"/>
  <c r="R569" i="9"/>
  <c r="R606" i="9"/>
  <c r="R646" i="9"/>
  <c r="R679" i="9"/>
  <c r="R709" i="9"/>
  <c r="R739" i="9"/>
  <c r="R765" i="9"/>
  <c r="R795" i="9"/>
  <c r="R823" i="9"/>
  <c r="R851" i="9"/>
  <c r="R879" i="9"/>
  <c r="R909" i="9"/>
  <c r="R935" i="9"/>
  <c r="R958" i="9"/>
  <c r="R980" i="9"/>
  <c r="R1000" i="9"/>
  <c r="R1022" i="9"/>
  <c r="R1044" i="9"/>
  <c r="R1064" i="9"/>
  <c r="R1086" i="9"/>
  <c r="R1108" i="9"/>
  <c r="R1124" i="9"/>
  <c r="R1140" i="9"/>
  <c r="R1156" i="9"/>
  <c r="R1172" i="9"/>
  <c r="R1188" i="9"/>
  <c r="R1204" i="9"/>
  <c r="R1220" i="9"/>
  <c r="R1236" i="9"/>
  <c r="R1252" i="9"/>
  <c r="R1268" i="9"/>
  <c r="R1281" i="9"/>
  <c r="R1291" i="9"/>
  <c r="R1303" i="9"/>
  <c r="R1313" i="9"/>
  <c r="R1323" i="9"/>
  <c r="R1335" i="9"/>
  <c r="R1345" i="9"/>
  <c r="R1355" i="9"/>
  <c r="R1367" i="9"/>
  <c r="R1377" i="9"/>
  <c r="R1387" i="9"/>
  <c r="R1399" i="9"/>
  <c r="R1409" i="9"/>
  <c r="R1419" i="9"/>
  <c r="R1431" i="9"/>
  <c r="R1441" i="9"/>
  <c r="R1451" i="9"/>
  <c r="R1463" i="9"/>
  <c r="R1473" i="9"/>
  <c r="R1483" i="9"/>
  <c r="R1495" i="9"/>
  <c r="R1505" i="9"/>
  <c r="R1515" i="9"/>
  <c r="R1527" i="9"/>
  <c r="R1537" i="9"/>
  <c r="R1547" i="9"/>
  <c r="R1559" i="9"/>
  <c r="R1569" i="9"/>
  <c r="R1579" i="9"/>
  <c r="R1591" i="9"/>
  <c r="R1601" i="9"/>
  <c r="R1611" i="9"/>
  <c r="R1623" i="9"/>
  <c r="R1633" i="9"/>
  <c r="R1643" i="9"/>
  <c r="R1655" i="9"/>
  <c r="R1665" i="9"/>
  <c r="R1675" i="9"/>
  <c r="R1687" i="9"/>
  <c r="R1697" i="9"/>
  <c r="R1707" i="9"/>
  <c r="R1719" i="9"/>
  <c r="R1729" i="9"/>
  <c r="R1739" i="9"/>
  <c r="R1751" i="9"/>
  <c r="R1761" i="9"/>
  <c r="R1771" i="9"/>
  <c r="R1783" i="9"/>
  <c r="R1793" i="9"/>
  <c r="R1803" i="9"/>
  <c r="R1815" i="9"/>
  <c r="R1825" i="9"/>
  <c r="R1833" i="9"/>
  <c r="R1841" i="9"/>
  <c r="R1849" i="9"/>
  <c r="R1857" i="9"/>
  <c r="R1865" i="9"/>
  <c r="R1873" i="9"/>
  <c r="R1881" i="9"/>
  <c r="R1889" i="9"/>
  <c r="R1897" i="9"/>
  <c r="R1905" i="9"/>
  <c r="R1913" i="9"/>
  <c r="R1921" i="9"/>
  <c r="R1929" i="9"/>
  <c r="R1937" i="9"/>
  <c r="R1945" i="9"/>
  <c r="R1953" i="9"/>
  <c r="R1961" i="9"/>
  <c r="R1969" i="9"/>
  <c r="R1977" i="9"/>
  <c r="R1985" i="9"/>
  <c r="R1993" i="9"/>
  <c r="R2001" i="9"/>
  <c r="O9" i="9"/>
  <c r="O17" i="9"/>
  <c r="O25" i="9"/>
  <c r="O33" i="9"/>
  <c r="O41" i="9"/>
  <c r="O49" i="9"/>
  <c r="O57" i="9"/>
  <c r="O65" i="9"/>
  <c r="O73" i="9"/>
  <c r="O81" i="9"/>
  <c r="O89" i="9"/>
  <c r="O97" i="9"/>
  <c r="O105" i="9"/>
  <c r="O113" i="9"/>
  <c r="O121" i="9"/>
  <c r="O129" i="9"/>
  <c r="O137" i="9"/>
  <c r="O145" i="9"/>
  <c r="O153" i="9"/>
  <c r="O161" i="9"/>
  <c r="O169" i="9"/>
  <c r="O177" i="9"/>
  <c r="O185" i="9"/>
  <c r="O193" i="9"/>
  <c r="O201" i="9"/>
  <c r="O209" i="9"/>
  <c r="O217" i="9"/>
  <c r="O225" i="9"/>
  <c r="O233" i="9"/>
  <c r="O241" i="9"/>
  <c r="O249" i="9"/>
  <c r="O257" i="9"/>
  <c r="O265" i="9"/>
  <c r="O273" i="9"/>
  <c r="O281" i="9"/>
  <c r="O289" i="9"/>
  <c r="O297" i="9"/>
  <c r="O305" i="9"/>
  <c r="O313" i="9"/>
  <c r="O321" i="9"/>
  <c r="O329" i="9"/>
  <c r="O337" i="9"/>
  <c r="O345" i="9"/>
  <c r="O353" i="9"/>
  <c r="O361" i="9"/>
  <c r="O369" i="9"/>
  <c r="O377" i="9"/>
  <c r="O385" i="9"/>
  <c r="O393" i="9"/>
  <c r="O401" i="9"/>
  <c r="O409" i="9"/>
  <c r="O417" i="9"/>
  <c r="O425" i="9"/>
  <c r="R81" i="9"/>
  <c r="R193" i="9"/>
  <c r="R313" i="9"/>
  <c r="R409" i="9"/>
  <c r="R483" i="9"/>
  <c r="R561" i="9"/>
  <c r="R635" i="9"/>
  <c r="R701" i="9"/>
  <c r="R759" i="9"/>
  <c r="R815" i="9"/>
  <c r="R871" i="9"/>
  <c r="R931" i="9"/>
  <c r="R974" i="9"/>
  <c r="R1016" i="9"/>
  <c r="R1060" i="9"/>
  <c r="R1102" i="9"/>
  <c r="R1128" i="9"/>
  <c r="R1146" i="9"/>
  <c r="R1168" i="9"/>
  <c r="R1192" i="9"/>
  <c r="R1210" i="9"/>
  <c r="R1232" i="9"/>
  <c r="R1256" i="9"/>
  <c r="R1274" i="9"/>
  <c r="R1288" i="9"/>
  <c r="R1304" i="9"/>
  <c r="R1316" i="9"/>
  <c r="R1330" i="9"/>
  <c r="R1346" i="9"/>
  <c r="R1360" i="9"/>
  <c r="R1372" i="9"/>
  <c r="R1388" i="9"/>
  <c r="R1402" i="9"/>
  <c r="R1416" i="9"/>
  <c r="R1432" i="9"/>
  <c r="R1444" i="9"/>
  <c r="R1458" i="9"/>
  <c r="R1474" i="9"/>
  <c r="R1488" i="9"/>
  <c r="R1500" i="9"/>
  <c r="R1516" i="9"/>
  <c r="R1530" i="9"/>
  <c r="R1544" i="9"/>
  <c r="R1560" i="9"/>
  <c r="R1572" i="9"/>
  <c r="R1586" i="9"/>
  <c r="R1602" i="9"/>
  <c r="R1616" i="9"/>
  <c r="R1628" i="9"/>
  <c r="R1644" i="9"/>
  <c r="R1658" i="9"/>
  <c r="R1672" i="9"/>
  <c r="R1688" i="9"/>
  <c r="R1700" i="9"/>
  <c r="R121" i="9"/>
  <c r="R233" i="9"/>
  <c r="R345" i="9"/>
  <c r="R433" i="9"/>
  <c r="R507" i="9"/>
  <c r="R582" i="9"/>
  <c r="R659" i="9"/>
  <c r="R719" i="9"/>
  <c r="R775" i="9"/>
  <c r="R835" i="9"/>
  <c r="R891" i="9"/>
  <c r="R944" i="9"/>
  <c r="R988" i="9"/>
  <c r="R1030" i="9"/>
  <c r="R1072" i="9"/>
  <c r="R1112" i="9"/>
  <c r="R1130" i="9"/>
  <c r="R1152" i="9"/>
  <c r="R123" i="9"/>
  <c r="R235" i="9"/>
  <c r="R353" i="9"/>
  <c r="R435" i="9"/>
  <c r="R510" i="9"/>
  <c r="R590" i="9"/>
  <c r="R665" i="9"/>
  <c r="R723" i="9"/>
  <c r="R781" i="9"/>
  <c r="R837" i="9"/>
  <c r="R893" i="9"/>
  <c r="R948" i="9"/>
  <c r="R990" i="9"/>
  <c r="R1032" i="9"/>
  <c r="R1076" i="9"/>
  <c r="R1113" i="9"/>
  <c r="R1132" i="9"/>
  <c r="R1154" i="9"/>
  <c r="R139" i="9"/>
  <c r="R251" i="9"/>
  <c r="R363" i="9"/>
  <c r="R446" i="9"/>
  <c r="R521" i="9"/>
  <c r="R595" i="9"/>
  <c r="R675" i="9"/>
  <c r="R731" i="9"/>
  <c r="R787" i="9"/>
  <c r="R845" i="9"/>
  <c r="R901" i="9"/>
  <c r="R952" i="9"/>
  <c r="R996" i="9"/>
  <c r="R1038" i="9"/>
  <c r="R1080" i="9"/>
  <c r="R1114" i="9"/>
  <c r="R1136" i="9"/>
  <c r="R1160" i="9"/>
  <c r="R1178" i="9"/>
  <c r="R1200" i="9"/>
  <c r="R1224" i="9"/>
  <c r="R1242" i="9"/>
  <c r="R1264" i="9"/>
  <c r="R1282" i="9"/>
  <c r="R1296" i="9"/>
  <c r="R1308" i="9"/>
  <c r="R1324" i="9"/>
  <c r="R1338" i="9"/>
  <c r="R1352" i="9"/>
  <c r="R1368" i="9"/>
  <c r="R1380" i="9"/>
  <c r="R1394" i="9"/>
  <c r="R1410" i="9"/>
  <c r="R1424" i="9"/>
  <c r="R1436" i="9"/>
  <c r="R1452" i="9"/>
  <c r="R1466" i="9"/>
  <c r="R1480" i="9"/>
  <c r="R1496" i="9"/>
  <c r="R1508" i="9"/>
  <c r="R1522" i="9"/>
  <c r="R1538" i="9"/>
  <c r="R1552" i="9"/>
  <c r="R1564" i="9"/>
  <c r="R1580" i="9"/>
  <c r="R1594" i="9"/>
  <c r="R1608" i="9"/>
  <c r="R1624" i="9"/>
  <c r="R1636" i="9"/>
  <c r="R1650" i="9"/>
  <c r="R1666" i="9"/>
  <c r="R1680" i="9"/>
  <c r="R1692" i="9"/>
  <c r="R1708" i="9"/>
  <c r="R57" i="9"/>
  <c r="R169" i="9"/>
  <c r="R281" i="9"/>
  <c r="R390" i="9"/>
  <c r="R465" i="9"/>
  <c r="R539" i="9"/>
  <c r="R617" i="9"/>
  <c r="R687" i="9"/>
  <c r="R743" i="9"/>
  <c r="R803" i="9"/>
  <c r="R859" i="9"/>
  <c r="R915" i="9"/>
  <c r="R964" i="9"/>
  <c r="R1006" i="9"/>
  <c r="R1048" i="9"/>
  <c r="R1092" i="9"/>
  <c r="R1116" i="9"/>
  <c r="R1138" i="9"/>
  <c r="R1161" i="9"/>
  <c r="R1180" i="9"/>
  <c r="R1202" i="9"/>
  <c r="R1225" i="9"/>
  <c r="R1244" i="9"/>
  <c r="R1266" i="9"/>
  <c r="R1283" i="9"/>
  <c r="R1297" i="9"/>
  <c r="R1312" i="9"/>
  <c r="R1327" i="9"/>
  <c r="R1339" i="9"/>
  <c r="R1354" i="9"/>
  <c r="R1369" i="9"/>
  <c r="R1383" i="9"/>
  <c r="R1396" i="9"/>
  <c r="R1411" i="9"/>
  <c r="R1425" i="9"/>
  <c r="R1440" i="9"/>
  <c r="R1455" i="9"/>
  <c r="R1467" i="9"/>
  <c r="R1482" i="9"/>
  <c r="R1497" i="9"/>
  <c r="R1511" i="9"/>
  <c r="R1524" i="9"/>
  <c r="R1539" i="9"/>
  <c r="R1553" i="9"/>
  <c r="R1568" i="9"/>
  <c r="R1583" i="9"/>
  <c r="R1595" i="9"/>
  <c r="R1610" i="9"/>
  <c r="R1625" i="9"/>
  <c r="R1639" i="9"/>
  <c r="R1652" i="9"/>
  <c r="R1667" i="9"/>
  <c r="R1681" i="9"/>
  <c r="R1696" i="9"/>
  <c r="R1711" i="9"/>
  <c r="R1723" i="9"/>
  <c r="R1738" i="9"/>
  <c r="R1753" i="9"/>
  <c r="R1767" i="9"/>
  <c r="R1780" i="9"/>
  <c r="R1795" i="9"/>
  <c r="R1809" i="9"/>
  <c r="R1824" i="9"/>
  <c r="R1835" i="9"/>
  <c r="R1845" i="9"/>
  <c r="R1856" i="9"/>
  <c r="R1867" i="9"/>
  <c r="R1877" i="9"/>
  <c r="R1888" i="9"/>
  <c r="R1899" i="9"/>
  <c r="R1909" i="9"/>
  <c r="R1920" i="9"/>
  <c r="R1931" i="9"/>
  <c r="R1941" i="9"/>
  <c r="R1952" i="9"/>
  <c r="R1963" i="9"/>
  <c r="R1973" i="9"/>
  <c r="R1984" i="9"/>
  <c r="R1995" i="9"/>
  <c r="O5" i="9"/>
  <c r="O16" i="9"/>
  <c r="O27" i="9"/>
  <c r="O37" i="9"/>
  <c r="O48" i="9"/>
  <c r="O59" i="9"/>
  <c r="O69" i="9"/>
  <c r="O80" i="9"/>
  <c r="O91" i="9"/>
  <c r="O101" i="9"/>
  <c r="O112" i="9"/>
  <c r="O123" i="9"/>
  <c r="O133" i="9"/>
  <c r="O144" i="9"/>
  <c r="O155" i="9"/>
  <c r="O165" i="9"/>
  <c r="O176" i="9"/>
  <c r="O187" i="9"/>
  <c r="O197" i="9"/>
  <c r="O208" i="9"/>
  <c r="O219" i="9"/>
  <c r="O229" i="9"/>
  <c r="O240" i="9"/>
  <c r="O251" i="9"/>
  <c r="O261" i="9"/>
  <c r="O272" i="9"/>
  <c r="O283" i="9"/>
  <c r="O293" i="9"/>
  <c r="O304" i="9"/>
  <c r="O315" i="9"/>
  <c r="O325" i="9"/>
  <c r="O336" i="9"/>
  <c r="O347" i="9"/>
  <c r="O357" i="9"/>
  <c r="O368" i="9"/>
  <c r="O379" i="9"/>
  <c r="O389" i="9"/>
  <c r="O400" i="9"/>
  <c r="O411" i="9"/>
  <c r="O421" i="9"/>
  <c r="O432" i="9"/>
  <c r="O440" i="9"/>
  <c r="O448" i="9"/>
  <c r="O456" i="9"/>
  <c r="O464" i="9"/>
  <c r="O472" i="9"/>
  <c r="O480" i="9"/>
  <c r="O488" i="9"/>
  <c r="O496" i="9"/>
  <c r="O504" i="9"/>
  <c r="O512" i="9"/>
  <c r="O520" i="9"/>
  <c r="O528" i="9"/>
  <c r="O536" i="9"/>
  <c r="O544" i="9"/>
  <c r="O552" i="9"/>
  <c r="O560" i="9"/>
  <c r="O568" i="9"/>
  <c r="O576" i="9"/>
  <c r="O584" i="9"/>
  <c r="O592" i="9"/>
  <c r="O600" i="9"/>
  <c r="O608" i="9"/>
  <c r="O616" i="9"/>
  <c r="O624" i="9"/>
  <c r="O632" i="9"/>
  <c r="O640" i="9"/>
  <c r="O648" i="9"/>
  <c r="O656" i="9"/>
  <c r="O664" i="9"/>
  <c r="O672" i="9"/>
  <c r="O680" i="9"/>
  <c r="O688" i="9"/>
  <c r="O696" i="9"/>
  <c r="O704" i="9"/>
  <c r="O712" i="9"/>
  <c r="O720" i="9"/>
  <c r="O728" i="9"/>
  <c r="O736" i="9"/>
  <c r="O744" i="9"/>
  <c r="O752" i="9"/>
  <c r="O760" i="9"/>
  <c r="O768" i="9"/>
  <c r="O776" i="9"/>
  <c r="O784" i="9"/>
  <c r="O792" i="9"/>
  <c r="O800" i="9"/>
  <c r="O808" i="9"/>
  <c r="O816" i="9"/>
  <c r="O824" i="9"/>
  <c r="O832" i="9"/>
  <c r="O840" i="9"/>
  <c r="O848" i="9"/>
  <c r="O856" i="9"/>
  <c r="O864" i="9"/>
  <c r="O872" i="9"/>
  <c r="O880" i="9"/>
  <c r="R65" i="9"/>
  <c r="R185" i="9"/>
  <c r="R297" i="9"/>
  <c r="R398" i="9"/>
  <c r="R475" i="9"/>
  <c r="R550" i="9"/>
  <c r="R625" i="9"/>
  <c r="R695" i="9"/>
  <c r="R751" i="9"/>
  <c r="R807" i="9"/>
  <c r="R867" i="9"/>
  <c r="R923" i="9"/>
  <c r="R968" i="9"/>
  <c r="R1012" i="9"/>
  <c r="R1054" i="9"/>
  <c r="R1096" i="9"/>
  <c r="R1122" i="9"/>
  <c r="R1145" i="9"/>
  <c r="R1164" i="9"/>
  <c r="R1186" i="9"/>
  <c r="R1209" i="9"/>
  <c r="R1228" i="9"/>
  <c r="R1250" i="9"/>
  <c r="R1273" i="9"/>
  <c r="R1287" i="9"/>
  <c r="R1300" i="9"/>
  <c r="R1315" i="9"/>
  <c r="R1329" i="9"/>
  <c r="R1344" i="9"/>
  <c r="R1359" i="9"/>
  <c r="R1371" i="9"/>
  <c r="R1386" i="9"/>
  <c r="R1401" i="9"/>
  <c r="R1415" i="9"/>
  <c r="R1428" i="9"/>
  <c r="R1443" i="9"/>
  <c r="R1457" i="9"/>
  <c r="R1472" i="9"/>
  <c r="R1487" i="9"/>
  <c r="R1499" i="9"/>
  <c r="R1514" i="9"/>
  <c r="R1529" i="9"/>
  <c r="R1543" i="9"/>
  <c r="R1556" i="9"/>
  <c r="R1571" i="9"/>
  <c r="R1585" i="9"/>
  <c r="R1600" i="9"/>
  <c r="R1615" i="9"/>
  <c r="R1627" i="9"/>
  <c r="R1642" i="9"/>
  <c r="R1657" i="9"/>
  <c r="R1671" i="9"/>
  <c r="R1684" i="9"/>
  <c r="R1699" i="9"/>
  <c r="R1713" i="9"/>
  <c r="R1728" i="9"/>
  <c r="R1743" i="9"/>
  <c r="R1755" i="9"/>
  <c r="R1770" i="9"/>
  <c r="R1785" i="9"/>
  <c r="R1799" i="9"/>
  <c r="R1812" i="9"/>
  <c r="R1827" i="9"/>
  <c r="R1837" i="9"/>
  <c r="R1848" i="9"/>
  <c r="R1859" i="9"/>
  <c r="R1869" i="9"/>
  <c r="R1880" i="9"/>
  <c r="R1891" i="9"/>
  <c r="R1901" i="9"/>
  <c r="R1912" i="9"/>
  <c r="R1923" i="9"/>
  <c r="R1933" i="9"/>
  <c r="R1944" i="9"/>
  <c r="R1955" i="9"/>
  <c r="R1965" i="9"/>
  <c r="R1976" i="9"/>
  <c r="R1987" i="9"/>
  <c r="R1997" i="9"/>
  <c r="O8" i="9"/>
  <c r="O19" i="9"/>
  <c r="O29" i="9"/>
  <c r="O40" i="9"/>
  <c r="O51" i="9"/>
  <c r="O61" i="9"/>
  <c r="O72" i="9"/>
  <c r="O83" i="9"/>
  <c r="O93" i="9"/>
  <c r="O104" i="9"/>
  <c r="O115" i="9"/>
  <c r="O125" i="9"/>
  <c r="O136" i="9"/>
  <c r="O147" i="9"/>
  <c r="O157" i="9"/>
  <c r="O168" i="9"/>
  <c r="O179" i="9"/>
  <c r="O189" i="9"/>
  <c r="O200" i="9"/>
  <c r="O211" i="9"/>
  <c r="O221" i="9"/>
  <c r="O232" i="9"/>
  <c r="O243" i="9"/>
  <c r="O253" i="9"/>
  <c r="O264" i="9"/>
  <c r="O275" i="9"/>
  <c r="O285" i="9"/>
  <c r="O296" i="9"/>
  <c r="O307" i="9"/>
  <c r="O317" i="9"/>
  <c r="O328" i="9"/>
  <c r="O339" i="9"/>
  <c r="O349" i="9"/>
  <c r="O360" i="9"/>
  <c r="O371" i="9"/>
  <c r="O381" i="9"/>
  <c r="O392" i="9"/>
  <c r="O403" i="9"/>
  <c r="O413" i="9"/>
  <c r="O424" i="9"/>
  <c r="O434" i="9"/>
  <c r="O442" i="9"/>
  <c r="O450" i="9"/>
  <c r="O458" i="9"/>
  <c r="O466" i="9"/>
  <c r="O474" i="9"/>
  <c r="O482" i="9"/>
  <c r="O490" i="9"/>
  <c r="O498" i="9"/>
  <c r="O506" i="9"/>
  <c r="O514" i="9"/>
  <c r="O522" i="9"/>
  <c r="O530" i="9"/>
  <c r="O538" i="9"/>
  <c r="O546" i="9"/>
  <c r="O554" i="9"/>
  <c r="O562" i="9"/>
  <c r="O570" i="9"/>
  <c r="O578" i="9"/>
  <c r="O586" i="9"/>
  <c r="O594" i="9"/>
  <c r="O602" i="9"/>
  <c r="O610" i="9"/>
  <c r="O618" i="9"/>
  <c r="O626" i="9"/>
  <c r="O634" i="9"/>
  <c r="O642" i="9"/>
  <c r="O650" i="9"/>
  <c r="O658" i="9"/>
  <c r="O666" i="9"/>
  <c r="O674" i="9"/>
  <c r="O682" i="9"/>
  <c r="O690" i="9"/>
  <c r="O698" i="9"/>
  <c r="O706" i="9"/>
  <c r="O714" i="9"/>
  <c r="O722" i="9"/>
  <c r="O730" i="9"/>
  <c r="O738" i="9"/>
  <c r="O746" i="9"/>
  <c r="O754" i="9"/>
  <c r="O762" i="9"/>
  <c r="O770" i="9"/>
  <c r="O778" i="9"/>
  <c r="O786" i="9"/>
  <c r="O794" i="9"/>
  <c r="O802" i="9"/>
  <c r="O810" i="9"/>
  <c r="O818" i="9"/>
  <c r="O826" i="9"/>
  <c r="O834" i="9"/>
  <c r="R225" i="9"/>
  <c r="R579" i="9"/>
  <c r="R829" i="9"/>
  <c r="R1028" i="9"/>
  <c r="R1148" i="9"/>
  <c r="R1196" i="9"/>
  <c r="R1241" i="9"/>
  <c r="R1280" i="9"/>
  <c r="R1307" i="9"/>
  <c r="R1337" i="9"/>
  <c r="R1364" i="9"/>
  <c r="R1393" i="9"/>
  <c r="R1423" i="9"/>
  <c r="R1450" i="9"/>
  <c r="R1479" i="9"/>
  <c r="R1507" i="9"/>
  <c r="R1536" i="9"/>
  <c r="R1563" i="9"/>
  <c r="R1593" i="9"/>
  <c r="R1620" i="9"/>
  <c r="R1649" i="9"/>
  <c r="R1679" i="9"/>
  <c r="R1706" i="9"/>
  <c r="R1730" i="9"/>
  <c r="R1746" i="9"/>
  <c r="R1764" i="9"/>
  <c r="R1786" i="9"/>
  <c r="R1804" i="9"/>
  <c r="R1820" i="9"/>
  <c r="R1838" i="9"/>
  <c r="R1852" i="9"/>
  <c r="R1866" i="9"/>
  <c r="R1882" i="9"/>
  <c r="R1894" i="9"/>
  <c r="R1908" i="9"/>
  <c r="R1924" i="9"/>
  <c r="R1938" i="9"/>
  <c r="R1950" i="9"/>
  <c r="R1966" i="9"/>
  <c r="R1980" i="9"/>
  <c r="R1994" i="9"/>
  <c r="O10" i="9"/>
  <c r="O22" i="9"/>
  <c r="O36" i="9"/>
  <c r="O52" i="9"/>
  <c r="O66" i="9"/>
  <c r="O78" i="9"/>
  <c r="O94" i="9"/>
  <c r="O108" i="9"/>
  <c r="O122" i="9"/>
  <c r="O138" i="9"/>
  <c r="O150" i="9"/>
  <c r="O164" i="9"/>
  <c r="O180" i="9"/>
  <c r="O194" i="9"/>
  <c r="O206" i="9"/>
  <c r="O222" i="9"/>
  <c r="O236" i="9"/>
  <c r="O250" i="9"/>
  <c r="O266" i="9"/>
  <c r="O278" i="9"/>
  <c r="O292" i="9"/>
  <c r="O308" i="9"/>
  <c r="O322" i="9"/>
  <c r="O334" i="9"/>
  <c r="O350" i="9"/>
  <c r="O364" i="9"/>
  <c r="O378" i="9"/>
  <c r="O394" i="9"/>
  <c r="O406" i="9"/>
  <c r="O420" i="9"/>
  <c r="O435" i="9"/>
  <c r="O445" i="9"/>
  <c r="O455" i="9"/>
  <c r="O467" i="9"/>
  <c r="O477" i="9"/>
  <c r="O487" i="9"/>
  <c r="O499" i="9"/>
  <c r="O509" i="9"/>
  <c r="O519" i="9"/>
  <c r="O531" i="9"/>
  <c r="O541" i="9"/>
  <c r="O551" i="9"/>
  <c r="O563" i="9"/>
  <c r="O573" i="9"/>
  <c r="O583" i="9"/>
  <c r="R425" i="9"/>
  <c r="R717" i="9"/>
  <c r="R942" i="9"/>
  <c r="R1104" i="9"/>
  <c r="R1177" i="9"/>
  <c r="R1218" i="9"/>
  <c r="R1260" i="9"/>
  <c r="R1295" i="9"/>
  <c r="R1322" i="9"/>
  <c r="R1351" i="9"/>
  <c r="R1379" i="9"/>
  <c r="R1408" i="9"/>
  <c r="R1435" i="9"/>
  <c r="R1465" i="9"/>
  <c r="R1492" i="9"/>
  <c r="R1521" i="9"/>
  <c r="R1551" i="9"/>
  <c r="R1578" i="9"/>
  <c r="R1607" i="9"/>
  <c r="R1635" i="9"/>
  <c r="R1664" i="9"/>
  <c r="R1691" i="9"/>
  <c r="R1720" i="9"/>
  <c r="R1736" i="9"/>
  <c r="R1756" i="9"/>
  <c r="R1776" i="9"/>
  <c r="R1794" i="9"/>
  <c r="R1816" i="9"/>
  <c r="R1830" i="9"/>
  <c r="R1844" i="9"/>
  <c r="R1860" i="9"/>
  <c r="R1874" i="9"/>
  <c r="R1886" i="9"/>
  <c r="R1902" i="9"/>
  <c r="R1916" i="9"/>
  <c r="R1930" i="9"/>
  <c r="R1946" i="9"/>
  <c r="R1958" i="9"/>
  <c r="R1972" i="9"/>
  <c r="R1988" i="9"/>
  <c r="R2002" i="9"/>
  <c r="O14" i="9"/>
  <c r="O30" i="9"/>
  <c r="O44" i="9"/>
  <c r="O58" i="9"/>
  <c r="O74" i="9"/>
  <c r="O86" i="9"/>
  <c r="O100" i="9"/>
  <c r="O116" i="9"/>
  <c r="O130" i="9"/>
  <c r="O142" i="9"/>
  <c r="O158" i="9"/>
  <c r="O172" i="9"/>
  <c r="O186" i="9"/>
  <c r="O202" i="9"/>
  <c r="O214" i="9"/>
  <c r="O228" i="9"/>
  <c r="O244" i="9"/>
  <c r="O258" i="9"/>
  <c r="O270" i="9"/>
  <c r="O286" i="9"/>
  <c r="O300" i="9"/>
  <c r="O314" i="9"/>
  <c r="O330" i="9"/>
  <c r="O342" i="9"/>
  <c r="O356" i="9"/>
  <c r="O372" i="9"/>
  <c r="O386" i="9"/>
  <c r="O398" i="9"/>
  <c r="O414" i="9"/>
  <c r="O428" i="9"/>
  <c r="O439" i="9"/>
  <c r="O451" i="9"/>
  <c r="O461" i="9"/>
  <c r="O471" i="9"/>
  <c r="O483" i="9"/>
  <c r="O493" i="9"/>
  <c r="O503" i="9"/>
  <c r="O515" i="9"/>
  <c r="O525" i="9"/>
  <c r="O535" i="9"/>
  <c r="O547" i="9"/>
  <c r="O557" i="9"/>
  <c r="O567" i="9"/>
  <c r="O579" i="9"/>
  <c r="R59" i="9"/>
  <c r="R467" i="9"/>
  <c r="R749" i="9"/>
  <c r="R966" i="9"/>
  <c r="R1120" i="9"/>
  <c r="R1184" i="9"/>
  <c r="R1226" i="9"/>
  <c r="R1272" i="9"/>
  <c r="R1298" i="9"/>
  <c r="R1328" i="9"/>
  <c r="R1356" i="9"/>
  <c r="R1384" i="9"/>
  <c r="R1412" i="9"/>
  <c r="R1442" i="9"/>
  <c r="R1468" i="9"/>
  <c r="R1498" i="9"/>
  <c r="R1528" i="9"/>
  <c r="R1554" i="9"/>
  <c r="R1584" i="9"/>
  <c r="R1612" i="9"/>
  <c r="R1640" i="9"/>
  <c r="R1668" i="9"/>
  <c r="R1698" i="9"/>
  <c r="R1721" i="9"/>
  <c r="R1740" i="9"/>
  <c r="R1760" i="9"/>
  <c r="R1777" i="9"/>
  <c r="R1796" i="9"/>
  <c r="R1817" i="9"/>
  <c r="R1832" i="9"/>
  <c r="R1846" i="9"/>
  <c r="R1861" i="9"/>
  <c r="R1875" i="9"/>
  <c r="R1890" i="9"/>
  <c r="R1904" i="9"/>
  <c r="R1917" i="9"/>
  <c r="R1932" i="9"/>
  <c r="R1947" i="9"/>
  <c r="R1960" i="9"/>
  <c r="R1974" i="9"/>
  <c r="R1989" i="9"/>
  <c r="R3" i="9"/>
  <c r="O18" i="9"/>
  <c r="O32" i="9"/>
  <c r="O45" i="9"/>
  <c r="O60" i="9"/>
  <c r="O75" i="9"/>
  <c r="O88" i="9"/>
  <c r="O102" i="9"/>
  <c r="O117" i="9"/>
  <c r="O131" i="9"/>
  <c r="O146" i="9"/>
  <c r="O160" i="9"/>
  <c r="O173" i="9"/>
  <c r="O188" i="9"/>
  <c r="O203" i="9"/>
  <c r="O216" i="9"/>
  <c r="O230" i="9"/>
  <c r="O245" i="9"/>
  <c r="O259" i="9"/>
  <c r="O274" i="9"/>
  <c r="O288" i="9"/>
  <c r="O301" i="9"/>
  <c r="O316" i="9"/>
  <c r="O331" i="9"/>
  <c r="O344" i="9"/>
  <c r="O358" i="9"/>
  <c r="O373" i="9"/>
  <c r="O387" i="9"/>
  <c r="O402" i="9"/>
  <c r="O416" i="9"/>
  <c r="O429" i="9"/>
  <c r="O441" i="9"/>
  <c r="O452" i="9"/>
  <c r="O462" i="9"/>
  <c r="O473" i="9"/>
  <c r="O484" i="9"/>
  <c r="O494" i="9"/>
  <c r="O505" i="9"/>
  <c r="O516" i="9"/>
  <c r="O526" i="9"/>
  <c r="O537" i="9"/>
  <c r="O548" i="9"/>
  <c r="O558" i="9"/>
  <c r="O569" i="9"/>
  <c r="O580" i="9"/>
  <c r="O590" i="9"/>
  <c r="O601" i="9"/>
  <c r="O612" i="9"/>
  <c r="O622" i="9"/>
  <c r="O633" i="9"/>
  <c r="O644" i="9"/>
  <c r="O654" i="9"/>
  <c r="O665" i="9"/>
  <c r="O676" i="9"/>
  <c r="O686" i="9"/>
  <c r="O697" i="9"/>
  <c r="O708" i="9"/>
  <c r="O718" i="9"/>
  <c r="O729" i="9"/>
  <c r="O740" i="9"/>
  <c r="O750" i="9"/>
  <c r="O761" i="9"/>
  <c r="O772" i="9"/>
  <c r="O782" i="9"/>
  <c r="O793" i="9"/>
  <c r="O804" i="9"/>
  <c r="O814" i="9"/>
  <c r="O825" i="9"/>
  <c r="O836" i="9"/>
  <c r="O845" i="9"/>
  <c r="O854" i="9"/>
  <c r="O863" i="9"/>
  <c r="O873" i="9"/>
  <c r="O882" i="9"/>
  <c r="O890" i="9"/>
  <c r="O898" i="9"/>
  <c r="O906" i="9"/>
  <c r="O914" i="9"/>
  <c r="O922" i="9"/>
  <c r="O930" i="9"/>
  <c r="O938" i="9"/>
  <c r="O946" i="9"/>
  <c r="O954" i="9"/>
  <c r="O962" i="9"/>
  <c r="O970" i="9"/>
  <c r="O978" i="9"/>
  <c r="O986" i="9"/>
  <c r="O994" i="9"/>
  <c r="O1002" i="9"/>
  <c r="O1010" i="9"/>
  <c r="O1018" i="9"/>
  <c r="O1026" i="9"/>
  <c r="O1034" i="9"/>
  <c r="O1042" i="9"/>
  <c r="O1050" i="9"/>
  <c r="O1058" i="9"/>
  <c r="O1066" i="9"/>
  <c r="O1074" i="9"/>
  <c r="O1082" i="9"/>
  <c r="O1090" i="9"/>
  <c r="O1098" i="9"/>
  <c r="O1106" i="9"/>
  <c r="O1114" i="9"/>
  <c r="O1122" i="9"/>
  <c r="O1130" i="9"/>
  <c r="O1138" i="9"/>
  <c r="O1146" i="9"/>
  <c r="O1154" i="9"/>
  <c r="O1162" i="9"/>
  <c r="O1170" i="9"/>
  <c r="O1178" i="9"/>
  <c r="O1186" i="9"/>
  <c r="O1194" i="9"/>
  <c r="O1202" i="9"/>
  <c r="O1210" i="9"/>
  <c r="O1218" i="9"/>
  <c r="O1226" i="9"/>
  <c r="O1234" i="9"/>
  <c r="O1242" i="9"/>
  <c r="O1250" i="9"/>
  <c r="O1258" i="9"/>
  <c r="O1266" i="9"/>
  <c r="O1274" i="9"/>
  <c r="O1282" i="9"/>
  <c r="O1290" i="9"/>
  <c r="O1298" i="9"/>
  <c r="O1306" i="9"/>
  <c r="O1314" i="9"/>
  <c r="O1322" i="9"/>
  <c r="O1330" i="9"/>
  <c r="O1338" i="9"/>
  <c r="O1346" i="9"/>
  <c r="O1354" i="9"/>
  <c r="O1362" i="9"/>
  <c r="O1370" i="9"/>
  <c r="O1378" i="9"/>
  <c r="O1386" i="9"/>
  <c r="O1394" i="9"/>
  <c r="O1402" i="9"/>
  <c r="O1410" i="9"/>
  <c r="O1418" i="9"/>
  <c r="O1426" i="9"/>
  <c r="O1434" i="9"/>
  <c r="O1442" i="9"/>
  <c r="O1450" i="9"/>
  <c r="O1458" i="9"/>
  <c r="O1466" i="9"/>
  <c r="O1474" i="9"/>
  <c r="O1482" i="9"/>
  <c r="O1490" i="9"/>
  <c r="O1498" i="9"/>
  <c r="O1506" i="9"/>
  <c r="O1514" i="9"/>
  <c r="O1522" i="9"/>
  <c r="O1530" i="9"/>
  <c r="O1538" i="9"/>
  <c r="O1546" i="9"/>
  <c r="O1554" i="9"/>
  <c r="O1562" i="9"/>
  <c r="O1570" i="9"/>
  <c r="O1578" i="9"/>
  <c r="O1586" i="9"/>
  <c r="O1594" i="9"/>
  <c r="O1602" i="9"/>
  <c r="O1610" i="9"/>
  <c r="O1618" i="9"/>
  <c r="O1626" i="9"/>
  <c r="O1634" i="9"/>
  <c r="O1642" i="9"/>
  <c r="O1650" i="9"/>
  <c r="O1658" i="9"/>
  <c r="O1666" i="9"/>
  <c r="O1674" i="9"/>
  <c r="O1682" i="9"/>
  <c r="O1690" i="9"/>
  <c r="O1698" i="9"/>
  <c r="O1706" i="9"/>
  <c r="O1714" i="9"/>
  <c r="O1722" i="9"/>
  <c r="O1730" i="9"/>
  <c r="O1738" i="9"/>
  <c r="O1746" i="9"/>
  <c r="O1754" i="9"/>
  <c r="O1762" i="9"/>
  <c r="O1770" i="9"/>
  <c r="O1778" i="9"/>
  <c r="O1786" i="9"/>
  <c r="R171" i="9"/>
  <c r="R547" i="9"/>
  <c r="R805" i="9"/>
  <c r="R1008" i="9"/>
  <c r="R1144" i="9"/>
  <c r="R1194" i="9"/>
  <c r="R1240" i="9"/>
  <c r="R1276" i="9"/>
  <c r="R1306" i="9"/>
  <c r="R1336" i="9"/>
  <c r="R1362" i="9"/>
  <c r="R1392" i="9"/>
  <c r="R1420" i="9"/>
  <c r="R1448" i="9"/>
  <c r="R1476" i="9"/>
  <c r="R1506" i="9"/>
  <c r="R1532" i="9"/>
  <c r="R1562" i="9"/>
  <c r="R1592" i="9"/>
  <c r="R1618" i="9"/>
  <c r="R1648" i="9"/>
  <c r="R1676" i="9"/>
  <c r="R1704" i="9"/>
  <c r="R1724" i="9"/>
  <c r="R1745" i="9"/>
  <c r="R1763" i="9"/>
  <c r="R1784" i="9"/>
  <c r="R1802" i="9"/>
  <c r="R1819" i="9"/>
  <c r="R1836" i="9"/>
  <c r="R1851" i="9"/>
  <c r="R1864" i="9"/>
  <c r="R1878" i="9"/>
  <c r="R1893" i="9"/>
  <c r="R1907" i="9"/>
  <c r="R1922" i="9"/>
  <c r="R1936" i="9"/>
  <c r="R1949" i="9"/>
  <c r="R1964" i="9"/>
  <c r="R1979" i="9"/>
  <c r="R1992" i="9"/>
  <c r="O6" i="9"/>
  <c r="O21" i="9"/>
  <c r="O35" i="9"/>
  <c r="O50" i="9"/>
  <c r="O64" i="9"/>
  <c r="O77" i="9"/>
  <c r="O92" i="9"/>
  <c r="O107" i="9"/>
  <c r="O120" i="9"/>
  <c r="O134" i="9"/>
  <c r="O149" i="9"/>
  <c r="O163" i="9"/>
  <c r="O178" i="9"/>
  <c r="O192" i="9"/>
  <c r="O205" i="9"/>
  <c r="O220" i="9"/>
  <c r="O235" i="9"/>
  <c r="O248" i="9"/>
  <c r="O262" i="9"/>
  <c r="O277" i="9"/>
  <c r="O291" i="9"/>
  <c r="O306" i="9"/>
  <c r="O320" i="9"/>
  <c r="O333" i="9"/>
  <c r="O348" i="9"/>
  <c r="O363" i="9"/>
  <c r="O376" i="9"/>
  <c r="O390" i="9"/>
  <c r="O405" i="9"/>
  <c r="O419" i="9"/>
  <c r="O433" i="9"/>
  <c r="O444" i="9"/>
  <c r="O454" i="9"/>
  <c r="O465" i="9"/>
  <c r="O476" i="9"/>
  <c r="O486" i="9"/>
  <c r="O497" i="9"/>
  <c r="O508" i="9"/>
  <c r="O518" i="9"/>
  <c r="O529" i="9"/>
  <c r="O540" i="9"/>
  <c r="O550" i="9"/>
  <c r="O561" i="9"/>
  <c r="O572" i="9"/>
  <c r="O582" i="9"/>
  <c r="O593" i="9"/>
  <c r="O604" i="9"/>
  <c r="O614" i="9"/>
  <c r="O625" i="9"/>
  <c r="O636" i="9"/>
  <c r="O646" i="9"/>
  <c r="O657" i="9"/>
  <c r="O668" i="9"/>
  <c r="O678" i="9"/>
  <c r="O689" i="9"/>
  <c r="O700" i="9"/>
  <c r="O710" i="9"/>
  <c r="O721" i="9"/>
  <c r="O732" i="9"/>
  <c r="O742" i="9"/>
  <c r="O753" i="9"/>
  <c r="O764" i="9"/>
  <c r="O774" i="9"/>
  <c r="O785" i="9"/>
  <c r="O796" i="9"/>
  <c r="O806" i="9"/>
  <c r="O817" i="9"/>
  <c r="O828" i="9"/>
  <c r="O838" i="9"/>
  <c r="O847" i="9"/>
  <c r="O857" i="9"/>
  <c r="O866" i="9"/>
  <c r="O875" i="9"/>
  <c r="O884" i="9"/>
  <c r="O892" i="9"/>
  <c r="O900" i="9"/>
  <c r="O908" i="9"/>
  <c r="O916" i="9"/>
  <c r="O924" i="9"/>
  <c r="O932" i="9"/>
  <c r="O940" i="9"/>
  <c r="O948" i="9"/>
  <c r="O956" i="9"/>
  <c r="O964" i="9"/>
  <c r="O972" i="9"/>
  <c r="O980" i="9"/>
  <c r="O988" i="9"/>
  <c r="O996" i="9"/>
  <c r="O1004" i="9"/>
  <c r="O1012" i="9"/>
  <c r="O1020" i="9"/>
  <c r="O1028" i="9"/>
  <c r="O1036" i="9"/>
  <c r="O1044" i="9"/>
  <c r="O1052" i="9"/>
  <c r="O1060" i="9"/>
  <c r="O1068" i="9"/>
  <c r="O1076" i="9"/>
  <c r="O1084" i="9"/>
  <c r="O1092" i="9"/>
  <c r="O1100" i="9"/>
  <c r="O1108" i="9"/>
  <c r="O1116" i="9"/>
  <c r="O1124" i="9"/>
  <c r="O1132" i="9"/>
  <c r="O1140" i="9"/>
  <c r="O1148" i="9"/>
  <c r="O1156" i="9"/>
  <c r="O1164" i="9"/>
  <c r="O1172" i="9"/>
  <c r="O1180" i="9"/>
  <c r="O1188" i="9"/>
  <c r="O1196" i="9"/>
  <c r="O1204" i="9"/>
  <c r="O1212" i="9"/>
  <c r="O1220" i="9"/>
  <c r="O1228" i="9"/>
  <c r="O1236" i="9"/>
  <c r="O1244" i="9"/>
  <c r="O1252" i="9"/>
  <c r="O1260" i="9"/>
  <c r="O1268" i="9"/>
  <c r="O1276" i="9"/>
  <c r="O1284" i="9"/>
  <c r="O1292" i="9"/>
  <c r="O1300" i="9"/>
  <c r="O1308" i="9"/>
  <c r="O1316" i="9"/>
  <c r="O1324" i="9"/>
  <c r="O1332" i="9"/>
  <c r="O1340" i="9"/>
  <c r="O1348" i="9"/>
  <c r="O1356" i="9"/>
  <c r="O1364" i="9"/>
  <c r="O1372" i="9"/>
  <c r="O1380" i="9"/>
  <c r="O1388" i="9"/>
  <c r="O1396" i="9"/>
  <c r="O1404" i="9"/>
  <c r="O1412" i="9"/>
  <c r="O1420" i="9"/>
  <c r="O1428" i="9"/>
  <c r="O1436" i="9"/>
  <c r="O1444" i="9"/>
  <c r="O1452" i="9"/>
  <c r="O1460" i="9"/>
  <c r="O1468" i="9"/>
  <c r="O1476" i="9"/>
  <c r="O1484" i="9"/>
  <c r="O1492" i="9"/>
  <c r="O1500" i="9"/>
  <c r="O1508" i="9"/>
  <c r="O1516" i="9"/>
  <c r="O1524" i="9"/>
  <c r="O1532" i="9"/>
  <c r="O1540" i="9"/>
  <c r="O1548" i="9"/>
  <c r="O1556" i="9"/>
  <c r="O1564" i="9"/>
  <c r="O1572" i="9"/>
  <c r="O1580" i="9"/>
  <c r="O1588" i="9"/>
  <c r="O1596" i="9"/>
  <c r="O1604" i="9"/>
  <c r="O1612" i="9"/>
  <c r="O1620" i="9"/>
  <c r="O1628" i="9"/>
  <c r="O1636" i="9"/>
  <c r="O1644" i="9"/>
  <c r="O1652" i="9"/>
  <c r="O1660" i="9"/>
  <c r="O1668" i="9"/>
  <c r="O1676" i="9"/>
  <c r="O1684" i="9"/>
  <c r="O1692" i="9"/>
  <c r="O1700" i="9"/>
  <c r="O1708" i="9"/>
  <c r="O1716" i="9"/>
  <c r="O1724" i="9"/>
  <c r="O1732" i="9"/>
  <c r="O1740" i="9"/>
  <c r="O1748" i="9"/>
  <c r="O1756" i="9"/>
  <c r="O1764" i="9"/>
  <c r="O1772" i="9"/>
  <c r="O1780" i="9"/>
  <c r="R393" i="9"/>
  <c r="R622" i="9"/>
  <c r="R1052" i="9"/>
  <c r="R1208" i="9"/>
  <c r="R1284" i="9"/>
  <c r="R1340" i="9"/>
  <c r="R1400" i="9"/>
  <c r="R1456" i="9"/>
  <c r="R1512" i="9"/>
  <c r="R1570" i="9"/>
  <c r="R1626" i="9"/>
  <c r="R1682" i="9"/>
  <c r="R1731" i="9"/>
  <c r="R1768" i="9"/>
  <c r="R1807" i="9"/>
  <c r="R1840" i="9"/>
  <c r="R1868" i="9"/>
  <c r="R1896" i="9"/>
  <c r="R1925" i="9"/>
  <c r="R1954" i="9"/>
  <c r="R1981" i="9"/>
  <c r="O11" i="9"/>
  <c r="O38" i="9"/>
  <c r="O67" i="9"/>
  <c r="O96" i="9"/>
  <c r="O124" i="9"/>
  <c r="O152" i="9"/>
  <c r="O181" i="9"/>
  <c r="O210" i="9"/>
  <c r="O237" i="9"/>
  <c r="O267" i="9"/>
  <c r="O294" i="9"/>
  <c r="O323" i="9"/>
  <c r="O352" i="9"/>
  <c r="O380" i="9"/>
  <c r="O408" i="9"/>
  <c r="O436" i="9"/>
  <c r="O457" i="9"/>
  <c r="O478" i="9"/>
  <c r="O500" i="9"/>
  <c r="O521" i="9"/>
  <c r="O542" i="9"/>
  <c r="O564" i="9"/>
  <c r="O585" i="9"/>
  <c r="O598" i="9"/>
  <c r="O613" i="9"/>
  <c r="O628" i="9"/>
  <c r="O641" i="9"/>
  <c r="O655" i="9"/>
  <c r="O670" i="9"/>
  <c r="O684" i="9"/>
  <c r="O699" i="9"/>
  <c r="O713" i="9"/>
  <c r="O726" i="9"/>
  <c r="O741" i="9"/>
  <c r="O756" i="9"/>
  <c r="O769" i="9"/>
  <c r="O783" i="9"/>
  <c r="O798" i="9"/>
  <c r="O812" i="9"/>
  <c r="O827" i="9"/>
  <c r="O841" i="9"/>
  <c r="O852" i="9"/>
  <c r="O865" i="9"/>
  <c r="O877" i="9"/>
  <c r="O888" i="9"/>
  <c r="O899" i="9"/>
  <c r="O910" i="9"/>
  <c r="O920" i="9"/>
  <c r="O931" i="9"/>
  <c r="O942" i="9"/>
  <c r="O952" i="9"/>
  <c r="O963" i="9"/>
  <c r="O974" i="9"/>
  <c r="O984" i="9"/>
  <c r="O995" i="9"/>
  <c r="O1006" i="9"/>
  <c r="O1016" i="9"/>
  <c r="O1027" i="9"/>
  <c r="O1038" i="9"/>
  <c r="O1048" i="9"/>
  <c r="O1059" i="9"/>
  <c r="O1070" i="9"/>
  <c r="O1080" i="9"/>
  <c r="O1091" i="9"/>
  <c r="O1102" i="9"/>
  <c r="R654" i="9"/>
  <c r="R1070" i="9"/>
  <c r="R1212" i="9"/>
  <c r="R1290" i="9"/>
  <c r="R1347" i="9"/>
  <c r="R1403" i="9"/>
  <c r="R1460" i="9"/>
  <c r="R1519" i="9"/>
  <c r="R1575" i="9"/>
  <c r="R1632" i="9"/>
  <c r="R1689" i="9"/>
  <c r="R1732" i="9"/>
  <c r="R1772" i="9"/>
  <c r="R1808" i="9"/>
  <c r="R1842" i="9"/>
  <c r="R1870" i="9"/>
  <c r="R1898" i="9"/>
  <c r="R1926" i="9"/>
  <c r="R1956" i="9"/>
  <c r="R1982" i="9"/>
  <c r="O12" i="9"/>
  <c r="O42" i="9"/>
  <c r="O68" i="9"/>
  <c r="O98" i="9"/>
  <c r="O126" i="9"/>
  <c r="O154" i="9"/>
  <c r="O182" i="9"/>
  <c r="O212" i="9"/>
  <c r="O238" i="9"/>
  <c r="O268" i="9"/>
  <c r="O298" i="9"/>
  <c r="O324" i="9"/>
  <c r="O354" i="9"/>
  <c r="O382" i="9"/>
  <c r="O410" i="9"/>
  <c r="O437" i="9"/>
  <c r="O459" i="9"/>
  <c r="O479" i="9"/>
  <c r="O501" i="9"/>
  <c r="O523" i="9"/>
  <c r="O543" i="9"/>
  <c r="O565" i="9"/>
  <c r="O587" i="9"/>
  <c r="O599" i="9"/>
  <c r="O615" i="9"/>
  <c r="O629" i="9"/>
  <c r="O643" i="9"/>
  <c r="O659" i="9"/>
  <c r="O671" i="9"/>
  <c r="O685" i="9"/>
  <c r="O701" i="9"/>
  <c r="O715" i="9"/>
  <c r="O727" i="9"/>
  <c r="O743" i="9"/>
  <c r="O757" i="9"/>
  <c r="O771" i="9"/>
  <c r="O787" i="9"/>
  <c r="O799" i="9"/>
  <c r="O813" i="9"/>
  <c r="O829" i="9"/>
  <c r="O842" i="9"/>
  <c r="O853" i="9"/>
  <c r="O867" i="9"/>
  <c r="O878" i="9"/>
  <c r="O889" i="9"/>
  <c r="O901" i="9"/>
  <c r="O911" i="9"/>
  <c r="O921" i="9"/>
  <c r="O933" i="9"/>
  <c r="O943" i="9"/>
  <c r="O953" i="9"/>
  <c r="O965" i="9"/>
  <c r="O975" i="9"/>
  <c r="O985" i="9"/>
  <c r="O997" i="9"/>
  <c r="O1007" i="9"/>
  <c r="O1017" i="9"/>
  <c r="O1029" i="9"/>
  <c r="O1039" i="9"/>
  <c r="O1049" i="9"/>
  <c r="O1061" i="9"/>
  <c r="O1071" i="9"/>
  <c r="O1081" i="9"/>
  <c r="O1093" i="9"/>
  <c r="O1103" i="9"/>
  <c r="R691" i="9"/>
  <c r="R107" i="9"/>
  <c r="R773" i="9"/>
  <c r="R1129" i="9"/>
  <c r="R1234" i="9"/>
  <c r="R1305" i="9"/>
  <c r="R1361" i="9"/>
  <c r="R1418" i="9"/>
  <c r="R1475" i="9"/>
  <c r="R1531" i="9"/>
  <c r="R1588" i="9"/>
  <c r="R1647" i="9"/>
  <c r="R1703" i="9"/>
  <c r="R1744" i="9"/>
  <c r="R1778" i="9"/>
  <c r="R1818" i="9"/>
  <c r="R1850" i="9"/>
  <c r="R1876" i="9"/>
  <c r="R1906" i="9"/>
  <c r="R1934" i="9"/>
  <c r="R1962" i="9"/>
  <c r="R1990" i="9"/>
  <c r="O20" i="9"/>
  <c r="O46" i="9"/>
  <c r="O76" i="9"/>
  <c r="O106" i="9"/>
  <c r="O132" i="9"/>
  <c r="O162" i="9"/>
  <c r="O190" i="9"/>
  <c r="O218" i="9"/>
  <c r="O246" i="9"/>
  <c r="O276" i="9"/>
  <c r="O302" i="9"/>
  <c r="O332" i="9"/>
  <c r="O362" i="9"/>
  <c r="O388" i="9"/>
  <c r="O418" i="9"/>
  <c r="O443" i="9"/>
  <c r="O463" i="9"/>
  <c r="O485" i="9"/>
  <c r="O507" i="9"/>
  <c r="O527" i="9"/>
  <c r="O549" i="9"/>
  <c r="O571" i="9"/>
  <c r="O589" i="9"/>
  <c r="O605" i="9"/>
  <c r="O619" i="9"/>
  <c r="O631" i="9"/>
  <c r="O647" i="9"/>
  <c r="O661" i="9"/>
  <c r="O675" i="9"/>
  <c r="O691" i="9"/>
  <c r="O703" i="9"/>
  <c r="O717" i="9"/>
  <c r="O733" i="9"/>
  <c r="O747" i="9"/>
  <c r="O759" i="9"/>
  <c r="O775" i="9"/>
  <c r="O789" i="9"/>
  <c r="O803" i="9"/>
  <c r="O819" i="9"/>
  <c r="O831" i="9"/>
  <c r="O844" i="9"/>
  <c r="O858" i="9"/>
  <c r="O869" i="9"/>
  <c r="O881" i="9"/>
  <c r="O893" i="9"/>
  <c r="O903" i="9"/>
  <c r="O913" i="9"/>
  <c r="O925" i="9"/>
  <c r="O935" i="9"/>
  <c r="O945" i="9"/>
  <c r="O957" i="9"/>
  <c r="O967" i="9"/>
  <c r="O977" i="9"/>
  <c r="O989" i="9"/>
  <c r="R337" i="9"/>
  <c r="R887" i="9"/>
  <c r="R1170" i="9"/>
  <c r="R1257" i="9"/>
  <c r="R1319" i="9"/>
  <c r="R1376" i="9"/>
  <c r="R1433" i="9"/>
  <c r="R1489" i="9"/>
  <c r="R1546" i="9"/>
  <c r="R1603" i="9"/>
  <c r="R1659" i="9"/>
  <c r="R1714" i="9"/>
  <c r="R1752" i="9"/>
  <c r="R1788" i="9"/>
  <c r="R1828" i="9"/>
  <c r="R1854" i="9"/>
  <c r="R1884" i="9"/>
  <c r="R1914" i="9"/>
  <c r="R1940" i="9"/>
  <c r="R1970" i="9"/>
  <c r="R1998" i="9"/>
  <c r="O26" i="9"/>
  <c r="O54" i="9"/>
  <c r="O84" i="9"/>
  <c r="O110" i="9"/>
  <c r="O140" i="9"/>
  <c r="O170" i="9"/>
  <c r="O196" i="9"/>
  <c r="O226" i="9"/>
  <c r="O254" i="9"/>
  <c r="O282" i="9"/>
  <c r="O310" i="9"/>
  <c r="O340" i="9"/>
  <c r="O366" i="9"/>
  <c r="O396" i="9"/>
  <c r="O426" i="9"/>
  <c r="O447" i="9"/>
  <c r="O469" i="9"/>
  <c r="O491" i="9"/>
  <c r="O511" i="9"/>
  <c r="O533" i="9"/>
  <c r="O555" i="9"/>
  <c r="O575" i="9"/>
  <c r="O595" i="9"/>
  <c r="O607" i="9"/>
  <c r="O621" i="9"/>
  <c r="O637" i="9"/>
  <c r="O651" i="9"/>
  <c r="O663" i="9"/>
  <c r="O679" i="9"/>
  <c r="O693" i="9"/>
  <c r="O707" i="9"/>
  <c r="O723" i="9"/>
  <c r="O735" i="9"/>
  <c r="O749" i="9"/>
  <c r="O765" i="9"/>
  <c r="O779" i="9"/>
  <c r="O791" i="9"/>
  <c r="O807" i="9"/>
  <c r="O821" i="9"/>
  <c r="O835" i="9"/>
  <c r="O849" i="9"/>
  <c r="O860" i="9"/>
  <c r="O871" i="9"/>
  <c r="O885" i="9"/>
  <c r="O895" i="9"/>
  <c r="O905" i="9"/>
  <c r="O917" i="9"/>
  <c r="O927" i="9"/>
  <c r="O937" i="9"/>
  <c r="O949" i="9"/>
  <c r="O959" i="9"/>
  <c r="O969" i="9"/>
  <c r="O981" i="9"/>
  <c r="R1094" i="9"/>
  <c r="R1292" i="9"/>
  <c r="R1404" i="9"/>
  <c r="R1520" i="9"/>
  <c r="R1634" i="9"/>
  <c r="R1735" i="9"/>
  <c r="R1810" i="9"/>
  <c r="R1872" i="9"/>
  <c r="R1928" i="9"/>
  <c r="R1986" i="9"/>
  <c r="O43" i="9"/>
  <c r="O99" i="9"/>
  <c r="O156" i="9"/>
  <c r="O213" i="9"/>
  <c r="O269" i="9"/>
  <c r="O326" i="9"/>
  <c r="O384" i="9"/>
  <c r="O438" i="9"/>
  <c r="O481" i="9"/>
  <c r="O524" i="9"/>
  <c r="O566" i="9"/>
  <c r="O603" i="9"/>
  <c r="O630" i="9"/>
  <c r="O660" i="9"/>
  <c r="O687" i="9"/>
  <c r="O716" i="9"/>
  <c r="O745" i="9"/>
  <c r="O773" i="9"/>
  <c r="O801" i="9"/>
  <c r="O830" i="9"/>
  <c r="O855" i="9"/>
  <c r="O879" i="9"/>
  <c r="O902" i="9"/>
  <c r="O923" i="9"/>
  <c r="O944" i="9"/>
  <c r="O966" i="9"/>
  <c r="O987" i="9"/>
  <c r="O1001" i="9"/>
  <c r="O1015" i="9"/>
  <c r="O1031" i="9"/>
  <c r="O1045" i="9"/>
  <c r="O1057" i="9"/>
  <c r="O1073" i="9"/>
  <c r="O1087" i="9"/>
  <c r="O1101" i="9"/>
  <c r="O1113" i="9"/>
  <c r="O1125" i="9"/>
  <c r="O1135" i="9"/>
  <c r="O1145" i="9"/>
  <c r="O1157" i="9"/>
  <c r="O1167" i="9"/>
  <c r="O1177" i="9"/>
  <c r="O1189" i="9"/>
  <c r="O1199" i="9"/>
  <c r="O1209" i="9"/>
  <c r="O1221" i="9"/>
  <c r="O1231" i="9"/>
  <c r="O1241" i="9"/>
  <c r="O1253" i="9"/>
  <c r="O1263" i="9"/>
  <c r="O1273" i="9"/>
  <c r="O1285" i="9"/>
  <c r="O1295" i="9"/>
  <c r="O1305" i="9"/>
  <c r="O1317" i="9"/>
  <c r="O1327" i="9"/>
  <c r="O1337" i="9"/>
  <c r="O1349" i="9"/>
  <c r="O1359" i="9"/>
  <c r="O1369" i="9"/>
  <c r="O1381" i="9"/>
  <c r="O1391" i="9"/>
  <c r="O1401" i="9"/>
  <c r="O1413" i="9"/>
  <c r="O1423" i="9"/>
  <c r="O1433" i="9"/>
  <c r="O1445" i="9"/>
  <c r="O1455" i="9"/>
  <c r="O1465" i="9"/>
  <c r="O1477" i="9"/>
  <c r="O1487" i="9"/>
  <c r="O1497" i="9"/>
  <c r="O1509" i="9"/>
  <c r="O1519" i="9"/>
  <c r="O1529" i="9"/>
  <c r="O1541" i="9"/>
  <c r="R1162" i="9"/>
  <c r="R1314" i="9"/>
  <c r="R1426" i="9"/>
  <c r="R1540" i="9"/>
  <c r="R1656" i="9"/>
  <c r="R1748" i="9"/>
  <c r="R1826" i="9"/>
  <c r="R1883" i="9"/>
  <c r="R1939" i="9"/>
  <c r="R1996" i="9"/>
  <c r="O53" i="9"/>
  <c r="O109" i="9"/>
  <c r="O166" i="9"/>
  <c r="O224" i="9"/>
  <c r="O280" i="9"/>
  <c r="O338" i="9"/>
  <c r="O395" i="9"/>
  <c r="O446" i="9"/>
  <c r="O489" i="9"/>
  <c r="O532" i="9"/>
  <c r="O574" i="9"/>
  <c r="O606" i="9"/>
  <c r="O635" i="9"/>
  <c r="O662" i="9"/>
  <c r="O692" i="9"/>
  <c r="O719" i="9"/>
  <c r="O748" i="9"/>
  <c r="O777" i="9"/>
  <c r="O805" i="9"/>
  <c r="O833" i="9"/>
  <c r="O859" i="9"/>
  <c r="O883" i="9"/>
  <c r="O904" i="9"/>
  <c r="O926" i="9"/>
  <c r="O947" i="9"/>
  <c r="O968" i="9"/>
  <c r="O990" i="9"/>
  <c r="O1003" i="9"/>
  <c r="O1019" i="9"/>
  <c r="O1032" i="9"/>
  <c r="O1046" i="9"/>
  <c r="O1062" i="9"/>
  <c r="O1075" i="9"/>
  <c r="O1088" i="9"/>
  <c r="O1104" i="9"/>
  <c r="O1115" i="9"/>
  <c r="O1126" i="9"/>
  <c r="O1136" i="9"/>
  <c r="O1147" i="9"/>
  <c r="O1158" i="9"/>
  <c r="O1168" i="9"/>
  <c r="O1179" i="9"/>
  <c r="O1190" i="9"/>
  <c r="O1200" i="9"/>
  <c r="O1211" i="9"/>
  <c r="O1222" i="9"/>
  <c r="O1232" i="9"/>
  <c r="O1243" i="9"/>
  <c r="O1254" i="9"/>
  <c r="O1264" i="9"/>
  <c r="O1275" i="9"/>
  <c r="O1286" i="9"/>
  <c r="O1296" i="9"/>
  <c r="O1307" i="9"/>
  <c r="O1318" i="9"/>
  <c r="O1328" i="9"/>
  <c r="O1339" i="9"/>
  <c r="O1350" i="9"/>
  <c r="O1360" i="9"/>
  <c r="O1371" i="9"/>
  <c r="O1382" i="9"/>
  <c r="O1392" i="9"/>
  <c r="O1403" i="9"/>
  <c r="O1414" i="9"/>
  <c r="O1424" i="9"/>
  <c r="O1435" i="9"/>
  <c r="O1446" i="9"/>
  <c r="O1456" i="9"/>
  <c r="O1467" i="9"/>
  <c r="O1478" i="9"/>
  <c r="O1488" i="9"/>
  <c r="O1499" i="9"/>
  <c r="O1510" i="9"/>
  <c r="O1520" i="9"/>
  <c r="O1531" i="9"/>
  <c r="R289" i="9"/>
  <c r="R1193" i="9"/>
  <c r="R1332" i="9"/>
  <c r="R1447" i="9"/>
  <c r="R1561" i="9"/>
  <c r="R1674" i="9"/>
  <c r="R1762" i="9"/>
  <c r="R1834" i="9"/>
  <c r="R1892" i="9"/>
  <c r="R1948" i="9"/>
  <c r="O4" i="9"/>
  <c r="O62" i="9"/>
  <c r="O118" i="9"/>
  <c r="O174" i="9"/>
  <c r="O234" i="9"/>
  <c r="O290" i="9"/>
  <c r="O346" i="9"/>
  <c r="O404" i="9"/>
  <c r="O453" i="9"/>
  <c r="O495" i="9"/>
  <c r="O539" i="9"/>
  <c r="O581" i="9"/>
  <c r="O611" i="9"/>
  <c r="O639" i="9"/>
  <c r="O669" i="9"/>
  <c r="O695" i="9"/>
  <c r="O725" i="9"/>
  <c r="O755" i="9"/>
  <c r="O781" i="9"/>
  <c r="O811" i="9"/>
  <c r="O839" i="9"/>
  <c r="O862" i="9"/>
  <c r="O887" i="9"/>
  <c r="O909" i="9"/>
  <c r="O929" i="9"/>
  <c r="O951" i="9"/>
  <c r="O973" i="9"/>
  <c r="O992" i="9"/>
  <c r="O1008" i="9"/>
  <c r="O1022" i="9"/>
  <c r="O1035" i="9"/>
  <c r="O1051" i="9"/>
  <c r="O1064" i="9"/>
  <c r="O1078" i="9"/>
  <c r="O1094" i="9"/>
  <c r="O1107" i="9"/>
  <c r="O1118" i="9"/>
  <c r="O1128" i="9"/>
  <c r="O1139" i="9"/>
  <c r="O1150" i="9"/>
  <c r="O1160" i="9"/>
  <c r="O1171" i="9"/>
  <c r="O1182" i="9"/>
  <c r="O1192" i="9"/>
  <c r="O1203" i="9"/>
  <c r="O1214" i="9"/>
  <c r="O1224" i="9"/>
  <c r="O1235" i="9"/>
  <c r="O1246" i="9"/>
  <c r="O1256" i="9"/>
  <c r="O1267" i="9"/>
  <c r="O1278" i="9"/>
  <c r="O1288" i="9"/>
  <c r="O1299" i="9"/>
  <c r="O1310" i="9"/>
  <c r="O1320" i="9"/>
  <c r="O1331" i="9"/>
  <c r="R861" i="9"/>
  <c r="R1248" i="9"/>
  <c r="R1370" i="9"/>
  <c r="R1484" i="9"/>
  <c r="R1596" i="9"/>
  <c r="R1712" i="9"/>
  <c r="R1787" i="9"/>
  <c r="R1853" i="9"/>
  <c r="R1910" i="9"/>
  <c r="R1968" i="9"/>
  <c r="O24" i="9"/>
  <c r="O82" i="9"/>
  <c r="O139" i="9"/>
  <c r="O195" i="9"/>
  <c r="O252" i="9"/>
  <c r="O309" i="9"/>
  <c r="O365" i="9"/>
  <c r="O422" i="9"/>
  <c r="O468" i="9"/>
  <c r="O510" i="9"/>
  <c r="O553" i="9"/>
  <c r="O591" i="9"/>
  <c r="O620" i="9"/>
  <c r="O649" i="9"/>
  <c r="O677" i="9"/>
  <c r="O705" i="9"/>
  <c r="O734" i="9"/>
  <c r="O763" i="9"/>
  <c r="O790" i="9"/>
  <c r="O820" i="9"/>
  <c r="O846" i="9"/>
  <c r="O870" i="9"/>
  <c r="O894" i="9"/>
  <c r="O915" i="9"/>
  <c r="O936" i="9"/>
  <c r="O958" i="9"/>
  <c r="O979" i="9"/>
  <c r="O998" i="9"/>
  <c r="O1011" i="9"/>
  <c r="O1024" i="9"/>
  <c r="O1040" i="9"/>
  <c r="O1054" i="9"/>
  <c r="O1067" i="9"/>
  <c r="O1083" i="9"/>
  <c r="O1096" i="9"/>
  <c r="O1110" i="9"/>
  <c r="O1120" i="9"/>
  <c r="O1131" i="9"/>
  <c r="O1142" i="9"/>
  <c r="O1152" i="9"/>
  <c r="O1163" i="9"/>
  <c r="O1174" i="9"/>
  <c r="O1184" i="9"/>
  <c r="O1195" i="9"/>
  <c r="O1206" i="9"/>
  <c r="O1216" i="9"/>
  <c r="O1227" i="9"/>
  <c r="O1238" i="9"/>
  <c r="O1248" i="9"/>
  <c r="O1259" i="9"/>
  <c r="O1270" i="9"/>
  <c r="O1280" i="9"/>
  <c r="O1291" i="9"/>
  <c r="O1302" i="9"/>
  <c r="O1312" i="9"/>
  <c r="O1323" i="9"/>
  <c r="O1334" i="9"/>
  <c r="R1176" i="9"/>
  <c r="R1434" i="9"/>
  <c r="R1660" i="9"/>
  <c r="R1829" i="9"/>
  <c r="R1942" i="9"/>
  <c r="O56" i="9"/>
  <c r="O171" i="9"/>
  <c r="O284" i="9"/>
  <c r="O397" i="9"/>
  <c r="O492" i="9"/>
  <c r="O577" i="9"/>
  <c r="O638" i="9"/>
  <c r="O694" i="9"/>
  <c r="O751" i="9"/>
  <c r="O809" i="9"/>
  <c r="O861" i="9"/>
  <c r="O907" i="9"/>
  <c r="O950" i="9"/>
  <c r="O991" i="9"/>
  <c r="O1021" i="9"/>
  <c r="O1047" i="9"/>
  <c r="O1077" i="9"/>
  <c r="O1105" i="9"/>
  <c r="O1127" i="9"/>
  <c r="O1149" i="9"/>
  <c r="O1169" i="9"/>
  <c r="O1191" i="9"/>
  <c r="O1213" i="9"/>
  <c r="O1233" i="9"/>
  <c r="O1255" i="9"/>
  <c r="O1277" i="9"/>
  <c r="O1297" i="9"/>
  <c r="O1319" i="9"/>
  <c r="O1341" i="9"/>
  <c r="O1353" i="9"/>
  <c r="O1367" i="9"/>
  <c r="O1383" i="9"/>
  <c r="O1397" i="9"/>
  <c r="O1409" i="9"/>
  <c r="O1425" i="9"/>
  <c r="O1439" i="9"/>
  <c r="O1453" i="9"/>
  <c r="O1469" i="9"/>
  <c r="O1481" i="9"/>
  <c r="O1495" i="9"/>
  <c r="O1511" i="9"/>
  <c r="O1525" i="9"/>
  <c r="O1537" i="9"/>
  <c r="O1550" i="9"/>
  <c r="O1560" i="9"/>
  <c r="O1571" i="9"/>
  <c r="O1582" i="9"/>
  <c r="O1592" i="9"/>
  <c r="O1603" i="9"/>
  <c r="O1614" i="9"/>
  <c r="O1624" i="9"/>
  <c r="O1635" i="9"/>
  <c r="O1646" i="9"/>
  <c r="O1656" i="9"/>
  <c r="O1667" i="9"/>
  <c r="O1678" i="9"/>
  <c r="O1688" i="9"/>
  <c r="O1699" i="9"/>
  <c r="O1710" i="9"/>
  <c r="O1720" i="9"/>
  <c r="O1731" i="9"/>
  <c r="R1216" i="9"/>
  <c r="R1464" i="9"/>
  <c r="R1258" i="9"/>
  <c r="R1490" i="9"/>
  <c r="R1716" i="9"/>
  <c r="R1858" i="9"/>
  <c r="R1971" i="9"/>
  <c r="O85" i="9"/>
  <c r="O198" i="9"/>
  <c r="O312" i="9"/>
  <c r="O427" i="9"/>
  <c r="O513" i="9"/>
  <c r="O596" i="9"/>
  <c r="O652" i="9"/>
  <c r="O709" i="9"/>
  <c r="O766" i="9"/>
  <c r="O822" i="9"/>
  <c r="O874" i="9"/>
  <c r="O918" i="9"/>
  <c r="O960" i="9"/>
  <c r="O999" i="9"/>
  <c r="O1025" i="9"/>
  <c r="O1055" i="9"/>
  <c r="O1085" i="9"/>
  <c r="O1111" i="9"/>
  <c r="O1133" i="9"/>
  <c r="O1153" i="9"/>
  <c r="O1175" i="9"/>
  <c r="O1197" i="9"/>
  <c r="O1217" i="9"/>
  <c r="O1239" i="9"/>
  <c r="O1261" i="9"/>
  <c r="O1281" i="9"/>
  <c r="O1303" i="9"/>
  <c r="O1325" i="9"/>
  <c r="O1343" i="9"/>
  <c r="O1357" i="9"/>
  <c r="O1373" i="9"/>
  <c r="O1385" i="9"/>
  <c r="O1399" i="9"/>
  <c r="O1415" i="9"/>
  <c r="O1429" i="9"/>
  <c r="O1441" i="9"/>
  <c r="O1457" i="9"/>
  <c r="O1471" i="9"/>
  <c r="O1485" i="9"/>
  <c r="O1501" i="9"/>
  <c r="O1513" i="9"/>
  <c r="O1527" i="9"/>
  <c r="O1542" i="9"/>
  <c r="O1552" i="9"/>
  <c r="O1563" i="9"/>
  <c r="O1574" i="9"/>
  <c r="O1584" i="9"/>
  <c r="O1595" i="9"/>
  <c r="O1606" i="9"/>
  <c r="O1616" i="9"/>
  <c r="O1627" i="9"/>
  <c r="O1638" i="9"/>
  <c r="O1648" i="9"/>
  <c r="O1659" i="9"/>
  <c r="O1670" i="9"/>
  <c r="O1680" i="9"/>
  <c r="O1691" i="9"/>
  <c r="O1702" i="9"/>
  <c r="O1712" i="9"/>
  <c r="O1723" i="9"/>
  <c r="O1734" i="9"/>
  <c r="O1744" i="9"/>
  <c r="O1755" i="9"/>
  <c r="O1766" i="9"/>
  <c r="O1776" i="9"/>
  <c r="O1787" i="9"/>
  <c r="O1795" i="9"/>
  <c r="O1803" i="9"/>
  <c r="O1811" i="9"/>
  <c r="O1819" i="9"/>
  <c r="O1827" i="9"/>
  <c r="O1835" i="9"/>
  <c r="O1843" i="9"/>
  <c r="O1851" i="9"/>
  <c r="O1859" i="9"/>
  <c r="O1867" i="9"/>
  <c r="O1875" i="9"/>
  <c r="O1883" i="9"/>
  <c r="O1891" i="9"/>
  <c r="O1899" i="9"/>
  <c r="O1907" i="9"/>
  <c r="O1915" i="9"/>
  <c r="O1923" i="9"/>
  <c r="O1931" i="9"/>
  <c r="O1939" i="9"/>
  <c r="O1947" i="9"/>
  <c r="O1955" i="9"/>
  <c r="O1963" i="9"/>
  <c r="O1971" i="9"/>
  <c r="O1979" i="9"/>
  <c r="O1987" i="9"/>
  <c r="O1995" i="9"/>
  <c r="O3" i="9"/>
  <c r="J11" i="9"/>
  <c r="J19" i="9"/>
  <c r="J27" i="9"/>
  <c r="J35" i="9"/>
  <c r="J43" i="9"/>
  <c r="J51" i="9"/>
  <c r="J59" i="9"/>
  <c r="J67" i="9"/>
  <c r="J75" i="9"/>
  <c r="J83" i="9"/>
  <c r="J91" i="9"/>
  <c r="J99" i="9"/>
  <c r="J107" i="9"/>
  <c r="J115" i="9"/>
  <c r="J123" i="9"/>
  <c r="J131" i="9"/>
  <c r="J139" i="9"/>
  <c r="J147" i="9"/>
  <c r="J155" i="9"/>
  <c r="J163" i="9"/>
  <c r="J171" i="9"/>
  <c r="J179" i="9"/>
  <c r="J187" i="9"/>
  <c r="J195" i="9"/>
  <c r="J203" i="9"/>
  <c r="J211" i="9"/>
  <c r="J219" i="9"/>
  <c r="J227" i="9"/>
  <c r="J235" i="9"/>
  <c r="J243" i="9"/>
  <c r="J251" i="9"/>
  <c r="J259" i="9"/>
  <c r="J267" i="9"/>
  <c r="J275" i="9"/>
  <c r="J283" i="9"/>
  <c r="J291" i="9"/>
  <c r="J299" i="9"/>
  <c r="J307" i="9"/>
  <c r="J315" i="9"/>
  <c r="J323" i="9"/>
  <c r="J331" i="9"/>
  <c r="J339" i="9"/>
  <c r="J347" i="9"/>
  <c r="J355" i="9"/>
  <c r="J363" i="9"/>
  <c r="J371" i="9"/>
  <c r="J379" i="9"/>
  <c r="J387" i="9"/>
  <c r="J395" i="9"/>
  <c r="J403" i="9"/>
  <c r="J411" i="9"/>
  <c r="J419" i="9"/>
  <c r="J427" i="9"/>
  <c r="J435" i="9"/>
  <c r="J443" i="9"/>
  <c r="J451" i="9"/>
  <c r="J459" i="9"/>
  <c r="J467" i="9"/>
  <c r="J475" i="9"/>
  <c r="J483" i="9"/>
  <c r="J491" i="9"/>
  <c r="J499" i="9"/>
  <c r="J507" i="9"/>
  <c r="J515" i="9"/>
  <c r="J523" i="9"/>
  <c r="J531" i="9"/>
  <c r="J539" i="9"/>
  <c r="J547" i="9"/>
  <c r="J555" i="9"/>
  <c r="J563" i="9"/>
  <c r="J571" i="9"/>
  <c r="J579" i="9"/>
  <c r="R1275" i="9"/>
  <c r="R1504" i="9"/>
  <c r="R1722" i="9"/>
  <c r="R1862" i="9"/>
  <c r="R1978" i="9"/>
  <c r="O90" i="9"/>
  <c r="O204" i="9"/>
  <c r="O318" i="9"/>
  <c r="O430" i="9"/>
  <c r="O517" i="9"/>
  <c r="O597" i="9"/>
  <c r="O653" i="9"/>
  <c r="O711" i="9"/>
  <c r="O767" i="9"/>
  <c r="O823" i="9"/>
  <c r="O876" i="9"/>
  <c r="O919" i="9"/>
  <c r="O961" i="9"/>
  <c r="O1000" i="9"/>
  <c r="O1030" i="9"/>
  <c r="O1056" i="9"/>
  <c r="O1086" i="9"/>
  <c r="O1112" i="9"/>
  <c r="O1134" i="9"/>
  <c r="O1155" i="9"/>
  <c r="O1176" i="9"/>
  <c r="O1198" i="9"/>
  <c r="O1219" i="9"/>
  <c r="O1240" i="9"/>
  <c r="O1262" i="9"/>
  <c r="O1283" i="9"/>
  <c r="O1304" i="9"/>
  <c r="O1326" i="9"/>
  <c r="O1344" i="9"/>
  <c r="O1358" i="9"/>
  <c r="O1374" i="9"/>
  <c r="O1387" i="9"/>
  <c r="O1400" i="9"/>
  <c r="O1416" i="9"/>
  <c r="O1430" i="9"/>
  <c r="O1443" i="9"/>
  <c r="O1459" i="9"/>
  <c r="O1472" i="9"/>
  <c r="O1486" i="9"/>
  <c r="O1502" i="9"/>
  <c r="O1515" i="9"/>
  <c r="O1528" i="9"/>
  <c r="O1543" i="9"/>
  <c r="O1553" i="9"/>
  <c r="O1565" i="9"/>
  <c r="O1575" i="9"/>
  <c r="O1585" i="9"/>
  <c r="O1597" i="9"/>
  <c r="O1607" i="9"/>
  <c r="O1617" i="9"/>
  <c r="O1629" i="9"/>
  <c r="O1639" i="9"/>
  <c r="O1649" i="9"/>
  <c r="O1661" i="9"/>
  <c r="O1671" i="9"/>
  <c r="O1681" i="9"/>
  <c r="O1693" i="9"/>
  <c r="O1703" i="9"/>
  <c r="O1713" i="9"/>
  <c r="O1725" i="9"/>
  <c r="O1735" i="9"/>
  <c r="O1745" i="9"/>
  <c r="O1757" i="9"/>
  <c r="O1767" i="9"/>
  <c r="O1777" i="9"/>
  <c r="O1788" i="9"/>
  <c r="O1796" i="9"/>
  <c r="O1804" i="9"/>
  <c r="O1812" i="9"/>
  <c r="O1820" i="9"/>
  <c r="O1828" i="9"/>
  <c r="O1836" i="9"/>
  <c r="O1844" i="9"/>
  <c r="O1852" i="9"/>
  <c r="O1860" i="9"/>
  <c r="O1868" i="9"/>
  <c r="O1876" i="9"/>
  <c r="O1884" i="9"/>
  <c r="O1892" i="9"/>
  <c r="O1900" i="9"/>
  <c r="O1908" i="9"/>
  <c r="O1916" i="9"/>
  <c r="O1924" i="9"/>
  <c r="O1932" i="9"/>
  <c r="O1940" i="9"/>
  <c r="O1948" i="9"/>
  <c r="O1956" i="9"/>
  <c r="O1964" i="9"/>
  <c r="O1972" i="9"/>
  <c r="O1980" i="9"/>
  <c r="O1988" i="9"/>
  <c r="O1996" i="9"/>
  <c r="J4" i="9"/>
  <c r="J12" i="9"/>
  <c r="J20" i="9"/>
  <c r="J28" i="9"/>
  <c r="J36" i="9"/>
  <c r="J44" i="9"/>
  <c r="J52" i="9"/>
  <c r="J60" i="9"/>
  <c r="J68" i="9"/>
  <c r="J76" i="9"/>
  <c r="J84" i="9"/>
  <c r="J92" i="9"/>
  <c r="J100" i="9"/>
  <c r="J108" i="9"/>
  <c r="J116" i="9"/>
  <c r="J124" i="9"/>
  <c r="J132" i="9"/>
  <c r="J140" i="9"/>
  <c r="J148" i="9"/>
  <c r="J156" i="9"/>
  <c r="J164" i="9"/>
  <c r="J172" i="9"/>
  <c r="J180" i="9"/>
  <c r="J188" i="9"/>
  <c r="J196" i="9"/>
  <c r="J204" i="9"/>
  <c r="J212" i="9"/>
  <c r="J220" i="9"/>
  <c r="J228" i="9"/>
  <c r="J236" i="9"/>
  <c r="J244" i="9"/>
  <c r="J252" i="9"/>
  <c r="J260" i="9"/>
  <c r="J268" i="9"/>
  <c r="J276" i="9"/>
  <c r="J284" i="9"/>
  <c r="J292" i="9"/>
  <c r="J300" i="9"/>
  <c r="J308" i="9"/>
  <c r="J316" i="9"/>
  <c r="J324" i="9"/>
  <c r="J332" i="9"/>
  <c r="J340" i="9"/>
  <c r="J348" i="9"/>
  <c r="J356" i="9"/>
  <c r="J364" i="9"/>
  <c r="J372" i="9"/>
  <c r="J380" i="9"/>
  <c r="J388" i="9"/>
  <c r="J396" i="9"/>
  <c r="J404" i="9"/>
  <c r="J412" i="9"/>
  <c r="J420" i="9"/>
  <c r="J428" i="9"/>
  <c r="J436" i="9"/>
  <c r="J444" i="9"/>
  <c r="J452" i="9"/>
  <c r="J460" i="9"/>
  <c r="J468" i="9"/>
  <c r="J476" i="9"/>
  <c r="J484" i="9"/>
  <c r="J492" i="9"/>
  <c r="J500" i="9"/>
  <c r="J508" i="9"/>
  <c r="J516" i="9"/>
  <c r="J524" i="9"/>
  <c r="J532" i="9"/>
  <c r="J540" i="9"/>
  <c r="J548" i="9"/>
  <c r="J556" i="9"/>
  <c r="J564" i="9"/>
  <c r="J572" i="9"/>
  <c r="J580" i="9"/>
  <c r="R1320" i="9"/>
  <c r="R1548" i="9"/>
  <c r="R1754" i="9"/>
  <c r="R1885" i="9"/>
  <c r="R2000" i="9"/>
  <c r="O114" i="9"/>
  <c r="O227" i="9"/>
  <c r="O341" i="9"/>
  <c r="O449" i="9"/>
  <c r="O534" i="9"/>
  <c r="O609" i="9"/>
  <c r="O667" i="9"/>
  <c r="O724" i="9"/>
  <c r="O780" i="9"/>
  <c r="O837" i="9"/>
  <c r="O886" i="9"/>
  <c r="O928" i="9"/>
  <c r="O971" i="9"/>
  <c r="O1005" i="9"/>
  <c r="O1033" i="9"/>
  <c r="O1063" i="9"/>
  <c r="O1089" i="9"/>
  <c r="O1117" i="9"/>
  <c r="O1137" i="9"/>
  <c r="O1159" i="9"/>
  <c r="O1181" i="9"/>
  <c r="O1201" i="9"/>
  <c r="O1223" i="9"/>
  <c r="O1245" i="9"/>
  <c r="O1265" i="9"/>
  <c r="O1287" i="9"/>
  <c r="O1309" i="9"/>
  <c r="O1329" i="9"/>
  <c r="O1345" i="9"/>
  <c r="O1361" i="9"/>
  <c r="O1375" i="9"/>
  <c r="O1389" i="9"/>
  <c r="O1405" i="9"/>
  <c r="O1417" i="9"/>
  <c r="O1431" i="9"/>
  <c r="O1447" i="9"/>
  <c r="O1461" i="9"/>
  <c r="O1473" i="9"/>
  <c r="O1489" i="9"/>
  <c r="O1503" i="9"/>
  <c r="O1517" i="9"/>
  <c r="O1533" i="9"/>
  <c r="O1544" i="9"/>
  <c r="O1555" i="9"/>
  <c r="O1566" i="9"/>
  <c r="O1576" i="9"/>
  <c r="O1587" i="9"/>
  <c r="O1598" i="9"/>
  <c r="O1608" i="9"/>
  <c r="O1619" i="9"/>
  <c r="O1630" i="9"/>
  <c r="O1640" i="9"/>
  <c r="O1651" i="9"/>
  <c r="O1662" i="9"/>
  <c r="O1672" i="9"/>
  <c r="O1683" i="9"/>
  <c r="O1694" i="9"/>
  <c r="O1704" i="9"/>
  <c r="O1715" i="9"/>
  <c r="O1726" i="9"/>
  <c r="O1736" i="9"/>
  <c r="R505" i="9"/>
  <c r="R1348" i="9"/>
  <c r="R1576" i="9"/>
  <c r="R1775" i="9"/>
  <c r="R1900" i="9"/>
  <c r="O13" i="9"/>
  <c r="O128" i="9"/>
  <c r="O242" i="9"/>
  <c r="O355" i="9"/>
  <c r="O460" i="9"/>
  <c r="O545" i="9"/>
  <c r="O617" i="9"/>
  <c r="O673" i="9"/>
  <c r="O731" i="9"/>
  <c r="O788" i="9"/>
  <c r="O843" i="9"/>
  <c r="O891" i="9"/>
  <c r="O934" i="9"/>
  <c r="O976" i="9"/>
  <c r="O1009" i="9"/>
  <c r="O1037" i="9"/>
  <c r="O1065" i="9"/>
  <c r="O1095" i="9"/>
  <c r="O1119" i="9"/>
  <c r="O1141" i="9"/>
  <c r="O1161" i="9"/>
  <c r="O1183" i="9"/>
  <c r="O1205" i="9"/>
  <c r="O1225" i="9"/>
  <c r="O1247" i="9"/>
  <c r="O1269" i="9"/>
  <c r="O1289" i="9"/>
  <c r="O1311" i="9"/>
  <c r="O1333" i="9"/>
  <c r="O1347" i="9"/>
  <c r="O1363" i="9"/>
  <c r="O1376" i="9"/>
  <c r="O1390" i="9"/>
  <c r="O1406" i="9"/>
  <c r="O1419" i="9"/>
  <c r="O1432" i="9"/>
  <c r="O1448" i="9"/>
  <c r="O1462" i="9"/>
  <c r="O1475" i="9"/>
  <c r="O1491" i="9"/>
  <c r="O1504" i="9"/>
  <c r="O1518" i="9"/>
  <c r="O1534" i="9"/>
  <c r="O1545" i="9"/>
  <c r="O1557" i="9"/>
  <c r="O1567" i="9"/>
  <c r="O1577" i="9"/>
  <c r="O1589" i="9"/>
  <c r="O1599" i="9"/>
  <c r="O1609" i="9"/>
  <c r="O1621" i="9"/>
  <c r="O1631" i="9"/>
  <c r="O1641" i="9"/>
  <c r="O1653" i="9"/>
  <c r="O1663" i="9"/>
  <c r="O1673" i="9"/>
  <c r="O1685" i="9"/>
  <c r="O1695" i="9"/>
  <c r="O1705" i="9"/>
  <c r="O1717" i="9"/>
  <c r="O1727" i="9"/>
  <c r="O1737" i="9"/>
  <c r="O1749" i="9"/>
  <c r="O1759" i="9"/>
  <c r="O1769" i="9"/>
  <c r="O1781" i="9"/>
  <c r="O1790" i="9"/>
  <c r="O1798" i="9"/>
  <c r="O1806" i="9"/>
  <c r="O1814" i="9"/>
  <c r="O1822" i="9"/>
  <c r="O1830" i="9"/>
  <c r="O1838" i="9"/>
  <c r="O1846" i="9"/>
  <c r="O1854" i="9"/>
  <c r="O1862" i="9"/>
  <c r="O1870" i="9"/>
  <c r="O1878" i="9"/>
  <c r="O1886" i="9"/>
  <c r="O1894" i="9"/>
  <c r="O1902" i="9"/>
  <c r="O1910" i="9"/>
  <c r="O1918" i="9"/>
  <c r="O1926" i="9"/>
  <c r="O1934" i="9"/>
  <c r="O1942" i="9"/>
  <c r="O1950" i="9"/>
  <c r="O1958" i="9"/>
  <c r="O1966" i="9"/>
  <c r="O1974" i="9"/>
  <c r="O1982" i="9"/>
  <c r="O1990" i="9"/>
  <c r="O1998" i="9"/>
  <c r="J6" i="9"/>
  <c r="J14" i="9"/>
  <c r="J22" i="9"/>
  <c r="J30" i="9"/>
  <c r="J38" i="9"/>
  <c r="J46" i="9"/>
  <c r="J54" i="9"/>
  <c r="J62" i="9"/>
  <c r="J70" i="9"/>
  <c r="J78" i="9"/>
  <c r="J86" i="9"/>
  <c r="J94" i="9"/>
  <c r="J102" i="9"/>
  <c r="J110" i="9"/>
  <c r="J118" i="9"/>
  <c r="J126" i="9"/>
  <c r="J134" i="9"/>
  <c r="J142" i="9"/>
  <c r="J150" i="9"/>
  <c r="J158" i="9"/>
  <c r="J166" i="9"/>
  <c r="J174" i="9"/>
  <c r="J182" i="9"/>
  <c r="J190" i="9"/>
  <c r="J198" i="9"/>
  <c r="J206" i="9"/>
  <c r="J214" i="9"/>
  <c r="J222" i="9"/>
  <c r="J230" i="9"/>
  <c r="J238" i="9"/>
  <c r="J246" i="9"/>
  <c r="J254" i="9"/>
  <c r="J262" i="9"/>
  <c r="J270" i="9"/>
  <c r="J278" i="9"/>
  <c r="J286" i="9"/>
  <c r="J294" i="9"/>
  <c r="J302" i="9"/>
  <c r="J310" i="9"/>
  <c r="J318" i="9"/>
  <c r="J326" i="9"/>
  <c r="J334" i="9"/>
  <c r="J342" i="9"/>
  <c r="J350" i="9"/>
  <c r="J358" i="9"/>
  <c r="J366" i="9"/>
  <c r="J374" i="9"/>
  <c r="J382" i="9"/>
  <c r="J390" i="9"/>
  <c r="J398" i="9"/>
  <c r="J406" i="9"/>
  <c r="J414" i="9"/>
  <c r="J422" i="9"/>
  <c r="J430" i="9"/>
  <c r="J438" i="9"/>
  <c r="J446" i="9"/>
  <c r="J454" i="9"/>
  <c r="J462" i="9"/>
  <c r="R919" i="9"/>
  <c r="R1378" i="9"/>
  <c r="R984" i="9"/>
  <c r="R1391" i="9"/>
  <c r="R1617" i="9"/>
  <c r="R1800" i="9"/>
  <c r="R1918" i="9"/>
  <c r="O34" i="9"/>
  <c r="O148" i="9"/>
  <c r="O260" i="9"/>
  <c r="O374" i="9"/>
  <c r="O475" i="9"/>
  <c r="O559" i="9"/>
  <c r="O627" i="9"/>
  <c r="O683" i="9"/>
  <c r="O739" i="9"/>
  <c r="O797" i="9"/>
  <c r="O851" i="9"/>
  <c r="O897" i="9"/>
  <c r="O941" i="9"/>
  <c r="O983" i="9"/>
  <c r="O1014" i="9"/>
  <c r="O1043" i="9"/>
  <c r="O1072" i="9"/>
  <c r="O1099" i="9"/>
  <c r="O1123" i="9"/>
  <c r="O1144" i="9"/>
  <c r="O1166" i="9"/>
  <c r="O1187" i="9"/>
  <c r="O1208" i="9"/>
  <c r="O1230" i="9"/>
  <c r="O1251" i="9"/>
  <c r="O1272" i="9"/>
  <c r="O1294" i="9"/>
  <c r="O1315" i="9"/>
  <c r="O1336" i="9"/>
  <c r="O1352" i="9"/>
  <c r="O1366" i="9"/>
  <c r="O1379" i="9"/>
  <c r="O1395" i="9"/>
  <c r="O1408" i="9"/>
  <c r="O1422" i="9"/>
  <c r="O1438" i="9"/>
  <c r="O1451" i="9"/>
  <c r="O1464" i="9"/>
  <c r="O1480" i="9"/>
  <c r="O1494" i="9"/>
  <c r="O1507" i="9"/>
  <c r="O1523" i="9"/>
  <c r="O1536" i="9"/>
  <c r="O1549" i="9"/>
  <c r="O1559" i="9"/>
  <c r="O1569" i="9"/>
  <c r="O1581" i="9"/>
  <c r="O1591" i="9"/>
  <c r="O1601" i="9"/>
  <c r="O1613" i="9"/>
  <c r="O1623" i="9"/>
  <c r="O1633" i="9"/>
  <c r="O1645" i="9"/>
  <c r="O1655" i="9"/>
  <c r="O1665" i="9"/>
  <c r="O1677" i="9"/>
  <c r="O1687" i="9"/>
  <c r="O1697" i="9"/>
  <c r="O1709" i="9"/>
  <c r="O1719" i="9"/>
  <c r="O1729" i="9"/>
  <c r="O1741" i="9"/>
  <c r="O1751" i="9"/>
  <c r="O1761" i="9"/>
  <c r="O1773" i="9"/>
  <c r="O1783" i="9"/>
  <c r="O1792" i="9"/>
  <c r="O1800" i="9"/>
  <c r="O1808" i="9"/>
  <c r="O1816" i="9"/>
  <c r="O1824" i="9"/>
  <c r="O1832" i="9"/>
  <c r="O1840" i="9"/>
  <c r="O1848" i="9"/>
  <c r="O1856" i="9"/>
  <c r="O1864" i="9"/>
  <c r="O1872" i="9"/>
  <c r="O1880" i="9"/>
  <c r="O1888" i="9"/>
  <c r="O1896" i="9"/>
  <c r="O1904" i="9"/>
  <c r="O1912" i="9"/>
  <c r="O1920" i="9"/>
  <c r="O1928" i="9"/>
  <c r="O1936" i="9"/>
  <c r="O1944" i="9"/>
  <c r="O1952" i="9"/>
  <c r="O1960" i="9"/>
  <c r="O1968" i="9"/>
  <c r="O1976" i="9"/>
  <c r="O1984" i="9"/>
  <c r="O1992" i="9"/>
  <c r="O2000" i="9"/>
  <c r="J8" i="9"/>
  <c r="J16" i="9"/>
  <c r="J24" i="9"/>
  <c r="J32" i="9"/>
  <c r="J40" i="9"/>
  <c r="J48" i="9"/>
  <c r="J56" i="9"/>
  <c r="J64" i="9"/>
  <c r="J72" i="9"/>
  <c r="J80" i="9"/>
  <c r="J88" i="9"/>
  <c r="J96" i="9"/>
  <c r="J104" i="9"/>
  <c r="J112" i="9"/>
  <c r="J120" i="9"/>
  <c r="J128" i="9"/>
  <c r="J136" i="9"/>
  <c r="J144" i="9"/>
  <c r="J152" i="9"/>
  <c r="J160" i="9"/>
  <c r="J168" i="9"/>
  <c r="J176" i="9"/>
  <c r="J184" i="9"/>
  <c r="J192" i="9"/>
  <c r="J200" i="9"/>
  <c r="J208" i="9"/>
  <c r="J216" i="9"/>
  <c r="J224" i="9"/>
  <c r="J232" i="9"/>
  <c r="J240" i="9"/>
  <c r="J248" i="9"/>
  <c r="J256" i="9"/>
  <c r="J264" i="9"/>
  <c r="J272" i="9"/>
  <c r="J280" i="9"/>
  <c r="J288" i="9"/>
  <c r="J296" i="9"/>
  <c r="J304" i="9"/>
  <c r="J312" i="9"/>
  <c r="J320" i="9"/>
  <c r="J328" i="9"/>
  <c r="J336" i="9"/>
  <c r="J344" i="9"/>
  <c r="J352" i="9"/>
  <c r="J360" i="9"/>
  <c r="J368" i="9"/>
  <c r="J376" i="9"/>
  <c r="J384" i="9"/>
  <c r="J392" i="9"/>
  <c r="J400" i="9"/>
  <c r="J408" i="9"/>
  <c r="J416" i="9"/>
  <c r="J424" i="9"/>
  <c r="J432" i="9"/>
  <c r="J440" i="9"/>
  <c r="J448" i="9"/>
  <c r="R1843" i="9"/>
  <c r="O299" i="9"/>
  <c r="O645" i="9"/>
  <c r="O868" i="9"/>
  <c r="O1023" i="9"/>
  <c r="O1129" i="9"/>
  <c r="O1215" i="9"/>
  <c r="O1301" i="9"/>
  <c r="O1368" i="9"/>
  <c r="O1427" i="9"/>
  <c r="O1483" i="9"/>
  <c r="O1539" i="9"/>
  <c r="O1583" i="9"/>
  <c r="O1625" i="9"/>
  <c r="O1669" i="9"/>
  <c r="O1711" i="9"/>
  <c r="O1747" i="9"/>
  <c r="O1768" i="9"/>
  <c r="O1789" i="9"/>
  <c r="O1805" i="9"/>
  <c r="O1821" i="9"/>
  <c r="O1837" i="9"/>
  <c r="O1853" i="9"/>
  <c r="O1869" i="9"/>
  <c r="O1885" i="9"/>
  <c r="O1901" i="9"/>
  <c r="O1917" i="9"/>
  <c r="O1933" i="9"/>
  <c r="O1949" i="9"/>
  <c r="O1965" i="9"/>
  <c r="O1981" i="9"/>
  <c r="O1997" i="9"/>
  <c r="J13" i="9"/>
  <c r="J29" i="9"/>
  <c r="J45" i="9"/>
  <c r="J61" i="9"/>
  <c r="J77" i="9"/>
  <c r="J93" i="9"/>
  <c r="J109" i="9"/>
  <c r="J125" i="9"/>
  <c r="J141" i="9"/>
  <c r="J157" i="9"/>
  <c r="J173" i="9"/>
  <c r="J189" i="9"/>
  <c r="J205" i="9"/>
  <c r="J221" i="9"/>
  <c r="J237" i="9"/>
  <c r="J253" i="9"/>
  <c r="J269" i="9"/>
  <c r="J285" i="9"/>
  <c r="J301" i="9"/>
  <c r="J317" i="9"/>
  <c r="J333" i="9"/>
  <c r="J349" i="9"/>
  <c r="J365" i="9"/>
  <c r="J381" i="9"/>
  <c r="J397" i="9"/>
  <c r="J413" i="9"/>
  <c r="R1957" i="9"/>
  <c r="O412" i="9"/>
  <c r="O702" i="9"/>
  <c r="O912" i="9"/>
  <c r="O1053" i="9"/>
  <c r="O1151" i="9"/>
  <c r="O1237" i="9"/>
  <c r="O1321" i="9"/>
  <c r="O1384" i="9"/>
  <c r="O1440" i="9"/>
  <c r="O1496" i="9"/>
  <c r="O1551" i="9"/>
  <c r="O1593" i="9"/>
  <c r="O1637" i="9"/>
  <c r="O1679" i="9"/>
  <c r="O1721" i="9"/>
  <c r="O1752" i="9"/>
  <c r="O1774" i="9"/>
  <c r="O1793" i="9"/>
  <c r="O1809" i="9"/>
  <c r="O1825" i="9"/>
  <c r="O1841" i="9"/>
  <c r="O1857" i="9"/>
  <c r="O1873" i="9"/>
  <c r="O1889" i="9"/>
  <c r="O1905" i="9"/>
  <c r="O1921" i="9"/>
  <c r="O1937" i="9"/>
  <c r="O1953" i="9"/>
  <c r="O1969" i="9"/>
  <c r="O1985" i="9"/>
  <c r="O2001" i="9"/>
  <c r="J17" i="9"/>
  <c r="J33" i="9"/>
  <c r="J49" i="9"/>
  <c r="J65" i="9"/>
  <c r="J81" i="9"/>
  <c r="J97" i="9"/>
  <c r="J113" i="9"/>
  <c r="J129" i="9"/>
  <c r="J145" i="9"/>
  <c r="J161" i="9"/>
  <c r="J177" i="9"/>
  <c r="J193" i="9"/>
  <c r="J209" i="9"/>
  <c r="J225" i="9"/>
  <c r="J241" i="9"/>
  <c r="J257" i="9"/>
  <c r="J273" i="9"/>
  <c r="J289" i="9"/>
  <c r="J305" i="9"/>
  <c r="J321" i="9"/>
  <c r="J337" i="9"/>
  <c r="J353" i="9"/>
  <c r="J369" i="9"/>
  <c r="J385" i="9"/>
  <c r="J401" i="9"/>
  <c r="J417" i="9"/>
  <c r="J433" i="9"/>
  <c r="J449" i="9"/>
  <c r="J463" i="9"/>
  <c r="J473" i="9"/>
  <c r="J485" i="9"/>
  <c r="J495" i="9"/>
  <c r="J505" i="9"/>
  <c r="J517" i="9"/>
  <c r="J527" i="9"/>
  <c r="J537" i="9"/>
  <c r="J549" i="9"/>
  <c r="J559" i="9"/>
  <c r="J569" i="9"/>
  <c r="J581" i="9"/>
  <c r="J589" i="9"/>
  <c r="J597" i="9"/>
  <c r="J605" i="9"/>
  <c r="J613" i="9"/>
  <c r="J621" i="9"/>
  <c r="J629" i="9"/>
  <c r="J637" i="9"/>
  <c r="J645" i="9"/>
  <c r="J653" i="9"/>
  <c r="J661" i="9"/>
  <c r="J669" i="9"/>
  <c r="J677" i="9"/>
  <c r="J685" i="9"/>
  <c r="J693" i="9"/>
  <c r="J701" i="9"/>
  <c r="J709" i="9"/>
  <c r="J717" i="9"/>
  <c r="J725" i="9"/>
  <c r="J733" i="9"/>
  <c r="J741" i="9"/>
  <c r="J749" i="9"/>
  <c r="J757" i="9"/>
  <c r="J765" i="9"/>
  <c r="J773" i="9"/>
  <c r="J781" i="9"/>
  <c r="J789" i="9"/>
  <c r="J797" i="9"/>
  <c r="J805" i="9"/>
  <c r="J813" i="9"/>
  <c r="J821" i="9"/>
  <c r="J829" i="9"/>
  <c r="J837" i="9"/>
  <c r="J845" i="9"/>
  <c r="J853" i="9"/>
  <c r="J861" i="9"/>
  <c r="J869" i="9"/>
  <c r="J877" i="9"/>
  <c r="J885" i="9"/>
  <c r="J893" i="9"/>
  <c r="J901" i="9"/>
  <c r="J909" i="9"/>
  <c r="J917" i="9"/>
  <c r="J925" i="9"/>
  <c r="J933" i="9"/>
  <c r="J941" i="9"/>
  <c r="J949" i="9"/>
  <c r="J957" i="9"/>
  <c r="J965" i="9"/>
  <c r="J973" i="9"/>
  <c r="J981" i="9"/>
  <c r="J989" i="9"/>
  <c r="J997" i="9"/>
  <c r="J1005" i="9"/>
  <c r="J1013" i="9"/>
  <c r="J1021" i="9"/>
  <c r="J1029" i="9"/>
  <c r="J1037" i="9"/>
  <c r="J1045" i="9"/>
  <c r="J1053" i="9"/>
  <c r="J1061" i="9"/>
  <c r="J1069" i="9"/>
  <c r="J1077" i="9"/>
  <c r="J1085" i="9"/>
  <c r="J1093" i="9"/>
  <c r="J1101" i="9"/>
  <c r="J1109" i="9"/>
  <c r="J1117" i="9"/>
  <c r="J1125" i="9"/>
  <c r="J1133" i="9"/>
  <c r="J1141" i="9"/>
  <c r="J1149" i="9"/>
  <c r="J1157" i="9"/>
  <c r="J1165" i="9"/>
  <c r="J1173" i="9"/>
  <c r="J1181" i="9"/>
  <c r="J1189" i="9"/>
  <c r="J1197" i="9"/>
  <c r="J1205" i="9"/>
  <c r="J1213" i="9"/>
  <c r="J1221" i="9"/>
  <c r="J1229" i="9"/>
  <c r="J1237" i="9"/>
  <c r="J1245" i="9"/>
  <c r="J1253" i="9"/>
  <c r="J1261" i="9"/>
  <c r="J1269" i="9"/>
  <c r="J1277" i="9"/>
  <c r="J1285" i="9"/>
  <c r="J1293" i="9"/>
  <c r="J1301" i="9"/>
  <c r="J1309" i="9"/>
  <c r="J1317" i="9"/>
  <c r="J1325" i="9"/>
  <c r="J1333" i="9"/>
  <c r="J1341" i="9"/>
  <c r="J1349" i="9"/>
  <c r="J1357" i="9"/>
  <c r="J1365" i="9"/>
  <c r="J1373" i="9"/>
  <c r="O28" i="9"/>
  <c r="O470" i="9"/>
  <c r="O737" i="9"/>
  <c r="O939" i="9"/>
  <c r="O1069" i="9"/>
  <c r="O1165" i="9"/>
  <c r="O1249" i="9"/>
  <c r="O1335" i="9"/>
  <c r="O1393" i="9"/>
  <c r="O1449" i="9"/>
  <c r="O1505" i="9"/>
  <c r="O1558" i="9"/>
  <c r="O1600" i="9"/>
  <c r="O1643" i="9"/>
  <c r="O1686" i="9"/>
  <c r="O1728" i="9"/>
  <c r="O1753" i="9"/>
  <c r="O1775" i="9"/>
  <c r="O1794" i="9"/>
  <c r="O1810" i="9"/>
  <c r="O1826" i="9"/>
  <c r="O1842" i="9"/>
  <c r="O1858" i="9"/>
  <c r="O1874" i="9"/>
  <c r="O1890" i="9"/>
  <c r="O1906" i="9"/>
  <c r="O1922" i="9"/>
  <c r="O1938" i="9"/>
  <c r="O1954" i="9"/>
  <c r="O1970" i="9"/>
  <c r="O1986" i="9"/>
  <c r="O2002" i="9"/>
  <c r="J18" i="9"/>
  <c r="J34" i="9"/>
  <c r="J50" i="9"/>
  <c r="J66" i="9"/>
  <c r="J82" i="9"/>
  <c r="J98" i="9"/>
  <c r="J114" i="9"/>
  <c r="J130" i="9"/>
  <c r="J146" i="9"/>
  <c r="J162" i="9"/>
  <c r="J178" i="9"/>
  <c r="J194" i="9"/>
  <c r="J210" i="9"/>
  <c r="J226" i="9"/>
  <c r="J242" i="9"/>
  <c r="J258" i="9"/>
  <c r="J274" i="9"/>
  <c r="J290" i="9"/>
  <c r="J306" i="9"/>
  <c r="J322" i="9"/>
  <c r="J338" i="9"/>
  <c r="J354" i="9"/>
  <c r="J370" i="9"/>
  <c r="J386" i="9"/>
  <c r="J402" i="9"/>
  <c r="J418" i="9"/>
  <c r="J434" i="9"/>
  <c r="J450" i="9"/>
  <c r="J464" i="9"/>
  <c r="J474" i="9"/>
  <c r="J486" i="9"/>
  <c r="J496" i="9"/>
  <c r="J506" i="9"/>
  <c r="J518" i="9"/>
  <c r="J528" i="9"/>
  <c r="J538" i="9"/>
  <c r="J550" i="9"/>
  <c r="J560" i="9"/>
  <c r="J570" i="9"/>
  <c r="J582" i="9"/>
  <c r="J590" i="9"/>
  <c r="J598" i="9"/>
  <c r="J606" i="9"/>
  <c r="J614" i="9"/>
  <c r="J622" i="9"/>
  <c r="J630" i="9"/>
  <c r="J638" i="9"/>
  <c r="J646" i="9"/>
  <c r="J654" i="9"/>
  <c r="J662" i="9"/>
  <c r="J670" i="9"/>
  <c r="J678" i="9"/>
  <c r="J686" i="9"/>
  <c r="J694" i="9"/>
  <c r="J702" i="9"/>
  <c r="J710" i="9"/>
  <c r="J718" i="9"/>
  <c r="J726" i="9"/>
  <c r="J734" i="9"/>
  <c r="J742" i="9"/>
  <c r="J750" i="9"/>
  <c r="J758" i="9"/>
  <c r="J766" i="9"/>
  <c r="J774" i="9"/>
  <c r="J782" i="9"/>
  <c r="J790" i="9"/>
  <c r="J798" i="9"/>
  <c r="J806" i="9"/>
  <c r="J814" i="9"/>
  <c r="J822" i="9"/>
  <c r="J830" i="9"/>
  <c r="J838" i="9"/>
  <c r="J846" i="9"/>
  <c r="J854" i="9"/>
  <c r="J862" i="9"/>
  <c r="J870" i="9"/>
  <c r="J878" i="9"/>
  <c r="J886" i="9"/>
  <c r="J894" i="9"/>
  <c r="J902" i="9"/>
  <c r="J910" i="9"/>
  <c r="J918" i="9"/>
  <c r="J926" i="9"/>
  <c r="J934" i="9"/>
  <c r="J942" i="9"/>
  <c r="J950" i="9"/>
  <c r="J958" i="9"/>
  <c r="J966" i="9"/>
  <c r="J974" i="9"/>
  <c r="J982" i="9"/>
  <c r="J990" i="9"/>
  <c r="J998" i="9"/>
  <c r="J1006" i="9"/>
  <c r="J1014" i="9"/>
  <c r="J1022" i="9"/>
  <c r="J1030" i="9"/>
  <c r="J1038" i="9"/>
  <c r="J1046" i="9"/>
  <c r="J1054" i="9"/>
  <c r="J1062" i="9"/>
  <c r="J1070" i="9"/>
  <c r="J1078" i="9"/>
  <c r="J1086" i="9"/>
  <c r="J1094" i="9"/>
  <c r="J1102" i="9"/>
  <c r="J1110" i="9"/>
  <c r="J1118" i="9"/>
  <c r="J1126" i="9"/>
  <c r="J1134" i="9"/>
  <c r="J1142" i="9"/>
  <c r="J1150" i="9"/>
  <c r="J1158" i="9"/>
  <c r="J1166" i="9"/>
  <c r="J1174" i="9"/>
  <c r="J1182" i="9"/>
  <c r="J1190" i="9"/>
  <c r="J1198" i="9"/>
  <c r="J1206" i="9"/>
  <c r="J1214" i="9"/>
  <c r="J1222" i="9"/>
  <c r="J1230" i="9"/>
  <c r="J1238" i="9"/>
  <c r="J1246" i="9"/>
  <c r="J1254" i="9"/>
  <c r="J1262" i="9"/>
  <c r="J1270" i="9"/>
  <c r="J1278" i="9"/>
  <c r="J1286" i="9"/>
  <c r="J1294" i="9"/>
  <c r="J1302" i="9"/>
  <c r="J1310" i="9"/>
  <c r="J1318" i="9"/>
  <c r="J1326" i="9"/>
  <c r="J1334" i="9"/>
  <c r="J1342" i="9"/>
  <c r="J1350" i="9"/>
  <c r="J1358" i="9"/>
  <c r="J1366" i="9"/>
  <c r="O70" i="9"/>
  <c r="O502" i="9"/>
  <c r="O758" i="9"/>
  <c r="O955" i="9"/>
  <c r="O1079" i="9"/>
  <c r="O1173" i="9"/>
  <c r="O1257" i="9"/>
  <c r="O1342" i="9"/>
  <c r="O1398" i="9"/>
  <c r="O1454" i="9"/>
  <c r="O1512" i="9"/>
  <c r="O1561" i="9"/>
  <c r="O1605" i="9"/>
  <c r="O1647" i="9"/>
  <c r="O1689" i="9"/>
  <c r="O1733" i="9"/>
  <c r="O1758" i="9"/>
  <c r="O1779" i="9"/>
  <c r="O1797" i="9"/>
  <c r="O1813" i="9"/>
  <c r="O1829" i="9"/>
  <c r="O1845" i="9"/>
  <c r="O1861" i="9"/>
  <c r="O1877" i="9"/>
  <c r="O1893" i="9"/>
  <c r="O1909" i="9"/>
  <c r="O1925" i="9"/>
  <c r="O1941" i="9"/>
  <c r="O1957" i="9"/>
  <c r="O1973" i="9"/>
  <c r="O1989" i="9"/>
  <c r="J5" i="9"/>
  <c r="J21" i="9"/>
  <c r="J37" i="9"/>
  <c r="J53" i="9"/>
  <c r="J69" i="9"/>
  <c r="J85" i="9"/>
  <c r="J101" i="9"/>
  <c r="J117" i="9"/>
  <c r="J133" i="9"/>
  <c r="J149" i="9"/>
  <c r="J165" i="9"/>
  <c r="J181" i="9"/>
  <c r="J197" i="9"/>
  <c r="J213" i="9"/>
  <c r="J229" i="9"/>
  <c r="J245" i="9"/>
  <c r="J261" i="9"/>
  <c r="J277" i="9"/>
  <c r="J293" i="9"/>
  <c r="J309" i="9"/>
  <c r="J325" i="9"/>
  <c r="J341" i="9"/>
  <c r="J357" i="9"/>
  <c r="J373" i="9"/>
  <c r="J389" i="9"/>
  <c r="J405" i="9"/>
  <c r="J421" i="9"/>
  <c r="R1604" i="9"/>
  <c r="O141" i="9"/>
  <c r="O556" i="9"/>
  <c r="O795" i="9"/>
  <c r="O982" i="9"/>
  <c r="O1097" i="9"/>
  <c r="O1185" i="9"/>
  <c r="O1271" i="9"/>
  <c r="O1351" i="9"/>
  <c r="O1407" i="9"/>
  <c r="O1463" i="9"/>
  <c r="O1521" i="9"/>
  <c r="O1568" i="9"/>
  <c r="O1611" i="9"/>
  <c r="O1654" i="9"/>
  <c r="O1696" i="9"/>
  <c r="O1739" i="9"/>
  <c r="O1760" i="9"/>
  <c r="O1782" i="9"/>
  <c r="O1799" i="9"/>
  <c r="O1815" i="9"/>
  <c r="O1831" i="9"/>
  <c r="O1847" i="9"/>
  <c r="O1863" i="9"/>
  <c r="O1879" i="9"/>
  <c r="O1895" i="9"/>
  <c r="O1911" i="9"/>
  <c r="O1927" i="9"/>
  <c r="O1943" i="9"/>
  <c r="O1959" i="9"/>
  <c r="O1975" i="9"/>
  <c r="O1991" i="9"/>
  <c r="J7" i="9"/>
  <c r="J23" i="9"/>
  <c r="J39" i="9"/>
  <c r="J55" i="9"/>
  <c r="J71" i="9"/>
  <c r="J87" i="9"/>
  <c r="J103" i="9"/>
  <c r="J119" i="9"/>
  <c r="J135" i="9"/>
  <c r="J151" i="9"/>
  <c r="J167" i="9"/>
  <c r="J183" i="9"/>
  <c r="J199" i="9"/>
  <c r="J215" i="9"/>
  <c r="J231" i="9"/>
  <c r="J247" i="9"/>
  <c r="J263" i="9"/>
  <c r="J279" i="9"/>
  <c r="J295" i="9"/>
  <c r="J311" i="9"/>
  <c r="J327" i="9"/>
  <c r="J343" i="9"/>
  <c r="J359" i="9"/>
  <c r="J375" i="9"/>
  <c r="J391" i="9"/>
  <c r="J407" i="9"/>
  <c r="J423" i="9"/>
  <c r="J439" i="9"/>
  <c r="J455" i="9"/>
  <c r="J466" i="9"/>
  <c r="J478" i="9"/>
  <c r="J488" i="9"/>
  <c r="J498" i="9"/>
  <c r="J510" i="9"/>
  <c r="J520" i="9"/>
  <c r="J530" i="9"/>
  <c r="J542" i="9"/>
  <c r="J552" i="9"/>
  <c r="J562" i="9"/>
  <c r="J574" i="9"/>
  <c r="J584" i="9"/>
  <c r="J592" i="9"/>
  <c r="J600" i="9"/>
  <c r="J608" i="9"/>
  <c r="J616" i="9"/>
  <c r="J624" i="9"/>
  <c r="J632" i="9"/>
  <c r="J640" i="9"/>
  <c r="J648" i="9"/>
  <c r="J656" i="9"/>
  <c r="J664" i="9"/>
  <c r="J672" i="9"/>
  <c r="J680" i="9"/>
  <c r="J688" i="9"/>
  <c r="J696" i="9"/>
  <c r="J704" i="9"/>
  <c r="J712" i="9"/>
  <c r="J720" i="9"/>
  <c r="J728" i="9"/>
  <c r="J736" i="9"/>
  <c r="J744" i="9"/>
  <c r="J752" i="9"/>
  <c r="J760" i="9"/>
  <c r="J768" i="9"/>
  <c r="J776" i="9"/>
  <c r="J784" i="9"/>
  <c r="J792" i="9"/>
  <c r="J800" i="9"/>
  <c r="J808" i="9"/>
  <c r="J816" i="9"/>
  <c r="J824" i="9"/>
  <c r="J832" i="9"/>
  <c r="J840" i="9"/>
  <c r="J848" i="9"/>
  <c r="J856" i="9"/>
  <c r="J864" i="9"/>
  <c r="J872" i="9"/>
  <c r="J880" i="9"/>
  <c r="J888" i="9"/>
  <c r="J896" i="9"/>
  <c r="J904" i="9"/>
  <c r="J912" i="9"/>
  <c r="J920" i="9"/>
  <c r="J928" i="9"/>
  <c r="J936" i="9"/>
  <c r="J944" i="9"/>
  <c r="J952" i="9"/>
  <c r="J960" i="9"/>
  <c r="J968" i="9"/>
  <c r="J976" i="9"/>
  <c r="J984" i="9"/>
  <c r="J992" i="9"/>
  <c r="J1000" i="9"/>
  <c r="J1008" i="9"/>
  <c r="J1016" i="9"/>
  <c r="J1024" i="9"/>
  <c r="J1032" i="9"/>
  <c r="J1040" i="9"/>
  <c r="J1048" i="9"/>
  <c r="J1056" i="9"/>
  <c r="J1064" i="9"/>
  <c r="J1072" i="9"/>
  <c r="J1080" i="9"/>
  <c r="J1088" i="9"/>
  <c r="J1096" i="9"/>
  <c r="J1104" i="9"/>
  <c r="J1112" i="9"/>
  <c r="J1120" i="9"/>
  <c r="J1128" i="9"/>
  <c r="J1136" i="9"/>
  <c r="J1144" i="9"/>
  <c r="J1152" i="9"/>
  <c r="J1160" i="9"/>
  <c r="J1168" i="9"/>
  <c r="J1176" i="9"/>
  <c r="J1184" i="9"/>
  <c r="J1192" i="9"/>
  <c r="J1200" i="9"/>
  <c r="R1792" i="9"/>
  <c r="O256" i="9"/>
  <c r="O623" i="9"/>
  <c r="O850" i="9"/>
  <c r="O1013" i="9"/>
  <c r="O1121" i="9"/>
  <c r="O1207" i="9"/>
  <c r="O1293" i="9"/>
  <c r="O1365" i="9"/>
  <c r="O1421" i="9"/>
  <c r="O1479" i="9"/>
  <c r="O1535" i="9"/>
  <c r="O1579" i="9"/>
  <c r="O1622" i="9"/>
  <c r="O1664" i="9"/>
  <c r="O1707" i="9"/>
  <c r="O1743" i="9"/>
  <c r="O1765" i="9"/>
  <c r="O1785" i="9"/>
  <c r="O1802" i="9"/>
  <c r="O1818" i="9"/>
  <c r="O1834" i="9"/>
  <c r="O1850" i="9"/>
  <c r="O1866" i="9"/>
  <c r="O1882" i="9"/>
  <c r="O1898" i="9"/>
  <c r="O1914" i="9"/>
  <c r="O1930" i="9"/>
  <c r="O1946" i="9"/>
  <c r="O1962" i="9"/>
  <c r="O1978" i="9"/>
  <c r="O1994" i="9"/>
  <c r="J10" i="9"/>
  <c r="J26" i="9"/>
  <c r="J42" i="9"/>
  <c r="J58" i="9"/>
  <c r="J74" i="9"/>
  <c r="J90" i="9"/>
  <c r="J106" i="9"/>
  <c r="J122" i="9"/>
  <c r="J138" i="9"/>
  <c r="J154" i="9"/>
  <c r="J170" i="9"/>
  <c r="J186" i="9"/>
  <c r="J202" i="9"/>
  <c r="J218" i="9"/>
  <c r="J234" i="9"/>
  <c r="J250" i="9"/>
  <c r="J266" i="9"/>
  <c r="J282" i="9"/>
  <c r="J298" i="9"/>
  <c r="J314" i="9"/>
  <c r="J330" i="9"/>
  <c r="J346" i="9"/>
  <c r="J362" i="9"/>
  <c r="J378" i="9"/>
  <c r="J394" i="9"/>
  <c r="J410" i="9"/>
  <c r="J426" i="9"/>
  <c r="J442" i="9"/>
  <c r="J457" i="9"/>
  <c r="J470" i="9"/>
  <c r="J480" i="9"/>
  <c r="J490" i="9"/>
  <c r="J502" i="9"/>
  <c r="J512" i="9"/>
  <c r="J522" i="9"/>
  <c r="J534" i="9"/>
  <c r="J544" i="9"/>
  <c r="J554" i="9"/>
  <c r="J566" i="9"/>
  <c r="J576" i="9"/>
  <c r="J586" i="9"/>
  <c r="J594" i="9"/>
  <c r="J602" i="9"/>
  <c r="J610" i="9"/>
  <c r="J618" i="9"/>
  <c r="J626" i="9"/>
  <c r="J634" i="9"/>
  <c r="J642" i="9"/>
  <c r="J650" i="9"/>
  <c r="J658" i="9"/>
  <c r="J666" i="9"/>
  <c r="J674" i="9"/>
  <c r="J682" i="9"/>
  <c r="J690" i="9"/>
  <c r="J698" i="9"/>
  <c r="J706" i="9"/>
  <c r="J714" i="9"/>
  <c r="J722" i="9"/>
  <c r="J730" i="9"/>
  <c r="J738" i="9"/>
  <c r="J746" i="9"/>
  <c r="J754" i="9"/>
  <c r="J762" i="9"/>
  <c r="J770" i="9"/>
  <c r="J778" i="9"/>
  <c r="J786" i="9"/>
  <c r="J794" i="9"/>
  <c r="J802" i="9"/>
  <c r="J810" i="9"/>
  <c r="J818" i="9"/>
  <c r="J826" i="9"/>
  <c r="J834" i="9"/>
  <c r="J842" i="9"/>
  <c r="J850" i="9"/>
  <c r="J858" i="9"/>
  <c r="J866" i="9"/>
  <c r="J874" i="9"/>
  <c r="J882" i="9"/>
  <c r="J890" i="9"/>
  <c r="J898" i="9"/>
  <c r="J906" i="9"/>
  <c r="J914" i="9"/>
  <c r="J922" i="9"/>
  <c r="J930" i="9"/>
  <c r="J938" i="9"/>
  <c r="J946" i="9"/>
  <c r="J954" i="9"/>
  <c r="J962" i="9"/>
  <c r="J970" i="9"/>
  <c r="J978" i="9"/>
  <c r="J986" i="9"/>
  <c r="J994" i="9"/>
  <c r="J1002" i="9"/>
  <c r="J1010" i="9"/>
  <c r="J1018" i="9"/>
  <c r="J1026" i="9"/>
  <c r="J1034" i="9"/>
  <c r="J1042" i="9"/>
  <c r="J1050" i="9"/>
  <c r="J1058" i="9"/>
  <c r="J1066" i="9"/>
  <c r="J1074" i="9"/>
  <c r="J1082" i="9"/>
  <c r="J1090" i="9"/>
  <c r="J1098" i="9"/>
  <c r="J1106" i="9"/>
  <c r="J1114" i="9"/>
  <c r="J1122" i="9"/>
  <c r="J1130" i="9"/>
  <c r="J1138" i="9"/>
  <c r="J1146" i="9"/>
  <c r="J1154" i="9"/>
  <c r="J1162" i="9"/>
  <c r="J1170" i="9"/>
  <c r="J1178" i="9"/>
  <c r="J1186" i="9"/>
  <c r="J1194" i="9"/>
  <c r="O370" i="9"/>
  <c r="O1143" i="9"/>
  <c r="O1437" i="9"/>
  <c r="O1632" i="9"/>
  <c r="O1771" i="9"/>
  <c r="O1839" i="9"/>
  <c r="O1903" i="9"/>
  <c r="O1967" i="9"/>
  <c r="J31" i="9"/>
  <c r="J95" i="9"/>
  <c r="J159" i="9"/>
  <c r="J223" i="9"/>
  <c r="J287" i="9"/>
  <c r="J351" i="9"/>
  <c r="J415" i="9"/>
  <c r="J453" i="9"/>
  <c r="J477" i="9"/>
  <c r="J497" i="9"/>
  <c r="J519" i="9"/>
  <c r="J541" i="9"/>
  <c r="J561" i="9"/>
  <c r="J583" i="9"/>
  <c r="J599" i="9"/>
  <c r="J615" i="9"/>
  <c r="J631" i="9"/>
  <c r="J647" i="9"/>
  <c r="J663" i="9"/>
  <c r="J679" i="9"/>
  <c r="J695" i="9"/>
  <c r="J711" i="9"/>
  <c r="J727" i="9"/>
  <c r="J743" i="9"/>
  <c r="J759" i="9"/>
  <c r="J775" i="9"/>
  <c r="J791" i="9"/>
  <c r="J807" i="9"/>
  <c r="J823" i="9"/>
  <c r="J839" i="9"/>
  <c r="J855" i="9"/>
  <c r="J871" i="9"/>
  <c r="J887" i="9"/>
  <c r="J903" i="9"/>
  <c r="J919" i="9"/>
  <c r="J935" i="9"/>
  <c r="J951" i="9"/>
  <c r="J967" i="9"/>
  <c r="J983" i="9"/>
  <c r="J999" i="9"/>
  <c r="J1015" i="9"/>
  <c r="J1031" i="9"/>
  <c r="J1047" i="9"/>
  <c r="J1063" i="9"/>
  <c r="J1079" i="9"/>
  <c r="J1095" i="9"/>
  <c r="J1111" i="9"/>
  <c r="J1127" i="9"/>
  <c r="J1143" i="9"/>
  <c r="J1159" i="9"/>
  <c r="J1175" i="9"/>
  <c r="J1191" i="9"/>
  <c r="J1204" i="9"/>
  <c r="J1216" i="9"/>
  <c r="J1226" i="9"/>
  <c r="J1236" i="9"/>
  <c r="J1248" i="9"/>
  <c r="J1258" i="9"/>
  <c r="J1268" i="9"/>
  <c r="J1280" i="9"/>
  <c r="J1290" i="9"/>
  <c r="J1300" i="9"/>
  <c r="J1312" i="9"/>
  <c r="J1322" i="9"/>
  <c r="J1332" i="9"/>
  <c r="J1344" i="9"/>
  <c r="J1354" i="9"/>
  <c r="J1364" i="9"/>
  <c r="J1375" i="9"/>
  <c r="J1383" i="9"/>
  <c r="J1391" i="9"/>
  <c r="J1399" i="9"/>
  <c r="J1407" i="9"/>
  <c r="J1415" i="9"/>
  <c r="J1423" i="9"/>
  <c r="J1431" i="9"/>
  <c r="J1439" i="9"/>
  <c r="J1447" i="9"/>
  <c r="O588" i="9"/>
  <c r="O1193" i="9"/>
  <c r="O1470" i="9"/>
  <c r="O1657" i="9"/>
  <c r="O1784" i="9"/>
  <c r="O1849" i="9"/>
  <c r="O1913" i="9"/>
  <c r="O1977" i="9"/>
  <c r="J41" i="9"/>
  <c r="J105" i="9"/>
  <c r="J169" i="9"/>
  <c r="J233" i="9"/>
  <c r="J297" i="9"/>
  <c r="J361" i="9"/>
  <c r="J425" i="9"/>
  <c r="J456" i="9"/>
  <c r="J479" i="9"/>
  <c r="J501" i="9"/>
  <c r="J521" i="9"/>
  <c r="J543" i="9"/>
  <c r="J565" i="9"/>
  <c r="J585" i="9"/>
  <c r="J601" i="9"/>
  <c r="J617" i="9"/>
  <c r="J633" i="9"/>
  <c r="J649" i="9"/>
  <c r="J665" i="9"/>
  <c r="J681" i="9"/>
  <c r="J697" i="9"/>
  <c r="J713" i="9"/>
  <c r="J729" i="9"/>
  <c r="J745" i="9"/>
  <c r="J761" i="9"/>
  <c r="J777" i="9"/>
  <c r="J793" i="9"/>
  <c r="J809" i="9"/>
  <c r="J825" i="9"/>
  <c r="J841" i="9"/>
  <c r="J857" i="9"/>
  <c r="J873" i="9"/>
  <c r="J889" i="9"/>
  <c r="J905" i="9"/>
  <c r="J921" i="9"/>
  <c r="J937" i="9"/>
  <c r="J953" i="9"/>
  <c r="J969" i="9"/>
  <c r="J985" i="9"/>
  <c r="J1001" i="9"/>
  <c r="J1017" i="9"/>
  <c r="J1033" i="9"/>
  <c r="J1049" i="9"/>
  <c r="J1065" i="9"/>
  <c r="J1081" i="9"/>
  <c r="J1097" i="9"/>
  <c r="J1113" i="9"/>
  <c r="J1129" i="9"/>
  <c r="J1145" i="9"/>
  <c r="J1161" i="9"/>
  <c r="J1177" i="9"/>
  <c r="J1193" i="9"/>
  <c r="J1207" i="9"/>
  <c r="J1217" i="9"/>
  <c r="J1227" i="9"/>
  <c r="J1239" i="9"/>
  <c r="J1249" i="9"/>
  <c r="J1259" i="9"/>
  <c r="J1271" i="9"/>
  <c r="J1281" i="9"/>
  <c r="J1291" i="9"/>
  <c r="J1303" i="9"/>
  <c r="J1313" i="9"/>
  <c r="J1323" i="9"/>
  <c r="J1335" i="9"/>
  <c r="J1345" i="9"/>
  <c r="J1355" i="9"/>
  <c r="J1367" i="9"/>
  <c r="J1376" i="9"/>
  <c r="J1384" i="9"/>
  <c r="J1392" i="9"/>
  <c r="J1400" i="9"/>
  <c r="J1408" i="9"/>
  <c r="J1416" i="9"/>
  <c r="J1424" i="9"/>
  <c r="J1432" i="9"/>
  <c r="J1440" i="9"/>
  <c r="O681" i="9"/>
  <c r="O1229" i="9"/>
  <c r="O1493" i="9"/>
  <c r="O1675" i="9"/>
  <c r="O1791" i="9"/>
  <c r="O1855" i="9"/>
  <c r="O1919" i="9"/>
  <c r="O1983" i="9"/>
  <c r="J47" i="9"/>
  <c r="J111" i="9"/>
  <c r="J175" i="9"/>
  <c r="J239" i="9"/>
  <c r="J303" i="9"/>
  <c r="J367" i="9"/>
  <c r="J429" i="9"/>
  <c r="J458" i="9"/>
  <c r="J481" i="9"/>
  <c r="J503" i="9"/>
  <c r="J525" i="9"/>
  <c r="J545" i="9"/>
  <c r="J567" i="9"/>
  <c r="J587" i="9"/>
  <c r="J603" i="9"/>
  <c r="J619" i="9"/>
  <c r="J635" i="9"/>
  <c r="J651" i="9"/>
  <c r="J667" i="9"/>
  <c r="J683" i="9"/>
  <c r="J699" i="9"/>
  <c r="J715" i="9"/>
  <c r="J731" i="9"/>
  <c r="J747" i="9"/>
  <c r="J763" i="9"/>
  <c r="J779" i="9"/>
  <c r="J795" i="9"/>
  <c r="J811" i="9"/>
  <c r="J827" i="9"/>
  <c r="J843" i="9"/>
  <c r="J859" i="9"/>
  <c r="J875" i="9"/>
  <c r="J891" i="9"/>
  <c r="J907" i="9"/>
  <c r="J923" i="9"/>
  <c r="J939" i="9"/>
  <c r="J955" i="9"/>
  <c r="J971" i="9"/>
  <c r="J987" i="9"/>
  <c r="J1003" i="9"/>
  <c r="J1019" i="9"/>
  <c r="J1035" i="9"/>
  <c r="J1051" i="9"/>
  <c r="J1067" i="9"/>
  <c r="J1083" i="9"/>
  <c r="J1099" i="9"/>
  <c r="J1115" i="9"/>
  <c r="J1131" i="9"/>
  <c r="J1147" i="9"/>
  <c r="J1163" i="9"/>
  <c r="J1179" i="9"/>
  <c r="J1195" i="9"/>
  <c r="J1208" i="9"/>
  <c r="J1218" i="9"/>
  <c r="J1228" i="9"/>
  <c r="J1240" i="9"/>
  <c r="J1250" i="9"/>
  <c r="J1260" i="9"/>
  <c r="J1272" i="9"/>
  <c r="J1282" i="9"/>
  <c r="J1292" i="9"/>
  <c r="J1304" i="9"/>
  <c r="J1314" i="9"/>
  <c r="J1324" i="9"/>
  <c r="J1336" i="9"/>
  <c r="J1346" i="9"/>
  <c r="J1356" i="9"/>
  <c r="J1368" i="9"/>
  <c r="J1377" i="9"/>
  <c r="J1385" i="9"/>
  <c r="J1393" i="9"/>
  <c r="J1401" i="9"/>
  <c r="J1409" i="9"/>
  <c r="J1417" i="9"/>
  <c r="J1425" i="9"/>
  <c r="J1433" i="9"/>
  <c r="J1441" i="9"/>
  <c r="J1449" i="9"/>
  <c r="O815" i="9"/>
  <c r="O1279" i="9"/>
  <c r="O1526" i="9"/>
  <c r="O1701" i="9"/>
  <c r="O1801" i="9"/>
  <c r="O1865" i="9"/>
  <c r="O1929" i="9"/>
  <c r="O1993" i="9"/>
  <c r="J57" i="9"/>
  <c r="J121" i="9"/>
  <c r="J185" i="9"/>
  <c r="J249" i="9"/>
  <c r="J313" i="9"/>
  <c r="J377" i="9"/>
  <c r="J431" i="9"/>
  <c r="J461" i="9"/>
  <c r="J482" i="9"/>
  <c r="J504" i="9"/>
  <c r="J526" i="9"/>
  <c r="J546" i="9"/>
  <c r="J568" i="9"/>
  <c r="J588" i="9"/>
  <c r="J604" i="9"/>
  <c r="J620" i="9"/>
  <c r="J636" i="9"/>
  <c r="J652" i="9"/>
  <c r="J668" i="9"/>
  <c r="J684" i="9"/>
  <c r="J700" i="9"/>
  <c r="J716" i="9"/>
  <c r="J732" i="9"/>
  <c r="J748" i="9"/>
  <c r="J764" i="9"/>
  <c r="J780" i="9"/>
  <c r="J796" i="9"/>
  <c r="J812" i="9"/>
  <c r="J828" i="9"/>
  <c r="J844" i="9"/>
  <c r="J860" i="9"/>
  <c r="J876" i="9"/>
  <c r="J892" i="9"/>
  <c r="J908" i="9"/>
  <c r="J924" i="9"/>
  <c r="J940" i="9"/>
  <c r="J956" i="9"/>
  <c r="J972" i="9"/>
  <c r="J988" i="9"/>
  <c r="J1004" i="9"/>
  <c r="J1020" i="9"/>
  <c r="J1036" i="9"/>
  <c r="J1052" i="9"/>
  <c r="J1068" i="9"/>
  <c r="J1084" i="9"/>
  <c r="J1100" i="9"/>
  <c r="J1116" i="9"/>
  <c r="J1132" i="9"/>
  <c r="J1148" i="9"/>
  <c r="J1164" i="9"/>
  <c r="J1180" i="9"/>
  <c r="J1196" i="9"/>
  <c r="J1209" i="9"/>
  <c r="J1219" i="9"/>
  <c r="J1231" i="9"/>
  <c r="J1241" i="9"/>
  <c r="J1251" i="9"/>
  <c r="J1263" i="9"/>
  <c r="J1273" i="9"/>
  <c r="J1283" i="9"/>
  <c r="J1295" i="9"/>
  <c r="J1305" i="9"/>
  <c r="J1315" i="9"/>
  <c r="J1327" i="9"/>
  <c r="J1337" i="9"/>
  <c r="J1347" i="9"/>
  <c r="J1359" i="9"/>
  <c r="J1369" i="9"/>
  <c r="J1378" i="9"/>
  <c r="J1386" i="9"/>
  <c r="J1394" i="9"/>
  <c r="J1402" i="9"/>
  <c r="J1410" i="9"/>
  <c r="J1418" i="9"/>
  <c r="J1426" i="9"/>
  <c r="J1434" i="9"/>
  <c r="J1442" i="9"/>
  <c r="J1450" i="9"/>
  <c r="O896" i="9"/>
  <c r="O1313" i="9"/>
  <c r="O1547" i="9"/>
  <c r="O1718" i="9"/>
  <c r="O1807" i="9"/>
  <c r="O1871" i="9"/>
  <c r="O1935" i="9"/>
  <c r="O1999" i="9"/>
  <c r="J63" i="9"/>
  <c r="J127" i="9"/>
  <c r="J191" i="9"/>
  <c r="J255" i="9"/>
  <c r="J319" i="9"/>
  <c r="J383" i="9"/>
  <c r="J437" i="9"/>
  <c r="J465" i="9"/>
  <c r="J487" i="9"/>
  <c r="J509" i="9"/>
  <c r="J529" i="9"/>
  <c r="J551" i="9"/>
  <c r="J573" i="9"/>
  <c r="J591" i="9"/>
  <c r="J607" i="9"/>
  <c r="J623" i="9"/>
  <c r="J639" i="9"/>
  <c r="J655" i="9"/>
  <c r="J671" i="9"/>
  <c r="J687" i="9"/>
  <c r="J703" i="9"/>
  <c r="J719" i="9"/>
  <c r="J735" i="9"/>
  <c r="J751" i="9"/>
  <c r="J767" i="9"/>
  <c r="J783" i="9"/>
  <c r="J799" i="9"/>
  <c r="J815" i="9"/>
  <c r="J831" i="9"/>
  <c r="J847" i="9"/>
  <c r="J863" i="9"/>
  <c r="J879" i="9"/>
  <c r="J895" i="9"/>
  <c r="J911" i="9"/>
  <c r="J927" i="9"/>
  <c r="J943" i="9"/>
  <c r="J959" i="9"/>
  <c r="J975" i="9"/>
  <c r="J991" i="9"/>
  <c r="J1007" i="9"/>
  <c r="J1023" i="9"/>
  <c r="J1039" i="9"/>
  <c r="J1055" i="9"/>
  <c r="J1071" i="9"/>
  <c r="J1087" i="9"/>
  <c r="J1103" i="9"/>
  <c r="J1119" i="9"/>
  <c r="J1135" i="9"/>
  <c r="J1151" i="9"/>
  <c r="J1167" i="9"/>
  <c r="J1183" i="9"/>
  <c r="J1199" i="9"/>
  <c r="J1210" i="9"/>
  <c r="J1220" i="9"/>
  <c r="J1232" i="9"/>
  <c r="J1242" i="9"/>
  <c r="J1252" i="9"/>
  <c r="J1264" i="9"/>
  <c r="J1274" i="9"/>
  <c r="J1284" i="9"/>
  <c r="J1296" i="9"/>
  <c r="J1306" i="9"/>
  <c r="J1316" i="9"/>
  <c r="J1328" i="9"/>
  <c r="J1338" i="9"/>
  <c r="J1348" i="9"/>
  <c r="J1360" i="9"/>
  <c r="J1370" i="9"/>
  <c r="J1379" i="9"/>
  <c r="J1387" i="9"/>
  <c r="J1395" i="9"/>
  <c r="J1403" i="9"/>
  <c r="J1411" i="9"/>
  <c r="J1419" i="9"/>
  <c r="J1427" i="9"/>
  <c r="J1435" i="9"/>
  <c r="J1443" i="9"/>
  <c r="J1451" i="9"/>
  <c r="J1459" i="9"/>
  <c r="J1467" i="9"/>
  <c r="J1475" i="9"/>
  <c r="J1483" i="9"/>
  <c r="J1491" i="9"/>
  <c r="R1690" i="9"/>
  <c r="O993" i="9"/>
  <c r="O1355" i="9"/>
  <c r="O1573" i="9"/>
  <c r="O1742" i="9"/>
  <c r="O1817" i="9"/>
  <c r="O1881" i="9"/>
  <c r="O1945" i="9"/>
  <c r="J9" i="9"/>
  <c r="J73" i="9"/>
  <c r="J137" i="9"/>
  <c r="J201" i="9"/>
  <c r="J265" i="9"/>
  <c r="J329" i="9"/>
  <c r="J393" i="9"/>
  <c r="J441" i="9"/>
  <c r="J469" i="9"/>
  <c r="J489" i="9"/>
  <c r="J511" i="9"/>
  <c r="J533" i="9"/>
  <c r="J553" i="9"/>
  <c r="J575" i="9"/>
  <c r="J593" i="9"/>
  <c r="J609" i="9"/>
  <c r="J625" i="9"/>
  <c r="J641" i="9"/>
  <c r="J657" i="9"/>
  <c r="J673" i="9"/>
  <c r="J689" i="9"/>
  <c r="J705" i="9"/>
  <c r="J721" i="9"/>
  <c r="J737" i="9"/>
  <c r="J753" i="9"/>
  <c r="J769" i="9"/>
  <c r="J785" i="9"/>
  <c r="J801" i="9"/>
  <c r="J817" i="9"/>
  <c r="J833" i="9"/>
  <c r="J849" i="9"/>
  <c r="J865" i="9"/>
  <c r="J881" i="9"/>
  <c r="J897" i="9"/>
  <c r="J913" i="9"/>
  <c r="J929" i="9"/>
  <c r="J945" i="9"/>
  <c r="J961" i="9"/>
  <c r="J977" i="9"/>
  <c r="J993" i="9"/>
  <c r="J1009" i="9"/>
  <c r="J1025" i="9"/>
  <c r="J1041" i="9"/>
  <c r="J1057" i="9"/>
  <c r="J1073" i="9"/>
  <c r="J1089" i="9"/>
  <c r="J1105" i="9"/>
  <c r="J1121" i="9"/>
  <c r="J1137" i="9"/>
  <c r="J1153" i="9"/>
  <c r="J1169" i="9"/>
  <c r="J1185" i="9"/>
  <c r="J1201" i="9"/>
  <c r="J1211" i="9"/>
  <c r="J1223" i="9"/>
  <c r="J1233" i="9"/>
  <c r="J1243" i="9"/>
  <c r="J1255" i="9"/>
  <c r="J1265" i="9"/>
  <c r="J1275" i="9"/>
  <c r="J1287" i="9"/>
  <c r="J1297" i="9"/>
  <c r="J1307" i="9"/>
  <c r="J1319" i="9"/>
  <c r="J1329" i="9"/>
  <c r="J1339" i="9"/>
  <c r="R1915" i="9"/>
  <c r="O1041" i="9"/>
  <c r="O1377" i="9"/>
  <c r="O1590" i="9"/>
  <c r="O1750" i="9"/>
  <c r="O1823" i="9"/>
  <c r="O1887" i="9"/>
  <c r="O1951" i="9"/>
  <c r="J15" i="9"/>
  <c r="J79" i="9"/>
  <c r="J143" i="9"/>
  <c r="J207" i="9"/>
  <c r="J271" i="9"/>
  <c r="J335" i="9"/>
  <c r="J399" i="9"/>
  <c r="J445" i="9"/>
  <c r="J471" i="9"/>
  <c r="J493" i="9"/>
  <c r="J513" i="9"/>
  <c r="J535" i="9"/>
  <c r="J557" i="9"/>
  <c r="J577" i="9"/>
  <c r="J595" i="9"/>
  <c r="J611" i="9"/>
  <c r="J627" i="9"/>
  <c r="J643" i="9"/>
  <c r="J659" i="9"/>
  <c r="J675" i="9"/>
  <c r="J691" i="9"/>
  <c r="J707" i="9"/>
  <c r="J723" i="9"/>
  <c r="J739" i="9"/>
  <c r="J755" i="9"/>
  <c r="J771" i="9"/>
  <c r="J787" i="9"/>
  <c r="J803" i="9"/>
  <c r="J819" i="9"/>
  <c r="J835" i="9"/>
  <c r="J851" i="9"/>
  <c r="J867" i="9"/>
  <c r="J883" i="9"/>
  <c r="J899" i="9"/>
  <c r="J915" i="9"/>
  <c r="J931" i="9"/>
  <c r="J947" i="9"/>
  <c r="J963" i="9"/>
  <c r="J979" i="9"/>
  <c r="J995" i="9"/>
  <c r="J1011" i="9"/>
  <c r="J1027" i="9"/>
  <c r="J1043" i="9"/>
  <c r="J1059" i="9"/>
  <c r="J1075" i="9"/>
  <c r="J1091" i="9"/>
  <c r="J1107" i="9"/>
  <c r="J1123" i="9"/>
  <c r="O184" i="9"/>
  <c r="O1109" i="9"/>
  <c r="O1411" i="9"/>
  <c r="O1615" i="9"/>
  <c r="O1763" i="9"/>
  <c r="O1833" i="9"/>
  <c r="O1897" i="9"/>
  <c r="O1961" i="9"/>
  <c r="J25" i="9"/>
  <c r="J89" i="9"/>
  <c r="J153" i="9"/>
  <c r="J217" i="9"/>
  <c r="J281" i="9"/>
  <c r="J345" i="9"/>
  <c r="J409" i="9"/>
  <c r="J447" i="9"/>
  <c r="J472" i="9"/>
  <c r="J494" i="9"/>
  <c r="J514" i="9"/>
  <c r="J536" i="9"/>
  <c r="J558" i="9"/>
  <c r="J578" i="9"/>
  <c r="J596" i="9"/>
  <c r="J612" i="9"/>
  <c r="J628" i="9"/>
  <c r="J644" i="9"/>
  <c r="J660" i="9"/>
  <c r="J676" i="9"/>
  <c r="J692" i="9"/>
  <c r="J708" i="9"/>
  <c r="J724" i="9"/>
  <c r="J740" i="9"/>
  <c r="J756" i="9"/>
  <c r="J772" i="9"/>
  <c r="J788" i="9"/>
  <c r="J804" i="9"/>
  <c r="J820" i="9"/>
  <c r="J836" i="9"/>
  <c r="J852" i="9"/>
  <c r="J868" i="9"/>
  <c r="J884" i="9"/>
  <c r="J900" i="9"/>
  <c r="J916" i="9"/>
  <c r="J932" i="9"/>
  <c r="J948" i="9"/>
  <c r="J964" i="9"/>
  <c r="J980" i="9"/>
  <c r="J996" i="9"/>
  <c r="J1012" i="9"/>
  <c r="J1028" i="9"/>
  <c r="J1044" i="9"/>
  <c r="J1060" i="9"/>
  <c r="J1076" i="9"/>
  <c r="J1092" i="9"/>
  <c r="J1108" i="9"/>
  <c r="J1124" i="9"/>
  <c r="J1140" i="9"/>
  <c r="J1156" i="9"/>
  <c r="J1172" i="9"/>
  <c r="J1188" i="9"/>
  <c r="J1203" i="9"/>
  <c r="J1215" i="9"/>
  <c r="J1225" i="9"/>
  <c r="J1235" i="9"/>
  <c r="J1247" i="9"/>
  <c r="J1257" i="9"/>
  <c r="J1267" i="9"/>
  <c r="J1279" i="9"/>
  <c r="J1289" i="9"/>
  <c r="J1299" i="9"/>
  <c r="J1311" i="9"/>
  <c r="J1321" i="9"/>
  <c r="J1331" i="9"/>
  <c r="J1996" i="9"/>
  <c r="J1988" i="9"/>
  <c r="J1980" i="9"/>
  <c r="J1972" i="9"/>
  <c r="J1964" i="9"/>
  <c r="J1956" i="9"/>
  <c r="J1948" i="9"/>
  <c r="J1940" i="9"/>
  <c r="J1932" i="9"/>
  <c r="J1924" i="9"/>
  <c r="J1916" i="9"/>
  <c r="J1908" i="9"/>
  <c r="J1900" i="9"/>
  <c r="J1892" i="9"/>
  <c r="J1884" i="9"/>
  <c r="J1876" i="9"/>
  <c r="J1868" i="9"/>
  <c r="J1860" i="9"/>
  <c r="J1852" i="9"/>
  <c r="J1844" i="9"/>
  <c r="J1836" i="9"/>
  <c r="J1828" i="9"/>
  <c r="J1820" i="9"/>
  <c r="J1812" i="9"/>
  <c r="J1804" i="9"/>
  <c r="J1796" i="9"/>
  <c r="J1788" i="9"/>
  <c r="J1780" i="9"/>
  <c r="J1772" i="9"/>
  <c r="J1764" i="9"/>
  <c r="J1756" i="9"/>
  <c r="J1748" i="9"/>
  <c r="J1740" i="9"/>
  <c r="J1732" i="9"/>
  <c r="J1724" i="9"/>
  <c r="J1716" i="9"/>
  <c r="J1708" i="9"/>
  <c r="J1700" i="9"/>
  <c r="J1692" i="9"/>
  <c r="J1684" i="9"/>
  <c r="J1676" i="9"/>
  <c r="J1668" i="9"/>
  <c r="J1660" i="9"/>
  <c r="J1652" i="9"/>
  <c r="J1644" i="9"/>
  <c r="J1636" i="9"/>
  <c r="J1628" i="9"/>
  <c r="J1620" i="9"/>
  <c r="J1612" i="9"/>
  <c r="J1604" i="9"/>
  <c r="J1596" i="9"/>
  <c r="J1588" i="9"/>
  <c r="J1580" i="9"/>
  <c r="J1572" i="9"/>
  <c r="J1564" i="9"/>
  <c r="J1556" i="9"/>
  <c r="J1548" i="9"/>
  <c r="J1540" i="9"/>
  <c r="J1532" i="9"/>
  <c r="J1524" i="9"/>
  <c r="J1516" i="9"/>
  <c r="J1508" i="9"/>
  <c r="J1500" i="9"/>
  <c r="J1492" i="9"/>
  <c r="J1482" i="9"/>
  <c r="J1473" i="9"/>
  <c r="J1464" i="9"/>
  <c r="J1455" i="9"/>
  <c r="J1438" i="9"/>
  <c r="J1420" i="9"/>
  <c r="J1397" i="9"/>
  <c r="J1374" i="9"/>
  <c r="J1351" i="9"/>
  <c r="J1276" i="9"/>
  <c r="J1187" i="9"/>
  <c r="BT108" i="9"/>
  <c r="BU101" i="9"/>
  <c r="BU107" i="9" s="1"/>
  <c r="BT109" i="9"/>
  <c r="BT102" i="9"/>
  <c r="BT104" i="9" s="1"/>
  <c r="BV102" i="9"/>
  <c r="BV104" i="9" s="1"/>
  <c r="BV111" i="9"/>
  <c r="BV101" i="9"/>
  <c r="BV109" i="9" s="1"/>
  <c r="BV108" i="9"/>
  <c r="BT100" i="9"/>
  <c r="BT105" i="9" s="1"/>
  <c r="BT106" i="9" s="1"/>
  <c r="BT101" i="9"/>
  <c r="BT107" i="9" s="1"/>
  <c r="BV107" i="9"/>
  <c r="X54" i="7"/>
  <c r="X53" i="7"/>
  <c r="X52" i="7"/>
  <c r="X51" i="7"/>
  <c r="X50" i="7"/>
  <c r="X49" i="7"/>
  <c r="X48" i="7"/>
  <c r="X47" i="7"/>
  <c r="X46" i="7"/>
  <c r="X45" i="7"/>
  <c r="X44" i="7"/>
  <c r="X43" i="7"/>
  <c r="X42" i="7"/>
  <c r="X41" i="7"/>
  <c r="X40" i="7"/>
  <c r="X39" i="7"/>
  <c r="X38" i="7"/>
  <c r="R54" i="7"/>
  <c r="R53" i="7"/>
  <c r="R52" i="7"/>
  <c r="R51" i="7"/>
  <c r="R50" i="7"/>
  <c r="R49" i="7"/>
  <c r="R48" i="7"/>
  <c r="R47" i="7"/>
  <c r="R46" i="7"/>
  <c r="R45" i="7"/>
  <c r="R44" i="7"/>
  <c r="R43" i="7"/>
  <c r="R42" i="7"/>
  <c r="R41" i="7"/>
  <c r="R40" i="7"/>
  <c r="R39" i="7"/>
  <c r="R38" i="7"/>
  <c r="W54" i="7"/>
  <c r="W53" i="7"/>
  <c r="W52" i="7"/>
  <c r="W51" i="7"/>
  <c r="W50" i="7"/>
  <c r="W49" i="7"/>
  <c r="W48" i="7"/>
  <c r="W47" i="7"/>
  <c r="W46" i="7"/>
  <c r="W45" i="7"/>
  <c r="W44" i="7"/>
  <c r="W43" i="7"/>
  <c r="W41" i="7"/>
  <c r="W40" i="7"/>
  <c r="W39" i="7"/>
  <c r="W38" i="7"/>
  <c r="W42" i="7"/>
  <c r="Q54" i="7"/>
  <c r="Q53" i="7"/>
  <c r="Q52" i="7"/>
  <c r="Q51" i="7"/>
  <c r="Q50" i="7"/>
  <c r="Q49" i="7"/>
  <c r="Q48" i="7"/>
  <c r="Q47" i="7"/>
  <c r="Q46" i="7"/>
  <c r="Q45" i="7"/>
  <c r="Q44" i="7"/>
  <c r="Q43" i="7"/>
  <c r="Q41" i="7"/>
  <c r="Q40" i="7"/>
  <c r="Q39" i="7"/>
  <c r="Q38" i="7"/>
  <c r="Q42" i="7"/>
  <c r="V41" i="7"/>
  <c r="U41" i="7"/>
  <c r="V40" i="7"/>
  <c r="U40" i="7"/>
  <c r="V39" i="7"/>
  <c r="U39" i="7"/>
  <c r="V38" i="7"/>
  <c r="U38" i="7"/>
  <c r="O38" i="7"/>
  <c r="P38" i="7"/>
  <c r="O39" i="7"/>
  <c r="P39" i="7"/>
  <c r="O40" i="7"/>
  <c r="P40" i="7"/>
  <c r="O41" i="7"/>
  <c r="P41" i="7"/>
  <c r="L41" i="7"/>
  <c r="L40" i="7"/>
  <c r="L39" i="7"/>
  <c r="L38" i="7"/>
  <c r="H41" i="7"/>
  <c r="H40" i="7"/>
  <c r="H39" i="7"/>
  <c r="H38" i="7"/>
  <c r="I54" i="7"/>
  <c r="J54" i="7" s="1"/>
  <c r="L54" i="7" s="1"/>
  <c r="G54" i="7"/>
  <c r="J53" i="7"/>
  <c r="L53" i="7" s="1"/>
  <c r="I53" i="7"/>
  <c r="G53" i="7"/>
  <c r="I52" i="7"/>
  <c r="J52" i="7" s="1"/>
  <c r="L52" i="7" s="1"/>
  <c r="G52" i="7"/>
  <c r="I51" i="7"/>
  <c r="J51" i="7" s="1"/>
  <c r="L51" i="7" s="1"/>
  <c r="G51" i="7"/>
  <c r="I50" i="7"/>
  <c r="J50" i="7" s="1"/>
  <c r="L50" i="7" s="1"/>
  <c r="G50" i="7"/>
  <c r="I49" i="7"/>
  <c r="J49" i="7" s="1"/>
  <c r="L49" i="7" s="1"/>
  <c r="G49" i="7"/>
  <c r="I48" i="7"/>
  <c r="J48" i="7" s="1"/>
  <c r="L48" i="7" s="1"/>
  <c r="G48" i="7"/>
  <c r="I47" i="7"/>
  <c r="J47" i="7" s="1"/>
  <c r="L47" i="7" s="1"/>
  <c r="G47" i="7"/>
  <c r="I46" i="7"/>
  <c r="J46" i="7" s="1"/>
  <c r="L46" i="7" s="1"/>
  <c r="G46" i="7"/>
  <c r="I45" i="7"/>
  <c r="J45" i="7" s="1"/>
  <c r="L45" i="7" s="1"/>
  <c r="G45" i="7"/>
  <c r="I44" i="7"/>
  <c r="J44" i="7" s="1"/>
  <c r="L44" i="7" s="1"/>
  <c r="G44" i="7"/>
  <c r="I43" i="7"/>
  <c r="J43" i="7" s="1"/>
  <c r="L43" i="7" s="1"/>
  <c r="G43" i="7"/>
  <c r="G42" i="7"/>
  <c r="I42" i="7"/>
  <c r="J42" i="7" s="1"/>
  <c r="L42" i="7" s="1"/>
  <c r="U42" i="7" s="1"/>
  <c r="BT111" i="9" l="1"/>
  <c r="BU110" i="9"/>
  <c r="BV110" i="9"/>
  <c r="BT110" i="9"/>
  <c r="BU108" i="9"/>
  <c r="BU109" i="9"/>
  <c r="BU111" i="9"/>
  <c r="P42" i="7"/>
  <c r="V42" i="7"/>
  <c r="V51" i="7"/>
  <c r="U51" i="7"/>
  <c r="O51" i="7"/>
  <c r="P51" i="7"/>
  <c r="U43" i="7"/>
  <c r="V43" i="7"/>
  <c r="P43" i="7"/>
  <c r="O43" i="7"/>
  <c r="P44" i="7"/>
  <c r="O44" i="7"/>
  <c r="V44" i="7"/>
  <c r="U44" i="7"/>
  <c r="V48" i="7"/>
  <c r="U48" i="7"/>
  <c r="P48" i="7"/>
  <c r="O48" i="7"/>
  <c r="U52" i="7"/>
  <c r="P52" i="7"/>
  <c r="V52" i="7"/>
  <c r="O52" i="7"/>
  <c r="P47" i="7"/>
  <c r="U47" i="7"/>
  <c r="O47" i="7"/>
  <c r="U45" i="7"/>
  <c r="O45" i="7"/>
  <c r="P45" i="7"/>
  <c r="U49" i="7"/>
  <c r="P49" i="7"/>
  <c r="V49" i="7"/>
  <c r="O49" i="7"/>
  <c r="O53" i="7"/>
  <c r="P53" i="7"/>
  <c r="U53" i="7"/>
  <c r="U46" i="7"/>
  <c r="P46" i="7"/>
  <c r="V46" i="7"/>
  <c r="O46" i="7"/>
  <c r="P50" i="7"/>
  <c r="O50" i="7"/>
  <c r="V50" i="7"/>
  <c r="U50" i="7"/>
  <c r="O54" i="7"/>
  <c r="V54" i="7"/>
  <c r="U54" i="7"/>
  <c r="P54" i="7"/>
  <c r="O42" i="7"/>
  <c r="L10" i="5" l="1"/>
  <c r="K11" i="5" s="1"/>
  <c r="L14" i="5" s="1"/>
  <c r="K10" i="5"/>
  <c r="N8" i="5"/>
  <c r="K14" i="5"/>
  <c r="K15" i="5"/>
  <c r="K16" i="5"/>
  <c r="K17" i="5"/>
  <c r="K13" i="5"/>
  <c r="K8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16" i="5"/>
  <c r="D14" i="5"/>
  <c r="E14" i="5"/>
  <c r="F14" i="5"/>
  <c r="G14" i="5"/>
  <c r="C14" i="5"/>
  <c r="C11" i="5"/>
  <c r="L17" i="5" l="1"/>
  <c r="L16" i="5"/>
  <c r="L15" i="5"/>
  <c r="L13" i="5"/>
</calcChain>
</file>

<file path=xl/sharedStrings.xml><?xml version="1.0" encoding="utf-8"?>
<sst xmlns="http://schemas.openxmlformats.org/spreadsheetml/2006/main" count="434" uniqueCount="220">
  <si>
    <t>-</t>
  </si>
  <si>
    <t>He</t>
  </si>
  <si>
    <t>k (SI)</t>
  </si>
  <si>
    <t>Swelling DeltaV/V</t>
  </si>
  <si>
    <t>Yxe</t>
  </si>
  <si>
    <t>T (K)</t>
  </si>
  <si>
    <t>Gamma (Pa*m)</t>
  </si>
  <si>
    <t>Nb/m3</t>
  </si>
  <si>
    <t>Nu /m3</t>
  </si>
  <si>
    <t>burnup (fraction)</t>
  </si>
  <si>
    <t>W/(m K)</t>
  </si>
  <si>
    <t>Xe</t>
  </si>
  <si>
    <t>dpa/s</t>
  </si>
  <si>
    <t>lambda * En</t>
  </si>
  <si>
    <t>Fusion neutrons</t>
  </si>
  <si>
    <t>capture</t>
  </si>
  <si>
    <t>fission</t>
  </si>
  <si>
    <t>Amerecium</t>
  </si>
  <si>
    <t>n,2n</t>
  </si>
  <si>
    <t>n,f</t>
  </si>
  <si>
    <t>n,gamma</t>
  </si>
  <si>
    <t>From Serpent SFR</t>
  </si>
  <si>
    <t>Curium</t>
  </si>
  <si>
    <t>Neptunium</t>
  </si>
  <si>
    <t>Plutonium</t>
  </si>
  <si>
    <t>Uranium</t>
  </si>
  <si>
    <t>Zr</t>
  </si>
  <si>
    <t>sodium cooled (cross sections)</t>
  </si>
  <si>
    <t>Lead cooled (cross sections</t>
  </si>
  <si>
    <t>From Serpent PbFR</t>
  </si>
  <si>
    <t>%</t>
  </si>
  <si>
    <t>---</t>
  </si>
  <si>
    <t>U-TRU-10Zr</t>
  </si>
  <si>
    <t>mat</t>
  </si>
  <si>
    <t>fuel</t>
  </si>
  <si>
    <t>40000.09c</t>
  </si>
  <si>
    <t>92235.09c</t>
  </si>
  <si>
    <t>92238.09c</t>
  </si>
  <si>
    <t>93237.09c</t>
  </si>
  <si>
    <t>94238.09c</t>
  </si>
  <si>
    <t>94239.09c</t>
  </si>
  <si>
    <t>94240.09c</t>
  </si>
  <si>
    <t>94241.09c</t>
  </si>
  <si>
    <t>94242.09c</t>
  </si>
  <si>
    <t>95241.09c</t>
  </si>
  <si>
    <t>95243.09c</t>
  </si>
  <si>
    <t>96242.09c</t>
  </si>
  <si>
    <t>96244.09c</t>
  </si>
  <si>
    <t>mass density g/cm3</t>
  </si>
  <si>
    <t>molecular weight g/gmol</t>
  </si>
  <si>
    <t>Avogadro constant</t>
  </si>
  <si>
    <t>Atomic density</t>
  </si>
  <si>
    <t>Microscopic</t>
  </si>
  <si>
    <t>Marcroscopic</t>
  </si>
  <si>
    <t>Pb cooled Cross section</t>
  </si>
  <si>
    <t>Na cooled Cross Section</t>
  </si>
  <si>
    <t>proton number</t>
  </si>
  <si>
    <t>95242.09c</t>
  </si>
  <si>
    <t>fraction (% capture)</t>
  </si>
  <si>
    <t>Fraction (% fission)</t>
  </si>
  <si>
    <t>mean score (5:1) mod to fuel</t>
  </si>
  <si>
    <t>energy</t>
  </si>
  <si>
    <t>unit lethargy change</t>
  </si>
  <si>
    <t>Note: use F4 to lock</t>
  </si>
  <si>
    <t>normalised flux per lethargy (5:1 mod to fuel)</t>
  </si>
  <si>
    <t>normalised flux per lethargy (no mod)</t>
  </si>
  <si>
    <t>mean score no mod</t>
  </si>
  <si>
    <t>mean score 1:1</t>
  </si>
  <si>
    <t>Normalised flux to lethargy 1:1</t>
  </si>
  <si>
    <t>x/L</t>
  </si>
  <si>
    <t>exp(-3.0*((x/L)-0.5)^2)</t>
  </si>
  <si>
    <t>0.61274±0.00087</t>
  </si>
  <si>
    <t>1.24888±0.00266</t>
  </si>
  <si>
    <t>1.54435±0.00155</t>
  </si>
  <si>
    <t>0.60920± 0.00093</t>
  </si>
  <si>
    <t>1.23926±0.00259</t>
  </si>
  <si>
    <t>1.54138±0.00165</t>
  </si>
  <si>
    <t>salt doppler feedback</t>
  </si>
  <si>
    <t>salt void reactivity feedback</t>
  </si>
  <si>
    <t>0.61357± 0.00098</t>
  </si>
  <si>
    <t>1.24993± 0.00270</t>
  </si>
  <si>
    <t>1.54546± 0.00156</t>
  </si>
  <si>
    <t>0.61159± 0.00094</t>
  </si>
  <si>
    <t>1.23762± 0.00261</t>
  </si>
  <si>
    <t>1.54374±0.00170</t>
  </si>
  <si>
    <t>1.24151±0.00261</t>
  </si>
  <si>
    <t>1.54444± 0.00154</t>
  </si>
  <si>
    <t>graphite doppler feedback</t>
  </si>
  <si>
    <t>salt temp reactivity (doppler + void)</t>
  </si>
  <si>
    <t>1000k</t>
  </si>
  <si>
    <t>1100k</t>
  </si>
  <si>
    <t xml:space="preserve">no mod </t>
  </si>
  <si>
    <t>1:1 mod to fuel</t>
  </si>
  <si>
    <t>change per temp</t>
  </si>
  <si>
    <t>pcm change per temp</t>
  </si>
  <si>
    <t>5:1 mod to fuel</t>
  </si>
  <si>
    <t>change per density</t>
  </si>
  <si>
    <t>exp(-3.0*((x/L)-0.5)^2)*x^(1/3)*(3-6(x/L)</t>
  </si>
  <si>
    <t>q0*F(x/L)</t>
  </si>
  <si>
    <t>corrected answer</t>
  </si>
  <si>
    <t>t</t>
  </si>
  <si>
    <t>y2</t>
  </si>
  <si>
    <t>Tw-Ti</t>
  </si>
  <si>
    <t>qw</t>
  </si>
  <si>
    <t>h</t>
  </si>
  <si>
    <t>Isotope’s Interaction</t>
  </si>
  <si>
    <t>Microscopic cross section (MSR no mod) - barns</t>
  </si>
  <si>
    <t>Microscopic cross section (MSR 1:1 mod to fuel) - barns</t>
  </si>
  <si>
    <t>Microscopic cross section (MSR 5:1 mod to fuel) -  barns</t>
  </si>
  <si>
    <t>U-235 (n,2n)</t>
  </si>
  <si>
    <t>U-235 (n,f)</t>
  </si>
  <si>
    <t>U-235 (n,g)</t>
  </si>
  <si>
    <t>U-238 (n,2n)</t>
  </si>
  <si>
    <t>U-238 (n,f)</t>
  </si>
  <si>
    <t>U-238 (n,g)</t>
  </si>
  <si>
    <t>Li-7 (n,2n)</t>
  </si>
  <si>
    <t>Li-7 (n,g)</t>
  </si>
  <si>
    <t>Be-9 (n,2n)</t>
  </si>
  <si>
    <t>Be-9 (n,g)</t>
  </si>
  <si>
    <t>F-19 (n,2n)</t>
  </si>
  <si>
    <t>F-19 (n,g)</t>
  </si>
  <si>
    <t>Li-7</t>
  </si>
  <si>
    <t>Be-9</t>
  </si>
  <si>
    <t>F-19</t>
  </si>
  <si>
    <t>U-235</t>
  </si>
  <si>
    <t>U-238</t>
  </si>
  <si>
    <t>total</t>
  </si>
  <si>
    <t>atomic ratio</t>
  </si>
  <si>
    <t>molar %</t>
  </si>
  <si>
    <t>molar density</t>
  </si>
  <si>
    <t>atomic density</t>
  </si>
  <si>
    <t>MSR (no mod) macroscopic cross section cm^-1</t>
  </si>
  <si>
    <t>MSR (1:1 mod to fuel) macro cross section cm^-1</t>
  </si>
  <si>
    <t>MSR (5:1) mod to fuel macro cross section</t>
  </si>
  <si>
    <t>MSR no mod (distribution table)</t>
  </si>
  <si>
    <t>MSR 1:1 mod to fuel (distribution table)</t>
  </si>
  <si>
    <t>MSR 5:1 mod to fuel (distribution table)</t>
  </si>
  <si>
    <t>total fission</t>
  </si>
  <si>
    <t>total n,gamma</t>
  </si>
  <si>
    <t>total n,2n</t>
  </si>
  <si>
    <t>Be-9 n,2n</t>
  </si>
  <si>
    <t>U-235 n,f</t>
  </si>
  <si>
    <t>U-235 n,g</t>
  </si>
  <si>
    <t>U-238 n,g</t>
  </si>
  <si>
    <t>Li7 n,g</t>
  </si>
  <si>
    <t>Be9 n,g</t>
  </si>
  <si>
    <t>F19 n,g</t>
  </si>
  <si>
    <t>U-238 n,f</t>
  </si>
  <si>
    <t>sigma ratio</t>
  </si>
  <si>
    <t>second term</t>
  </si>
  <si>
    <t>C</t>
  </si>
  <si>
    <t>uranium</t>
  </si>
  <si>
    <t>plutonium</t>
  </si>
  <si>
    <t>s</t>
  </si>
  <si>
    <t>first term</t>
  </si>
  <si>
    <t>second term part 1</t>
  </si>
  <si>
    <t>second term part 2</t>
  </si>
  <si>
    <t>beta</t>
  </si>
  <si>
    <t>lambda</t>
  </si>
  <si>
    <t>obj fn</t>
  </si>
  <si>
    <t>tau</t>
  </si>
  <si>
    <t>FHR</t>
  </si>
  <si>
    <t>flux</t>
  </si>
  <si>
    <t>flux per lethargy</t>
  </si>
  <si>
    <t>SiC</t>
  </si>
  <si>
    <t>PyC</t>
  </si>
  <si>
    <t>buffer</t>
  </si>
  <si>
    <t>fiss</t>
  </si>
  <si>
    <t>abs</t>
  </si>
  <si>
    <t>n2n</t>
  </si>
  <si>
    <t>shell</t>
  </si>
  <si>
    <t>matrix</t>
  </si>
  <si>
    <t>coolant</t>
  </si>
  <si>
    <t>Gas reactor</t>
  </si>
  <si>
    <t xml:space="preserve">u235 </t>
  </si>
  <si>
    <t>gamma</t>
  </si>
  <si>
    <t>u238</t>
  </si>
  <si>
    <t>O16</t>
  </si>
  <si>
    <t>C12</t>
  </si>
  <si>
    <t>alpha</t>
  </si>
  <si>
    <t xml:space="preserve">gamma </t>
  </si>
  <si>
    <t>prob%</t>
  </si>
  <si>
    <t>U235</t>
  </si>
  <si>
    <t>U238</t>
  </si>
  <si>
    <t>(0</t>
  </si>
  <si>
    <t>0)</t>
  </si>
  <si>
    <t>//0</t>
  </si>
  <si>
    <t>bottom left</t>
  </si>
  <si>
    <t>(z=0)</t>
  </si>
  <si>
    <t>(1</t>
  </si>
  <si>
    <t>//1</t>
  </si>
  <si>
    <t>bottom middle</t>
  </si>
  <si>
    <t>//2</t>
  </si>
  <si>
    <t>top moddle</t>
  </si>
  <si>
    <t>//3</t>
  </si>
  <si>
    <t>top left</t>
  </si>
  <si>
    <t>0.1)</t>
  </si>
  <si>
    <t>//4</t>
  </si>
  <si>
    <t>(z=0.1)</t>
  </si>
  <si>
    <t>//5</t>
  </si>
  <si>
    <t>//6</t>
  </si>
  <si>
    <t>top middle</t>
  </si>
  <si>
    <t>//7</t>
  </si>
  <si>
    <t>(2</t>
  </si>
  <si>
    <t>//8 bottom right</t>
  </si>
  <si>
    <t>//9 top right</t>
  </si>
  <si>
    <t>//10 bottom right</t>
  </si>
  <si>
    <t>//11 top right</t>
  </si>
  <si>
    <t>least x z</t>
  </si>
  <si>
    <t>add z</t>
  </si>
  <si>
    <t>add x</t>
  </si>
  <si>
    <t>subtract z</t>
  </si>
  <si>
    <t>Guide for BlockMesh</t>
  </si>
  <si>
    <t>FLAT PLANES</t>
  </si>
  <si>
    <t>(2 6 11 9)</t>
  </si>
  <si>
    <t>Large Y</t>
  </si>
  <si>
    <t>Small y</t>
  </si>
  <si>
    <t>subtract x</t>
  </si>
  <si>
    <t>face points</t>
  </si>
  <si>
    <t>Paste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</si>
</sst>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E+00"/>
    <numFmt numFmtId="165" formatCode="0.00000"/>
    <numFmt numFmtId="166" formatCode="0.000E+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222222"/>
      <name val="Arial"/>
      <family val="2"/>
    </font>
    <font>
      <b/>
      <sz val="12"/>
      <color rgb="FF222222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EBEBEB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1" fontId="0" fillId="0" borderId="0" xfId="0" applyNumberForma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1" fillId="0" borderId="0" xfId="0" applyFont="1"/>
    <xf numFmtId="0" fontId="3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4" fillId="0" borderId="0" xfId="0" applyFont="1"/>
    <xf numFmtId="11" fontId="0" fillId="3" borderId="0" xfId="0" applyNumberFormat="1" applyFill="1"/>
    <xf numFmtId="0" fontId="0" fillId="4" borderId="0" xfId="0" applyFill="1"/>
    <xf numFmtId="0" fontId="0" fillId="0" borderId="0" xfId="0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11" fontId="0" fillId="0" borderId="5" xfId="0" applyNumberForma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6" xfId="0" applyBorder="1" applyAlignment="1">
      <alignment vertical="center" wrapText="1"/>
    </xf>
    <xf numFmtId="166" fontId="0" fillId="0" borderId="0" xfId="0" applyNumberFormat="1"/>
    <xf numFmtId="0" fontId="5" fillId="0" borderId="2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'calc 2'!$C$15</c:f>
              <c:strCache>
                <c:ptCount val="1"/>
                <c:pt idx="0">
                  <c:v>Swelling DeltaV/V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2'!$B$16:$B$69</c:f>
              <c:numCache>
                <c:formatCode>General</c:formatCode>
                <c:ptCount val="54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</c:numCache>
            </c:numRef>
          </c:xVal>
          <c:yVal>
            <c:numRef>
              <c:f>'calc 2'!$C$16:$C$69</c:f>
              <c:numCache>
                <c:formatCode>0.00000</c:formatCode>
                <c:ptCount val="54"/>
                <c:pt idx="0">
                  <c:v>0</c:v>
                </c:pt>
                <c:pt idx="1">
                  <c:v>1.9242317303364976E-5</c:v>
                </c:pt>
                <c:pt idx="2">
                  <c:v>5.4425492203810419E-5</c:v>
                </c:pt>
                <c:pt idx="3">
                  <c:v>9.9986013674369689E-5</c:v>
                </c:pt>
                <c:pt idx="4">
                  <c:v>1.5393853842691989E-4</c:v>
                </c:pt>
                <c:pt idx="5">
                  <c:v>2.1513564767472283E-4</c:v>
                </c:pt>
                <c:pt idx="6">
                  <c:v>2.8280315317183045E-4</c:v>
                </c:pt>
                <c:pt idx="7">
                  <c:v>3.5637270363309134E-4</c:v>
                </c:pt>
                <c:pt idx="8">
                  <c:v>4.3540393763048357E-4</c:v>
                </c:pt>
                <c:pt idx="9">
                  <c:v>5.1954256719085451E-4</c:v>
                </c:pt>
                <c:pt idx="10">
                  <c:v>6.0849550138302518E-4</c:v>
                </c:pt>
                <c:pt idx="11">
                  <c:v>7.0201501251447465E-4</c:v>
                </c:pt>
                <c:pt idx="12">
                  <c:v>7.9988810939495697E-4</c:v>
                </c:pt>
                <c:pt idx="13">
                  <c:v>9.0192910204839436E-4</c:v>
                </c:pt>
                <c:pt idx="14">
                  <c:v>1.0079742214749688E-3</c:v>
                </c:pt>
                <c:pt idx="15">
                  <c:v>1.1178776168755693E-3</c:v>
                </c:pt>
                <c:pt idx="16">
                  <c:v>1.2315083074153571E-3</c:v>
                </c:pt>
                <c:pt idx="17">
                  <c:v>1.3487478142982122E-3</c:v>
                </c:pt>
                <c:pt idx="18">
                  <c:v>1.4694882895028814E-3</c:v>
                </c:pt>
                <c:pt idx="19">
                  <c:v>1.5936310147333281E-3</c:v>
                </c:pt>
                <c:pt idx="20">
                  <c:v>1.7210851813977816E-3</c:v>
                </c:pt>
                <c:pt idx="21">
                  <c:v>1.8517668873695998E-3</c:v>
                </c:pt>
                <c:pt idx="22">
                  <c:v>1.9855983033749748E-3</c:v>
                </c:pt>
                <c:pt idx="23">
                  <c:v>2.1225069738164603E-3</c:v>
                </c:pt>
                <c:pt idx="24">
                  <c:v>2.2624252253746441E-3</c:v>
                </c:pt>
                <c:pt idx="25">
                  <c:v>2.4052896629206213E-3</c:v>
                </c:pt>
                <c:pt idx="26">
                  <c:v>2.5510407368316539E-3</c:v>
                </c:pt>
                <c:pt idx="27">
                  <c:v>2.6996223692079789E-3</c:v>
                </c:pt>
                <c:pt idx="28">
                  <c:v>2.850981629064729E-3</c:v>
                </c:pt>
                <c:pt idx="29">
                  <c:v>3.0050684485440921E-3</c:v>
                </c:pt>
                <c:pt idx="30">
                  <c:v>3.1618353737174931E-3</c:v>
                </c:pt>
                <c:pt idx="31">
                  <c:v>3.3212373447382318E-3</c:v>
                </c:pt>
                <c:pt idx="32">
                  <c:v>3.4832315010438694E-3</c:v>
                </c:pt>
                <c:pt idx="33">
                  <c:v>3.6477770080535132E-3</c:v>
                </c:pt>
                <c:pt idx="34">
                  <c:v>3.8148349024031973E-3</c:v>
                </c:pt>
                <c:pt idx="35">
                  <c:v>3.9843679532448918E-3</c:v>
                </c:pt>
                <c:pt idx="36">
                  <c:v>4.1563405375268326E-3</c:v>
                </c:pt>
                <c:pt idx="37">
                  <c:v>4.3307185274936502E-3</c:v>
                </c:pt>
                <c:pt idx="38">
                  <c:v>4.5074691889085408E-3</c:v>
                </c:pt>
                <c:pt idx="39">
                  <c:v>4.6865610887183821E-3</c:v>
                </c:pt>
                <c:pt idx="40">
                  <c:v>4.8679640110642023E-3</c:v>
                </c:pt>
                <c:pt idx="41">
                  <c:v>5.0516488806915403E-3</c:v>
                </c:pt>
                <c:pt idx="42">
                  <c:v>5.2375876929429957E-3</c:v>
                </c:pt>
                <c:pt idx="43">
                  <c:v>5.4257534496229215E-3</c:v>
                </c:pt>
                <c:pt idx="44">
                  <c:v>5.6161201001157937E-3</c:v>
                </c:pt>
                <c:pt idx="45">
                  <c:v>5.8086624872175103E-3</c:v>
                </c:pt>
                <c:pt idx="46">
                  <c:v>6.0033562972054274E-3</c:v>
                </c:pt>
                <c:pt idx="47">
                  <c:v>6.2001780137299596E-3</c:v>
                </c:pt>
                <c:pt idx="48">
                  <c:v>6.3991048751596566E-3</c:v>
                </c:pt>
                <c:pt idx="49">
                  <c:v>6.6001148350541845E-3</c:v>
                </c:pt>
                <c:pt idx="50">
                  <c:v>6.8031865254763067E-3</c:v>
                </c:pt>
                <c:pt idx="51">
                  <c:v>7.0082992228859163E-3</c:v>
                </c:pt>
                <c:pt idx="52">
                  <c:v>7.2154328163871575E-3</c:v>
                </c:pt>
                <c:pt idx="53">
                  <c:v>7.4245677781237538E-3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0A-4B91-92B4-382FBB52CFE8}"/>
            </c:ext>
          </c:extLst>
        </c:ser>
        <c:ser>
          <c:idx val="1"/>
          <c:order val="1"/>
          <c:tx>
            <c:strRef>
              <c:f>'calc 2'!$D$15</c:f>
              <c:strCache>
                <c:ptCount val="1"/>
                <c:pt idx="0">
                  <c:v>Swelling DeltaV/V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'calc 2'!$B$16:$B$69</c:f>
              <c:numCache>
                <c:formatCode>General</c:formatCode>
                <c:ptCount val="54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</c:numCache>
            </c:numRef>
          </c:xVal>
          <c:yVal>
            <c:numRef>
              <c:f>'calc 2'!$D$16:$D$69</c:f>
              <c:numCache>
                <c:formatCode>0.00000</c:formatCode>
                <c:ptCount val="54"/>
                <c:pt idx="0">
                  <c:v>0</c:v>
                </c:pt>
                <c:pt idx="1">
                  <c:v>6.0849550138302514E-5</c:v>
                </c:pt>
                <c:pt idx="2">
                  <c:v>1.7210851813977796E-4</c:v>
                </c:pt>
                <c:pt idx="3">
                  <c:v>3.161835373717493E-4</c:v>
                </c:pt>
                <c:pt idx="4">
                  <c:v>4.8679640110642033E-4</c:v>
                </c:pt>
                <c:pt idx="5">
                  <c:v>6.8031865254763123E-4</c:v>
                </c:pt>
                <c:pt idx="6">
                  <c:v>8.9430209350045556E-4</c:v>
                </c:pt>
                <c:pt idx="7">
                  <c:v>1.1269494393927311E-3</c:v>
                </c:pt>
                <c:pt idx="8">
                  <c:v>1.3768681451182244E-3</c:v>
                </c:pt>
                <c:pt idx="9">
                  <c:v>1.6429378537341681E-3</c:v>
                </c:pt>
                <c:pt idx="10">
                  <c:v>1.9242317303364974E-3</c:v>
                </c:pt>
                <c:pt idx="11">
                  <c:v>2.2199663911773482E-3</c:v>
                </c:pt>
                <c:pt idx="12">
                  <c:v>2.5294682989739927E-3</c:v>
                </c:pt>
                <c:pt idx="13">
                  <c:v>2.8521502504633635E-3</c:v>
                </c:pt>
                <c:pt idx="14">
                  <c:v>3.1874943625959081E-3</c:v>
                </c:pt>
                <c:pt idx="15">
                  <c:v>3.5350394146478792E-3</c:v>
                </c:pt>
                <c:pt idx="16">
                  <c:v>3.8943712088513566E-3</c:v>
                </c:pt>
                <c:pt idx="17">
                  <c:v>4.265115082356166E-3</c:v>
                </c:pt>
                <c:pt idx="18">
                  <c:v>4.6469299897740051E-3</c:v>
                </c:pt>
                <c:pt idx="19">
                  <c:v>5.0395037564426688E-3</c:v>
                </c:pt>
                <c:pt idx="20">
                  <c:v>5.4425492203810464E-3</c:v>
                </c:pt>
                <c:pt idx="21">
                  <c:v>5.8558010597684201E-3</c:v>
                </c:pt>
                <c:pt idx="22">
                  <c:v>6.279013156830918E-3</c:v>
                </c:pt>
                <c:pt idx="23">
                  <c:v>6.7119563868513824E-3</c:v>
                </c:pt>
                <c:pt idx="24">
                  <c:v>7.1544167480036471E-3</c:v>
                </c:pt>
                <c:pt idx="25">
                  <c:v>7.6061937672878112E-3</c:v>
                </c:pt>
                <c:pt idx="26">
                  <c:v>8.0670991322622197E-3</c:v>
                </c:pt>
                <c:pt idx="27">
                  <c:v>8.5369555090372227E-3</c:v>
                </c:pt>
                <c:pt idx="28">
                  <c:v>9.0155955151418436E-3</c:v>
                </c:pt>
                <c:pt idx="29">
                  <c:v>9.5028608221078316E-3</c:v>
                </c:pt>
                <c:pt idx="30">
                  <c:v>9.9986013674369656E-3</c:v>
                </c:pt>
                <c:pt idx="31">
                  <c:v>1.0502674659382656E-2</c:v>
                </c:pt>
                <c:pt idx="32">
                  <c:v>1.1014945160945797E-2</c:v>
                </c:pt>
                <c:pt idx="33">
                  <c:v>1.1535283741843474E-2</c:v>
                </c:pt>
                <c:pt idx="34">
                  <c:v>1.2063567189100248E-2</c:v>
                </c:pt>
                <c:pt idx="35">
                  <c:v>1.2599677768437128E-2</c:v>
                </c:pt>
                <c:pt idx="36">
                  <c:v>1.3143502829873335E-2</c:v>
                </c:pt>
                <c:pt idx="37">
                  <c:v>1.3694934451970467E-2</c:v>
                </c:pt>
                <c:pt idx="38">
                  <c:v>1.4253869119982762E-2</c:v>
                </c:pt>
                <c:pt idx="39">
                  <c:v>1.4820207433868535E-2</c:v>
                </c:pt>
                <c:pt idx="40">
                  <c:v>1.5393853842691981E-2</c:v>
                </c:pt>
                <c:pt idx="41">
                  <c:v>1.5974716402425454E-2</c:v>
                </c:pt>
                <c:pt idx="42">
                  <c:v>1.6562706554566473E-2</c:v>
                </c:pt>
                <c:pt idx="43">
                  <c:v>1.7157738923324083E-2</c:v>
                </c:pt>
                <c:pt idx="44">
                  <c:v>1.7759731129418775E-2</c:v>
                </c:pt>
                <c:pt idx="45">
                  <c:v>1.8368603618786027E-2</c:v>
                </c:pt>
                <c:pt idx="46">
                  <c:v>1.8984279504683885E-2</c:v>
                </c:pt>
                <c:pt idx="47">
                  <c:v>1.9606684421885404E-2</c:v>
                </c:pt>
                <c:pt idx="48">
                  <c:v>2.0235746391791945E-2</c:v>
                </c:pt>
                <c:pt idx="49">
                  <c:v>2.0871395697437751E-2</c:v>
                </c:pt>
                <c:pt idx="50">
                  <c:v>2.1513564767472258E-2</c:v>
                </c:pt>
                <c:pt idx="51">
                  <c:v>2.2162188068307543E-2</c:v>
                </c:pt>
                <c:pt idx="52">
                  <c:v>2.2817202003706918E-2</c:v>
                </c:pt>
                <c:pt idx="53">
                  <c:v>2.3478544821166725E-2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0A-4B91-92B4-382FBB52CFE8}"/>
            </c:ext>
          </c:extLst>
        </c:ser>
        <c:ser>
          <c:idx val="2"/>
          <c:order val="2"/>
          <c:tx>
            <c:strRef>
              <c:f>'calc 2'!$E$15</c:f>
              <c:strCache>
                <c:ptCount val="1"/>
                <c:pt idx="0">
                  <c:v>Swelling DeltaV/V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'calc 2'!$B$16:$B$69</c:f>
              <c:numCache>
                <c:formatCode>General</c:formatCode>
                <c:ptCount val="54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</c:numCache>
            </c:numRef>
          </c:xVal>
          <c:yVal>
            <c:numRef>
              <c:f>'calc 2'!$E$16:$E$69</c:f>
              <c:numCache>
                <c:formatCode>0.00000</c:formatCode>
                <c:ptCount val="54"/>
                <c:pt idx="0">
                  <c:v>0</c:v>
                </c:pt>
                <c:pt idx="1">
                  <c:v>1.9242317303364974E-4</c:v>
                </c:pt>
                <c:pt idx="2">
                  <c:v>5.4425492203810416E-4</c:v>
                </c:pt>
                <c:pt idx="3">
                  <c:v>9.9986013674369686E-4</c:v>
                </c:pt>
                <c:pt idx="4">
                  <c:v>1.5393853842691988E-3</c:v>
                </c:pt>
                <c:pt idx="5">
                  <c:v>2.1513564767472282E-3</c:v>
                </c:pt>
                <c:pt idx="6">
                  <c:v>2.8280315317183039E-3</c:v>
                </c:pt>
                <c:pt idx="7">
                  <c:v>3.5637270363309131E-3</c:v>
                </c:pt>
                <c:pt idx="8">
                  <c:v>4.354039376304835E-3</c:v>
                </c:pt>
                <c:pt idx="9">
                  <c:v>5.1954256719085445E-3</c:v>
                </c:pt>
                <c:pt idx="10">
                  <c:v>6.0849550138302516E-3</c:v>
                </c:pt>
                <c:pt idx="11">
                  <c:v>7.0201501251447463E-3</c:v>
                </c:pt>
                <c:pt idx="12">
                  <c:v>7.998881093949568E-3</c:v>
                </c:pt>
                <c:pt idx="13">
                  <c:v>9.0192910204839431E-3</c:v>
                </c:pt>
                <c:pt idx="14">
                  <c:v>1.0079742214749688E-2</c:v>
                </c:pt>
                <c:pt idx="15">
                  <c:v>1.1178776168755693E-2</c:v>
                </c:pt>
                <c:pt idx="16">
                  <c:v>1.2315083074153571E-2</c:v>
                </c:pt>
                <c:pt idx="17">
                  <c:v>1.348747814298212E-2</c:v>
                </c:pt>
                <c:pt idx="18">
                  <c:v>1.4694882895028813E-2</c:v>
                </c:pt>
                <c:pt idx="19">
                  <c:v>1.593631014733328E-2</c:v>
                </c:pt>
                <c:pt idx="20">
                  <c:v>1.7210851813977815E-2</c:v>
                </c:pt>
                <c:pt idx="21">
                  <c:v>1.8517668873695999E-2</c:v>
                </c:pt>
                <c:pt idx="22">
                  <c:v>1.9855983033749743E-2</c:v>
                </c:pt>
                <c:pt idx="23">
                  <c:v>2.1225069738164598E-2</c:v>
                </c:pt>
                <c:pt idx="24">
                  <c:v>2.2624252253746441E-2</c:v>
                </c:pt>
                <c:pt idx="25">
                  <c:v>2.4052896629206209E-2</c:v>
                </c:pt>
                <c:pt idx="26">
                  <c:v>2.5510407368316539E-2</c:v>
                </c:pt>
                <c:pt idx="27">
                  <c:v>2.6996223692079786E-2</c:v>
                </c:pt>
                <c:pt idx="28">
                  <c:v>2.8509816290647284E-2</c:v>
                </c:pt>
                <c:pt idx="29">
                  <c:v>3.0050684485440918E-2</c:v>
                </c:pt>
                <c:pt idx="30">
                  <c:v>3.1618353737174927E-2</c:v>
                </c:pt>
                <c:pt idx="31">
                  <c:v>3.3212373447382315E-2</c:v>
                </c:pt>
                <c:pt idx="32">
                  <c:v>3.4832315010438687E-2</c:v>
                </c:pt>
                <c:pt idx="33">
                  <c:v>3.6477770080535127E-2</c:v>
                </c:pt>
                <c:pt idx="34">
                  <c:v>3.8148349024031969E-2</c:v>
                </c:pt>
                <c:pt idx="35">
                  <c:v>3.9843679532448911E-2</c:v>
                </c:pt>
                <c:pt idx="36">
                  <c:v>4.1563405375268328E-2</c:v>
                </c:pt>
                <c:pt idx="37">
                  <c:v>4.3307185274936495E-2</c:v>
                </c:pt>
                <c:pt idx="38">
                  <c:v>4.507469188908541E-2</c:v>
                </c:pt>
                <c:pt idx="39">
                  <c:v>4.6865610887183815E-2</c:v>
                </c:pt>
                <c:pt idx="40">
                  <c:v>4.867964011064202E-2</c:v>
                </c:pt>
                <c:pt idx="41">
                  <c:v>5.0516488806915394E-2</c:v>
                </c:pt>
                <c:pt idx="42">
                  <c:v>5.2375876929429951E-2</c:v>
                </c:pt>
                <c:pt idx="43">
                  <c:v>5.4257534496229207E-2</c:v>
                </c:pt>
                <c:pt idx="44">
                  <c:v>5.6161201001157929E-2</c:v>
                </c:pt>
                <c:pt idx="45">
                  <c:v>5.8086624872175099E-2</c:v>
                </c:pt>
                <c:pt idx="46">
                  <c:v>6.0033562972054269E-2</c:v>
                </c:pt>
                <c:pt idx="47">
                  <c:v>6.2001780137299595E-2</c:v>
                </c:pt>
                <c:pt idx="48">
                  <c:v>6.3991048751596558E-2</c:v>
                </c:pt>
                <c:pt idx="49">
                  <c:v>6.6001148350541841E-2</c:v>
                </c:pt>
                <c:pt idx="50">
                  <c:v>6.8031865254763055E-2</c:v>
                </c:pt>
                <c:pt idx="51">
                  <c:v>7.0082992228859151E-2</c:v>
                </c:pt>
                <c:pt idx="52">
                  <c:v>7.2154328163871573E-2</c:v>
                </c:pt>
                <c:pt idx="53">
                  <c:v>7.4245677781237529E-2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0A-4B91-92B4-382FBB52CFE8}"/>
            </c:ext>
          </c:extLst>
        </c:ser>
        <c:ser>
          <c:idx val="3"/>
          <c:order val="3"/>
          <c:tx>
            <c:strRef>
              <c:f>'calc 2'!$F$15</c:f>
              <c:strCache>
                <c:ptCount val="1"/>
                <c:pt idx="0">
                  <c:v>Swelling DeltaV/V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'calc 2'!$B$16:$B$69</c:f>
              <c:numCache>
                <c:formatCode>General</c:formatCode>
                <c:ptCount val="54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</c:numCache>
            </c:numRef>
          </c:xVal>
          <c:yVal>
            <c:numRef>
              <c:f>'calc 2'!$F$16:$F$69</c:f>
              <c:numCache>
                <c:formatCode>0.00000</c:formatCode>
                <c:ptCount val="54"/>
                <c:pt idx="0">
                  <c:v>0</c:v>
                </c:pt>
                <c:pt idx="1">
                  <c:v>6.0849550138302511E-6</c:v>
                </c:pt>
                <c:pt idx="2">
                  <c:v>1.7210851813977796E-5</c:v>
                </c:pt>
                <c:pt idx="3">
                  <c:v>3.1618353737174929E-5</c:v>
                </c:pt>
                <c:pt idx="4">
                  <c:v>4.8679640110642029E-5</c:v>
                </c:pt>
                <c:pt idx="5">
                  <c:v>6.8031865254763129E-5</c:v>
                </c:pt>
                <c:pt idx="6">
                  <c:v>8.9430209350045562E-5</c:v>
                </c:pt>
                <c:pt idx="7">
                  <c:v>1.1269494393927312E-4</c:v>
                </c:pt>
                <c:pt idx="8">
                  <c:v>1.3768681451182242E-4</c:v>
                </c:pt>
                <c:pt idx="9">
                  <c:v>1.6429378537341681E-4</c:v>
                </c:pt>
                <c:pt idx="10">
                  <c:v>1.9242317303364974E-4</c:v>
                </c:pt>
                <c:pt idx="11">
                  <c:v>2.2199663911773483E-4</c:v>
                </c:pt>
                <c:pt idx="12">
                  <c:v>2.5294682989739927E-4</c:v>
                </c:pt>
                <c:pt idx="13">
                  <c:v>2.8521502504633633E-4</c:v>
                </c:pt>
                <c:pt idx="14">
                  <c:v>3.187494362595908E-4</c:v>
                </c:pt>
                <c:pt idx="15">
                  <c:v>3.5350394146478788E-4</c:v>
                </c:pt>
                <c:pt idx="16">
                  <c:v>3.8943712088513563E-4</c:v>
                </c:pt>
                <c:pt idx="17">
                  <c:v>4.2651150823561654E-4</c:v>
                </c:pt>
                <c:pt idx="18">
                  <c:v>4.6469299897740053E-4</c:v>
                </c:pt>
                <c:pt idx="19">
                  <c:v>5.0395037564426686E-4</c:v>
                </c:pt>
                <c:pt idx="20">
                  <c:v>5.442549220381047E-4</c:v>
                </c:pt>
                <c:pt idx="21">
                  <c:v>5.8558010597684204E-4</c:v>
                </c:pt>
                <c:pt idx="22">
                  <c:v>6.279013156830918E-4</c:v>
                </c:pt>
                <c:pt idx="23">
                  <c:v>6.7119563868513828E-4</c:v>
                </c:pt>
                <c:pt idx="24">
                  <c:v>7.1544167480036471E-4</c:v>
                </c:pt>
                <c:pt idx="25">
                  <c:v>7.6061937672878112E-4</c:v>
                </c:pt>
                <c:pt idx="26">
                  <c:v>8.0670991322622204E-4</c:v>
                </c:pt>
                <c:pt idx="27">
                  <c:v>8.5369555090372229E-4</c:v>
                </c:pt>
                <c:pt idx="28">
                  <c:v>9.0155955151418438E-4</c:v>
                </c:pt>
                <c:pt idx="29">
                  <c:v>9.5028608221078327E-4</c:v>
                </c:pt>
                <c:pt idx="30">
                  <c:v>9.9986013674369665E-4</c:v>
                </c:pt>
                <c:pt idx="31">
                  <c:v>1.0502674659382655E-3</c:v>
                </c:pt>
                <c:pt idx="32">
                  <c:v>1.1014945160945798E-3</c:v>
                </c:pt>
                <c:pt idx="33">
                  <c:v>1.1535283741843474E-3</c:v>
                </c:pt>
                <c:pt idx="34">
                  <c:v>1.2063567189100248E-3</c:v>
                </c:pt>
                <c:pt idx="35">
                  <c:v>1.2599677768437129E-3</c:v>
                </c:pt>
                <c:pt idx="36">
                  <c:v>1.3143502829873336E-3</c:v>
                </c:pt>
                <c:pt idx="37">
                  <c:v>1.3694934451970468E-3</c:v>
                </c:pt>
                <c:pt idx="38">
                  <c:v>1.4253869119982762E-3</c:v>
                </c:pt>
                <c:pt idx="39">
                  <c:v>1.4820207433868535E-3</c:v>
                </c:pt>
                <c:pt idx="40">
                  <c:v>1.5393853842691982E-3</c:v>
                </c:pt>
                <c:pt idx="41">
                  <c:v>1.5974716402425454E-3</c:v>
                </c:pt>
                <c:pt idx="42">
                  <c:v>1.6562706554566473E-3</c:v>
                </c:pt>
                <c:pt idx="43">
                  <c:v>1.7157738923324081E-3</c:v>
                </c:pt>
                <c:pt idx="44">
                  <c:v>1.7759731129418773E-3</c:v>
                </c:pt>
                <c:pt idx="45">
                  <c:v>1.8368603618786024E-3</c:v>
                </c:pt>
                <c:pt idx="46">
                  <c:v>1.8984279504683883E-3</c:v>
                </c:pt>
                <c:pt idx="47">
                  <c:v>1.9606684421885406E-3</c:v>
                </c:pt>
                <c:pt idx="48">
                  <c:v>2.0235746391791946E-3</c:v>
                </c:pt>
                <c:pt idx="49">
                  <c:v>2.0871395697437752E-3</c:v>
                </c:pt>
                <c:pt idx="50">
                  <c:v>2.1513564767472256E-3</c:v>
                </c:pt>
                <c:pt idx="51">
                  <c:v>2.2162188068307544E-3</c:v>
                </c:pt>
                <c:pt idx="52">
                  <c:v>2.2817202003706919E-3</c:v>
                </c:pt>
                <c:pt idx="53">
                  <c:v>2.3478544821166725E-3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0A-4B91-92B4-382FBB52CFE8}"/>
            </c:ext>
          </c:extLst>
        </c:ser>
        <c:ser>
          <c:idx val="4"/>
          <c:order val="4"/>
          <c:tx>
            <c:strRef>
              <c:f>'calc 2'!$G$15</c:f>
              <c:strCache>
                <c:ptCount val="1"/>
                <c:pt idx="0">
                  <c:v>Swelling DeltaV/V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'calc 2'!$B$16:$B$69</c:f>
              <c:numCache>
                <c:formatCode>General</c:formatCode>
                <c:ptCount val="54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</c:numCache>
            </c:numRef>
          </c:xVal>
          <c:yVal>
            <c:numRef>
              <c:f>'calc 2'!$G$16:$G$69</c:f>
              <c:numCache>
                <c:formatCode>0.00000</c:formatCode>
                <c:ptCount val="54"/>
                <c:pt idx="0">
                  <c:v>0</c:v>
                </c:pt>
                <c:pt idx="1">
                  <c:v>1.9242317303364972E-6</c:v>
                </c:pt>
                <c:pt idx="2">
                  <c:v>5.4425492203810414E-6</c:v>
                </c:pt>
                <c:pt idx="3">
                  <c:v>9.9986013674369672E-6</c:v>
                </c:pt>
                <c:pt idx="4">
                  <c:v>1.5393853842691988E-5</c:v>
                </c:pt>
                <c:pt idx="5">
                  <c:v>2.1513564767472279E-5</c:v>
                </c:pt>
                <c:pt idx="6">
                  <c:v>2.8280315317183039E-5</c:v>
                </c:pt>
                <c:pt idx="7">
                  <c:v>3.5637270363309124E-5</c:v>
                </c:pt>
                <c:pt idx="8">
                  <c:v>4.3540393763048351E-5</c:v>
                </c:pt>
                <c:pt idx="9">
                  <c:v>5.195425671908544E-5</c:v>
                </c:pt>
                <c:pt idx="10">
                  <c:v>6.0849550138302507E-5</c:v>
                </c:pt>
                <c:pt idx="11">
                  <c:v>7.0201501251447454E-5</c:v>
                </c:pt>
                <c:pt idx="12">
                  <c:v>7.9988810939495683E-5</c:v>
                </c:pt>
                <c:pt idx="13">
                  <c:v>9.0192910204839417E-5</c:v>
                </c:pt>
                <c:pt idx="14">
                  <c:v>1.0079742214749688E-4</c:v>
                </c:pt>
                <c:pt idx="15">
                  <c:v>1.1178776168755692E-4</c:v>
                </c:pt>
                <c:pt idx="16">
                  <c:v>1.2315083074153571E-4</c:v>
                </c:pt>
                <c:pt idx="17">
                  <c:v>1.3487478142982121E-4</c:v>
                </c:pt>
                <c:pt idx="18">
                  <c:v>1.4694882895028812E-4</c:v>
                </c:pt>
                <c:pt idx="19">
                  <c:v>1.5936310147333279E-4</c:v>
                </c:pt>
                <c:pt idx="20">
                  <c:v>1.7210851813977813E-4</c:v>
                </c:pt>
                <c:pt idx="21">
                  <c:v>1.8517668873695996E-4</c:v>
                </c:pt>
                <c:pt idx="22">
                  <c:v>1.9855983033749742E-4</c:v>
                </c:pt>
                <c:pt idx="23">
                  <c:v>2.1225069738164598E-4</c:v>
                </c:pt>
                <c:pt idx="24">
                  <c:v>2.262425225374644E-4</c:v>
                </c:pt>
                <c:pt idx="25">
                  <c:v>2.405289662920621E-4</c:v>
                </c:pt>
                <c:pt idx="26">
                  <c:v>2.5510407368316539E-4</c:v>
                </c:pt>
                <c:pt idx="27">
                  <c:v>2.6996223692079787E-4</c:v>
                </c:pt>
                <c:pt idx="28">
                  <c:v>2.8509816290647283E-4</c:v>
                </c:pt>
                <c:pt idx="29">
                  <c:v>3.0050684485440917E-4</c:v>
                </c:pt>
                <c:pt idx="30">
                  <c:v>3.1618353737174925E-4</c:v>
                </c:pt>
                <c:pt idx="31">
                  <c:v>3.3212373447382316E-4</c:v>
                </c:pt>
                <c:pt idx="32">
                  <c:v>3.4832315010438687E-4</c:v>
                </c:pt>
                <c:pt idx="33">
                  <c:v>3.647777008053513E-4</c:v>
                </c:pt>
                <c:pt idx="34">
                  <c:v>3.8148349024031965E-4</c:v>
                </c:pt>
                <c:pt idx="35">
                  <c:v>3.9843679532448905E-4</c:v>
                </c:pt>
                <c:pt idx="36">
                  <c:v>4.156340537526832E-4</c:v>
                </c:pt>
                <c:pt idx="37">
                  <c:v>4.3307185274936498E-4</c:v>
                </c:pt>
                <c:pt idx="38">
                  <c:v>4.5074691889085406E-4</c:v>
                </c:pt>
                <c:pt idx="39">
                  <c:v>4.6865610887183811E-4</c:v>
                </c:pt>
                <c:pt idx="40">
                  <c:v>4.8679640110642017E-4</c:v>
                </c:pt>
                <c:pt idx="41">
                  <c:v>5.0516488806915392E-4</c:v>
                </c:pt>
                <c:pt idx="42">
                  <c:v>5.2375876929429952E-4</c:v>
                </c:pt>
                <c:pt idx="43">
                  <c:v>5.4257534496229202E-4</c:v>
                </c:pt>
                <c:pt idx="44">
                  <c:v>5.6161201001157931E-4</c:v>
                </c:pt>
                <c:pt idx="45">
                  <c:v>5.8086624872175096E-4</c:v>
                </c:pt>
                <c:pt idx="46">
                  <c:v>6.0033562972054266E-4</c:v>
                </c:pt>
                <c:pt idx="47">
                  <c:v>6.200178013729959E-4</c:v>
                </c:pt>
                <c:pt idx="48">
                  <c:v>6.3991048751596558E-4</c:v>
                </c:pt>
                <c:pt idx="49">
                  <c:v>6.6001148350541827E-4</c:v>
                </c:pt>
                <c:pt idx="50">
                  <c:v>6.8031865254763058E-4</c:v>
                </c:pt>
                <c:pt idx="51">
                  <c:v>7.0082992228859145E-4</c:v>
                </c:pt>
                <c:pt idx="52">
                  <c:v>7.2154328163871566E-4</c:v>
                </c:pt>
                <c:pt idx="53">
                  <c:v>7.4245677781237533E-4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50A-4B91-92B4-382FBB52C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761800"/>
        <c:axId val="725764752"/>
      </c:scatterChart>
      <c:valAx>
        <c:axId val="725761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4752"/>
        <c:crosses val="autoZero"/>
        <c:crossBetween val="midCat"/>
      </c:valAx>
      <c:valAx>
        <c:axId val="72576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761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'NE270 Homework '!$J$2</c:f>
              <c:strCache>
                <c:ptCount val="1"/>
                <c:pt idx="0">
                  <c:v>normalised flux per lethargy (5:1 mod to fuel)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'!$I$3:$I$2002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'!$J$3:$J$2002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3.4828667590758302E-3</c:v>
                </c:pt>
                <c:pt idx="179">
                  <c:v>6.6287437296094908E-5</c:v>
                </c:pt>
                <c:pt idx="180">
                  <c:v>6.9904393582343854E-5</c:v>
                </c:pt>
                <c:pt idx="181">
                  <c:v>7.6315843058984376E-5</c:v>
                </c:pt>
                <c:pt idx="182">
                  <c:v>7.3563413691147446E-5</c:v>
                </c:pt>
                <c:pt idx="183">
                  <c:v>7.2676346243349604E-5</c:v>
                </c:pt>
                <c:pt idx="184">
                  <c:v>7.8201793179092413E-5</c:v>
                </c:pt>
                <c:pt idx="185">
                  <c:v>9.0002204023777321E-5</c:v>
                </c:pt>
                <c:pt idx="186">
                  <c:v>8.5215447507749339E-5</c:v>
                </c:pt>
                <c:pt idx="187">
                  <c:v>8.7161564867713993E-5</c:v>
                </c:pt>
                <c:pt idx="188">
                  <c:v>7.8826538560494643E-5</c:v>
                </c:pt>
                <c:pt idx="189">
                  <c:v>9.4222075099976131E-5</c:v>
                </c:pt>
                <c:pt idx="190">
                  <c:v>1.1742905872078587E-4</c:v>
                </c:pt>
                <c:pt idx="191">
                  <c:v>1.0503371988790197E-4</c:v>
                </c:pt>
                <c:pt idx="192">
                  <c:v>8.4495570443269942E-5</c:v>
                </c:pt>
                <c:pt idx="193">
                  <c:v>9.1418530200933557E-5</c:v>
                </c:pt>
                <c:pt idx="194">
                  <c:v>8.208692851968761E-5</c:v>
                </c:pt>
                <c:pt idx="195">
                  <c:v>1.1242506119713392E-4</c:v>
                </c:pt>
                <c:pt idx="196">
                  <c:v>9.874934930134215E-5</c:v>
                </c:pt>
                <c:pt idx="197">
                  <c:v>1.0378121188888051E-4</c:v>
                </c:pt>
                <c:pt idx="198">
                  <c:v>9.0130347820758123E-5</c:v>
                </c:pt>
                <c:pt idx="199">
                  <c:v>1.1382399389492156E-4</c:v>
                </c:pt>
                <c:pt idx="200">
                  <c:v>1.1697185869166878E-4</c:v>
                </c:pt>
                <c:pt idx="201">
                  <c:v>1.0828718795224418E-4</c:v>
                </c:pt>
                <c:pt idx="202">
                  <c:v>1.3840612729274965E-4</c:v>
                </c:pt>
                <c:pt idx="203">
                  <c:v>1.2605160989103694E-4</c:v>
                </c:pt>
                <c:pt idx="204">
                  <c:v>1.2207240777426469E-4</c:v>
                </c:pt>
                <c:pt idx="205">
                  <c:v>1.3682278821675837E-4</c:v>
                </c:pt>
                <c:pt idx="206">
                  <c:v>1.3258002164220702E-4</c:v>
                </c:pt>
                <c:pt idx="207">
                  <c:v>1.2874085478280022E-4</c:v>
                </c:pt>
                <c:pt idx="208">
                  <c:v>1.199097593446095E-4</c:v>
                </c:pt>
                <c:pt idx="209">
                  <c:v>1.6631946695862853E-4</c:v>
                </c:pt>
                <c:pt idx="210">
                  <c:v>1.3308354512147925E-4</c:v>
                </c:pt>
                <c:pt idx="211">
                  <c:v>1.4706133560793766E-4</c:v>
                </c:pt>
                <c:pt idx="212">
                  <c:v>1.6493278069019225E-4</c:v>
                </c:pt>
                <c:pt idx="213">
                  <c:v>1.735588815501104E-4</c:v>
                </c:pt>
                <c:pt idx="214">
                  <c:v>1.4745410876959767E-4</c:v>
                </c:pt>
                <c:pt idx="215">
                  <c:v>1.7966221796365025E-4</c:v>
                </c:pt>
                <c:pt idx="216">
                  <c:v>2.0374508750980658E-4</c:v>
                </c:pt>
                <c:pt idx="217">
                  <c:v>1.5740122663911152E-4</c:v>
                </c:pt>
                <c:pt idx="218">
                  <c:v>1.918341038319928E-4</c:v>
                </c:pt>
                <c:pt idx="219">
                  <c:v>1.9728642716059422E-4</c:v>
                </c:pt>
                <c:pt idx="220">
                  <c:v>1.9001488787762549E-4</c:v>
                </c:pt>
                <c:pt idx="221">
                  <c:v>1.8207245724758276E-4</c:v>
                </c:pt>
                <c:pt idx="222">
                  <c:v>2.0352145706078193E-4</c:v>
                </c:pt>
                <c:pt idx="223">
                  <c:v>1.8072002548443359E-4</c:v>
                </c:pt>
                <c:pt idx="224">
                  <c:v>1.8158614976319579E-4</c:v>
                </c:pt>
                <c:pt idx="225">
                  <c:v>2.0922580835574446E-4</c:v>
                </c:pt>
                <c:pt idx="226">
                  <c:v>2.3298920583186559E-4</c:v>
                </c:pt>
                <c:pt idx="227">
                  <c:v>2.7379111370986608E-4</c:v>
                </c:pt>
                <c:pt idx="228">
                  <c:v>2.3264133624449387E-4</c:v>
                </c:pt>
                <c:pt idx="229">
                  <c:v>2.3983655719962089E-4</c:v>
                </c:pt>
                <c:pt idx="230">
                  <c:v>2.3251532226131337E-4</c:v>
                </c:pt>
                <c:pt idx="231">
                  <c:v>2.5233678936216632E-4</c:v>
                </c:pt>
                <c:pt idx="232">
                  <c:v>2.3961292675059618E-4</c:v>
                </c:pt>
                <c:pt idx="233">
                  <c:v>2.5453759695574243E-4</c:v>
                </c:pt>
                <c:pt idx="234">
                  <c:v>2.9858569603426758E-4</c:v>
                </c:pt>
                <c:pt idx="235">
                  <c:v>2.7132407939126063E-4</c:v>
                </c:pt>
                <c:pt idx="236">
                  <c:v>2.9257252173827097E-4</c:v>
                </c:pt>
                <c:pt idx="237">
                  <c:v>3.118153894233935E-4</c:v>
                </c:pt>
                <c:pt idx="238">
                  <c:v>3.3541727601966352E-4</c:v>
                </c:pt>
                <c:pt idx="239">
                  <c:v>2.9174189435617943E-4</c:v>
                </c:pt>
                <c:pt idx="240">
                  <c:v>3.4012948905268327E-4</c:v>
                </c:pt>
                <c:pt idx="241">
                  <c:v>3.3483867660393299E-4</c:v>
                </c:pt>
                <c:pt idx="242">
                  <c:v>4.2110500973761497E-4</c:v>
                </c:pt>
                <c:pt idx="243">
                  <c:v>3.8386521544050739E-4</c:v>
                </c:pt>
                <c:pt idx="244">
                  <c:v>3.7664159696804394E-4</c:v>
                </c:pt>
                <c:pt idx="245">
                  <c:v>3.2940232687883342E-4</c:v>
                </c:pt>
                <c:pt idx="246">
                  <c:v>4.1985374412997691E-4</c:v>
                </c:pt>
                <c:pt idx="247">
                  <c:v>3.594415756863134E-4</c:v>
                </c:pt>
                <c:pt idx="248">
                  <c:v>3.9599627987767878E-4</c:v>
                </c:pt>
                <c:pt idx="249">
                  <c:v>4.141014720245091E-4</c:v>
                </c:pt>
                <c:pt idx="250">
                  <c:v>4.431858543115505E-4</c:v>
                </c:pt>
                <c:pt idx="251">
                  <c:v>4.6802480775679032E-4</c:v>
                </c:pt>
                <c:pt idx="252">
                  <c:v>4.4071172061361093E-4</c:v>
                </c:pt>
                <c:pt idx="253">
                  <c:v>4.4550912619864005E-4</c:v>
                </c:pt>
                <c:pt idx="254">
                  <c:v>4.2206520079255419E-4</c:v>
                </c:pt>
                <c:pt idx="255">
                  <c:v>4.543656019179503E-4</c:v>
                </c:pt>
                <c:pt idx="256">
                  <c:v>5.0641470150602466E-4</c:v>
                </c:pt>
                <c:pt idx="257">
                  <c:v>4.7911758796634709E-4</c:v>
                </c:pt>
                <c:pt idx="258">
                  <c:v>5.2029221325938877E-4</c:v>
                </c:pt>
                <c:pt idx="259">
                  <c:v>5.4419404863252521E-4</c:v>
                </c:pt>
                <c:pt idx="260">
                  <c:v>5.4420647254635978E-4</c:v>
                </c:pt>
                <c:pt idx="261">
                  <c:v>5.5427516728697042E-4</c:v>
                </c:pt>
                <c:pt idx="262">
                  <c:v>5.4653506896794996E-4</c:v>
                </c:pt>
                <c:pt idx="263">
                  <c:v>5.7294653493569661E-4</c:v>
                </c:pt>
                <c:pt idx="264">
                  <c:v>5.8126700751528094E-4</c:v>
                </c:pt>
                <c:pt idx="265">
                  <c:v>5.8564909940926428E-4</c:v>
                </c:pt>
                <c:pt idx="266">
                  <c:v>7.128682022317967E-4</c:v>
                </c:pt>
                <c:pt idx="267">
                  <c:v>6.3199917223687673E-4</c:v>
                </c:pt>
                <c:pt idx="268">
                  <c:v>6.3656939768321407E-4</c:v>
                </c:pt>
                <c:pt idx="269">
                  <c:v>7.9901207107196514E-4</c:v>
                </c:pt>
                <c:pt idx="270">
                  <c:v>7.3938970857922212E-4</c:v>
                </c:pt>
                <c:pt idx="271">
                  <c:v>7.4889400266277045E-4</c:v>
                </c:pt>
                <c:pt idx="272">
                  <c:v>7.6253546005327505E-4</c:v>
                </c:pt>
                <c:pt idx="273">
                  <c:v>7.5182072179325987E-4</c:v>
                </c:pt>
                <c:pt idx="274">
                  <c:v>7.5861305297117584E-4</c:v>
                </c:pt>
                <c:pt idx="275">
                  <c:v>8.1903409563900686E-4</c:v>
                </c:pt>
                <c:pt idx="276">
                  <c:v>8.5277034623472804E-4</c:v>
                </c:pt>
                <c:pt idx="277">
                  <c:v>7.7639877304797077E-4</c:v>
                </c:pt>
                <c:pt idx="278">
                  <c:v>8.474404871996402E-4</c:v>
                </c:pt>
                <c:pt idx="279">
                  <c:v>9.0040185703214859E-4</c:v>
                </c:pt>
                <c:pt idx="280">
                  <c:v>9.2621342544616219E-4</c:v>
                </c:pt>
                <c:pt idx="281">
                  <c:v>9.0757045531477266E-4</c:v>
                </c:pt>
                <c:pt idx="282">
                  <c:v>9.2448827626797193E-4</c:v>
                </c:pt>
                <c:pt idx="283">
                  <c:v>1.0041291136380899E-3</c:v>
                </c:pt>
                <c:pt idx="284">
                  <c:v>1.0205996736932397E-3</c:v>
                </c:pt>
                <c:pt idx="285">
                  <c:v>9.7836546603458107E-4</c:v>
                </c:pt>
                <c:pt idx="286">
                  <c:v>9.8963218103782411E-4</c:v>
                </c:pt>
                <c:pt idx="287">
                  <c:v>1.0963731241710978E-3</c:v>
                </c:pt>
                <c:pt idx="288">
                  <c:v>1.1327343702756084E-3</c:v>
                </c:pt>
                <c:pt idx="289">
                  <c:v>1.063927185769352E-3</c:v>
                </c:pt>
                <c:pt idx="290">
                  <c:v>1.1780301852721046E-3</c:v>
                </c:pt>
                <c:pt idx="291">
                  <c:v>1.2043032133428359E-3</c:v>
                </c:pt>
                <c:pt idx="292">
                  <c:v>1.2127106533192631E-3</c:v>
                </c:pt>
                <c:pt idx="293">
                  <c:v>1.1592683005368684E-3</c:v>
                </c:pt>
                <c:pt idx="294">
                  <c:v>1.2696334768202086E-3</c:v>
                </c:pt>
                <c:pt idx="295">
                  <c:v>1.3093065833840844E-3</c:v>
                </c:pt>
                <c:pt idx="296">
                  <c:v>1.2771037987245326E-3</c:v>
                </c:pt>
                <c:pt idx="297">
                  <c:v>1.3044239852470459E-3</c:v>
                </c:pt>
                <c:pt idx="298">
                  <c:v>1.387832818198746E-3</c:v>
                </c:pt>
                <c:pt idx="299">
                  <c:v>1.4215814927083018E-3</c:v>
                </c:pt>
                <c:pt idx="300">
                  <c:v>1.5695645052382909E-3</c:v>
                </c:pt>
                <c:pt idx="301">
                  <c:v>1.5395483294136469E-3</c:v>
                </c:pt>
                <c:pt idx="302">
                  <c:v>1.6191394711284261E-3</c:v>
                </c:pt>
                <c:pt idx="303">
                  <c:v>1.5633081772001012E-3</c:v>
                </c:pt>
                <c:pt idx="304">
                  <c:v>1.7181119184253425E-3</c:v>
                </c:pt>
                <c:pt idx="305">
                  <c:v>1.7423971202825215E-3</c:v>
                </c:pt>
                <c:pt idx="306">
                  <c:v>1.7182219588050215E-3</c:v>
                </c:pt>
                <c:pt idx="307">
                  <c:v>1.8581383015666209E-3</c:v>
                </c:pt>
                <c:pt idx="308">
                  <c:v>1.7645631574084663E-3</c:v>
                </c:pt>
                <c:pt idx="309">
                  <c:v>1.8580140624282738E-3</c:v>
                </c:pt>
                <c:pt idx="310">
                  <c:v>1.8422001949615298E-3</c:v>
                </c:pt>
                <c:pt idx="311">
                  <c:v>1.8490865929156226E-3</c:v>
                </c:pt>
                <c:pt idx="312">
                  <c:v>1.9694033241805606E-3</c:v>
                </c:pt>
                <c:pt idx="313">
                  <c:v>2.0839340612881932E-3</c:v>
                </c:pt>
                <c:pt idx="314">
                  <c:v>2.1561702460128275E-3</c:v>
                </c:pt>
                <c:pt idx="315">
                  <c:v>2.135209328528849E-3</c:v>
                </c:pt>
                <c:pt idx="316">
                  <c:v>2.3278509867600975E-3</c:v>
                </c:pt>
                <c:pt idx="317">
                  <c:v>2.3426531926717302E-3</c:v>
                </c:pt>
                <c:pt idx="318">
                  <c:v>2.3362105059260194E-3</c:v>
                </c:pt>
                <c:pt idx="319">
                  <c:v>2.3753635829536716E-3</c:v>
                </c:pt>
                <c:pt idx="320">
                  <c:v>2.4125288337677711E-3</c:v>
                </c:pt>
                <c:pt idx="321">
                  <c:v>2.4100263025524948E-3</c:v>
                </c:pt>
                <c:pt idx="322">
                  <c:v>2.4515931685537467E-3</c:v>
                </c:pt>
                <c:pt idx="323">
                  <c:v>2.6554695945812342E-3</c:v>
                </c:pt>
                <c:pt idx="324">
                  <c:v>2.7274750494775098E-3</c:v>
                </c:pt>
                <c:pt idx="325">
                  <c:v>2.809774604408254E-3</c:v>
                </c:pt>
                <c:pt idx="326">
                  <c:v>2.9207024065038231E-3</c:v>
                </c:pt>
                <c:pt idx="327">
                  <c:v>3.0011916197043675E-3</c:v>
                </c:pt>
                <c:pt idx="328">
                  <c:v>2.9952458895120453E-3</c:v>
                </c:pt>
                <c:pt idx="329">
                  <c:v>3.0138640118157652E-3</c:v>
                </c:pt>
                <c:pt idx="330">
                  <c:v>3.1293531651335037E-3</c:v>
                </c:pt>
                <c:pt idx="331">
                  <c:v>3.2315664790964448E-3</c:v>
                </c:pt>
                <c:pt idx="332">
                  <c:v>3.3740510223321612E-3</c:v>
                </c:pt>
                <c:pt idx="333">
                  <c:v>3.3162443261041184E-3</c:v>
                </c:pt>
                <c:pt idx="334">
                  <c:v>3.3949231975744635E-3</c:v>
                </c:pt>
                <c:pt idx="335">
                  <c:v>3.4791040880287481E-3</c:v>
                </c:pt>
                <c:pt idx="336">
                  <c:v>3.5681125564302331E-3</c:v>
                </c:pt>
                <c:pt idx="337">
                  <c:v>3.6798922840458955E-3</c:v>
                </c:pt>
                <c:pt idx="338">
                  <c:v>3.8004752420358629E-3</c:v>
                </c:pt>
                <c:pt idx="339">
                  <c:v>3.6435434618552194E-3</c:v>
                </c:pt>
                <c:pt idx="340">
                  <c:v>4.0287557845243753E-3</c:v>
                </c:pt>
                <c:pt idx="341">
                  <c:v>4.2938466088602821E-3</c:v>
                </c:pt>
                <c:pt idx="342">
                  <c:v>4.1585501872003581E-3</c:v>
                </c:pt>
                <c:pt idx="343">
                  <c:v>4.2196758432671002E-3</c:v>
                </c:pt>
                <c:pt idx="344">
                  <c:v>4.4323022543238874E-3</c:v>
                </c:pt>
                <c:pt idx="345">
                  <c:v>4.5778572791216089E-3</c:v>
                </c:pt>
                <c:pt idx="346">
                  <c:v>4.7041374890272047E-3</c:v>
                </c:pt>
                <c:pt idx="347">
                  <c:v>4.7786987204837626E-3</c:v>
                </c:pt>
                <c:pt idx="348">
                  <c:v>4.6387167084633212E-3</c:v>
                </c:pt>
                <c:pt idx="349">
                  <c:v>5.1852091811552675E-3</c:v>
                </c:pt>
                <c:pt idx="350">
                  <c:v>5.104684471058051E-3</c:v>
                </c:pt>
                <c:pt idx="351">
                  <c:v>5.3232921092038303E-3</c:v>
                </c:pt>
                <c:pt idx="352">
                  <c:v>5.2231731121444537E-3</c:v>
                </c:pt>
                <c:pt idx="353">
                  <c:v>5.579526457820427E-3</c:v>
                </c:pt>
                <c:pt idx="354">
                  <c:v>5.5010605677301054E-3</c:v>
                </c:pt>
                <c:pt idx="355">
                  <c:v>5.8589402799629131E-3</c:v>
                </c:pt>
                <c:pt idx="356">
                  <c:v>6.1176061660014446E-3</c:v>
                </c:pt>
                <c:pt idx="357">
                  <c:v>6.0391757728077934E-3</c:v>
                </c:pt>
                <c:pt idx="358">
                  <c:v>6.122415995500308E-3</c:v>
                </c:pt>
                <c:pt idx="359">
                  <c:v>6.2027277242175001E-3</c:v>
                </c:pt>
                <c:pt idx="360">
                  <c:v>6.5142662378468632E-3</c:v>
                </c:pt>
                <c:pt idx="361">
                  <c:v>6.8159898595468102E-3</c:v>
                </c:pt>
                <c:pt idx="362">
                  <c:v>6.8061749676173941E-3</c:v>
                </c:pt>
                <c:pt idx="363">
                  <c:v>7.2692497331334725E-3</c:v>
                </c:pt>
                <c:pt idx="364">
                  <c:v>7.0318819850972904E-3</c:v>
                </c:pt>
                <c:pt idx="365">
                  <c:v>7.489649964561116E-3</c:v>
                </c:pt>
                <c:pt idx="366">
                  <c:v>7.5705118951767021E-3</c:v>
                </c:pt>
                <c:pt idx="367">
                  <c:v>7.8092285252863644E-3</c:v>
                </c:pt>
                <c:pt idx="368">
                  <c:v>8.1176078151120462E-3</c:v>
                </c:pt>
                <c:pt idx="369">
                  <c:v>8.0244462098001037E-3</c:v>
                </c:pt>
                <c:pt idx="370">
                  <c:v>8.4147878340381597E-3</c:v>
                </c:pt>
                <c:pt idx="371">
                  <c:v>8.6138899274634546E-3</c:v>
                </c:pt>
                <c:pt idx="372">
                  <c:v>8.5572723772738748E-3</c:v>
                </c:pt>
                <c:pt idx="373">
                  <c:v>8.9106617320778552E-3</c:v>
                </c:pt>
                <c:pt idx="374">
                  <c:v>9.1741729445119196E-3</c:v>
                </c:pt>
                <c:pt idx="375">
                  <c:v>9.4838123741694067E-3</c:v>
                </c:pt>
                <c:pt idx="376">
                  <c:v>9.6926406172824411E-3</c:v>
                </c:pt>
                <c:pt idx="377">
                  <c:v>9.935829856372598E-3</c:v>
                </c:pt>
                <c:pt idx="378">
                  <c:v>1.0076113592014737E-2</c:v>
                </c:pt>
                <c:pt idx="379">
                  <c:v>1.0438199686503011E-2</c:v>
                </c:pt>
                <c:pt idx="380">
                  <c:v>1.0729327484546788E-2</c:v>
                </c:pt>
                <c:pt idx="381">
                  <c:v>1.0782200112137621E-2</c:v>
                </c:pt>
                <c:pt idx="382">
                  <c:v>1.1226213044141594E-2</c:v>
                </c:pt>
                <c:pt idx="383">
                  <c:v>1.1751762347797897E-2</c:v>
                </c:pt>
                <c:pt idx="384">
                  <c:v>1.1974700607337487E-2</c:v>
                </c:pt>
                <c:pt idx="385">
                  <c:v>1.196202821522609E-2</c:v>
                </c:pt>
                <c:pt idx="386">
                  <c:v>1.2328444931108172E-2</c:v>
                </c:pt>
                <c:pt idx="387">
                  <c:v>1.2460138417756032E-2</c:v>
                </c:pt>
                <c:pt idx="388">
                  <c:v>1.2956952983557497E-2</c:v>
                </c:pt>
                <c:pt idx="389">
                  <c:v>1.3216044832356076E-2</c:v>
                </c:pt>
                <c:pt idx="390">
                  <c:v>1.363744624118089E-2</c:v>
                </c:pt>
                <c:pt idx="391">
                  <c:v>1.3603777434688843E-2</c:v>
                </c:pt>
                <c:pt idx="392">
                  <c:v>1.387685506077563E-2</c:v>
                </c:pt>
                <c:pt idx="393">
                  <c:v>1.4296197649593551E-2</c:v>
                </c:pt>
                <c:pt idx="394">
                  <c:v>1.4980151854642325E-2</c:v>
                </c:pt>
                <c:pt idx="395">
                  <c:v>1.5216277211295037E-2</c:v>
                </c:pt>
                <c:pt idx="396">
                  <c:v>1.5553178257595533E-2</c:v>
                </c:pt>
                <c:pt idx="397">
                  <c:v>1.5849399860311537E-2</c:v>
                </c:pt>
                <c:pt idx="398">
                  <c:v>1.6456627523206847E-2</c:v>
                </c:pt>
                <c:pt idx="399">
                  <c:v>1.6837012267928806E-2</c:v>
                </c:pt>
                <c:pt idx="400">
                  <c:v>1.7398661915499089E-2</c:v>
                </c:pt>
                <c:pt idx="401">
                  <c:v>1.779264197164588E-2</c:v>
                </c:pt>
                <c:pt idx="402">
                  <c:v>1.8119568389981938E-2</c:v>
                </c:pt>
                <c:pt idx="403">
                  <c:v>1.8530622453427278E-2</c:v>
                </c:pt>
                <c:pt idx="404">
                  <c:v>1.81355419934837E-2</c:v>
                </c:pt>
                <c:pt idx="405">
                  <c:v>1.8990484749794669E-2</c:v>
                </c:pt>
                <c:pt idx="406">
                  <c:v>1.9701665074589779E-2</c:v>
                </c:pt>
                <c:pt idx="407">
                  <c:v>1.9870807787225102E-2</c:v>
                </c:pt>
                <c:pt idx="408">
                  <c:v>2.0753083153972417E-2</c:v>
                </c:pt>
                <c:pt idx="409">
                  <c:v>2.0888858783737391E-2</c:v>
                </c:pt>
                <c:pt idx="410">
                  <c:v>2.1389542511275953E-2</c:v>
                </c:pt>
                <c:pt idx="411">
                  <c:v>2.2015530284061668E-2</c:v>
                </c:pt>
                <c:pt idx="412">
                  <c:v>2.2667608275900256E-2</c:v>
                </c:pt>
                <c:pt idx="413">
                  <c:v>2.3676075110311497E-2</c:v>
                </c:pt>
                <c:pt idx="414">
                  <c:v>2.387042061958293E-2</c:v>
                </c:pt>
                <c:pt idx="415">
                  <c:v>2.3977976216494792E-2</c:v>
                </c:pt>
                <c:pt idx="416">
                  <c:v>2.482493217105488E-2</c:v>
                </c:pt>
                <c:pt idx="417">
                  <c:v>2.5195519772295755E-2</c:v>
                </c:pt>
                <c:pt idx="418">
                  <c:v>2.5508602400930287E-2</c:v>
                </c:pt>
                <c:pt idx="419">
                  <c:v>2.6302135526001153E-2</c:v>
                </c:pt>
                <c:pt idx="420">
                  <c:v>2.704419815089967E-2</c:v>
                </c:pt>
                <c:pt idx="421">
                  <c:v>2.7521986380085704E-2</c:v>
                </c:pt>
                <c:pt idx="422">
                  <c:v>2.8418815474467955E-2</c:v>
                </c:pt>
                <c:pt idx="423">
                  <c:v>2.9095741293975953E-2</c:v>
                </c:pt>
                <c:pt idx="424">
                  <c:v>2.9339427489619499E-2</c:v>
                </c:pt>
                <c:pt idx="425">
                  <c:v>2.9785091027318661E-2</c:v>
                </c:pt>
                <c:pt idx="426">
                  <c:v>3.0980803991667211E-2</c:v>
                </c:pt>
                <c:pt idx="427">
                  <c:v>3.1690209471628795E-2</c:v>
                </c:pt>
                <c:pt idx="428">
                  <c:v>3.2374057185987556E-2</c:v>
                </c:pt>
                <c:pt idx="429">
                  <c:v>3.277321978904825E-2</c:v>
                </c:pt>
                <c:pt idx="430">
                  <c:v>3.336530802551356E-2</c:v>
                </c:pt>
                <c:pt idx="431">
                  <c:v>3.4181914133420296E-2</c:v>
                </c:pt>
                <c:pt idx="432">
                  <c:v>3.4918119770368169E-2</c:v>
                </c:pt>
                <c:pt idx="433">
                  <c:v>3.6212336622977584E-2</c:v>
                </c:pt>
                <c:pt idx="434">
                  <c:v>3.6985281547979511E-2</c:v>
                </c:pt>
                <c:pt idx="435">
                  <c:v>3.7136143358829483E-2</c:v>
                </c:pt>
                <c:pt idx="436">
                  <c:v>3.9108883391297082E-2</c:v>
                </c:pt>
                <c:pt idx="437">
                  <c:v>4.0146280196494841E-2</c:v>
                </c:pt>
                <c:pt idx="438">
                  <c:v>4.0286847907310339E-2</c:v>
                </c:pt>
                <c:pt idx="439">
                  <c:v>4.132619704182499E-2</c:v>
                </c:pt>
                <c:pt idx="440">
                  <c:v>4.2521910006173544E-2</c:v>
                </c:pt>
                <c:pt idx="441">
                  <c:v>4.3110626037455142E-2</c:v>
                </c:pt>
                <c:pt idx="442">
                  <c:v>4.3786841919029727E-2</c:v>
                </c:pt>
                <c:pt idx="443">
                  <c:v>4.5047159235318747E-2</c:v>
                </c:pt>
                <c:pt idx="444">
                  <c:v>4.6202583221946189E-2</c:v>
                </c:pt>
                <c:pt idx="445">
                  <c:v>4.6906131713957126E-2</c:v>
                </c:pt>
                <c:pt idx="446">
                  <c:v>4.8413507431073387E-2</c:v>
                </c:pt>
                <c:pt idx="447">
                  <c:v>4.9105519431666383E-2</c:v>
                </c:pt>
                <c:pt idx="448">
                  <c:v>4.9921948055089774E-2</c:v>
                </c:pt>
                <c:pt idx="449">
                  <c:v>5.0846109759908373E-2</c:v>
                </c:pt>
                <c:pt idx="450">
                  <c:v>5.1814287616598495E-2</c:v>
                </c:pt>
                <c:pt idx="451">
                  <c:v>5.3143646396911791E-2</c:v>
                </c:pt>
                <c:pt idx="452">
                  <c:v>5.4967476947846303E-2</c:v>
                </c:pt>
                <c:pt idx="453">
                  <c:v>5.573243507109734E-2</c:v>
                </c:pt>
                <c:pt idx="454">
                  <c:v>5.7357305516193231E-2</c:v>
                </c:pt>
                <c:pt idx="455">
                  <c:v>5.7684054450045943E-2</c:v>
                </c:pt>
                <c:pt idx="456">
                  <c:v>5.9396247260951468E-2</c:v>
                </c:pt>
                <c:pt idx="457">
                  <c:v>5.9915566859242077E-2</c:v>
                </c:pt>
                <c:pt idx="458">
                  <c:v>6.2304508005172239E-2</c:v>
                </c:pt>
                <c:pt idx="459">
                  <c:v>6.3117031969961865E-2</c:v>
                </c:pt>
                <c:pt idx="460">
                  <c:v>6.428541232387408E-2</c:v>
                </c:pt>
                <c:pt idx="461">
                  <c:v>6.6423567894826577E-2</c:v>
                </c:pt>
                <c:pt idx="462">
                  <c:v>6.6610814024763917E-2</c:v>
                </c:pt>
                <c:pt idx="463">
                  <c:v>6.8277570807931079E-2</c:v>
                </c:pt>
                <c:pt idx="464">
                  <c:v>6.8659872385073248E-2</c:v>
                </c:pt>
                <c:pt idx="465">
                  <c:v>7.1145720058914105E-2</c:v>
                </c:pt>
                <c:pt idx="466">
                  <c:v>7.2331848861161605E-2</c:v>
                </c:pt>
                <c:pt idx="467">
                  <c:v>7.490235663356179E-2</c:v>
                </c:pt>
                <c:pt idx="468">
                  <c:v>7.5819418959046286E-2</c:v>
                </c:pt>
                <c:pt idx="469">
                  <c:v>7.7072104442551123E-2</c:v>
                </c:pt>
                <c:pt idx="470">
                  <c:v>7.8871087165816214E-2</c:v>
                </c:pt>
                <c:pt idx="471">
                  <c:v>8.0488503262611297E-2</c:v>
                </c:pt>
                <c:pt idx="472">
                  <c:v>8.1952395281306101E-2</c:v>
                </c:pt>
                <c:pt idx="473">
                  <c:v>8.3121485573151702E-2</c:v>
                </c:pt>
                <c:pt idx="474">
                  <c:v>8.4472319975950713E-2</c:v>
                </c:pt>
                <c:pt idx="475">
                  <c:v>8.5873737456505297E-2</c:v>
                </c:pt>
                <c:pt idx="476">
                  <c:v>8.8349645999278373E-2</c:v>
                </c:pt>
                <c:pt idx="477">
                  <c:v>8.8628829091592518E-2</c:v>
                </c:pt>
                <c:pt idx="478">
                  <c:v>9.2231586619173231E-2</c:v>
                </c:pt>
                <c:pt idx="479">
                  <c:v>9.3018730302843383E-2</c:v>
                </c:pt>
                <c:pt idx="480">
                  <c:v>9.5592077826977234E-2</c:v>
                </c:pt>
                <c:pt idx="481">
                  <c:v>9.7950136672803986E-2</c:v>
                </c:pt>
                <c:pt idx="482">
                  <c:v>9.8391895551869377E-2</c:v>
                </c:pt>
                <c:pt idx="483">
                  <c:v>9.9947902017424359E-2</c:v>
                </c:pt>
                <c:pt idx="484">
                  <c:v>0.10213717311958249</c:v>
                </c:pt>
                <c:pt idx="485">
                  <c:v>0.10484327903726433</c:v>
                </c:pt>
                <c:pt idx="486">
                  <c:v>0.10730055170928535</c:v>
                </c:pt>
                <c:pt idx="487">
                  <c:v>0.10877580273491474</c:v>
                </c:pt>
                <c:pt idx="488">
                  <c:v>0.11122633099656835</c:v>
                </c:pt>
                <c:pt idx="489">
                  <c:v>0.1121093163012491</c:v>
                </c:pt>
                <c:pt idx="490">
                  <c:v>0.11503230825758817</c:v>
                </c:pt>
                <c:pt idx="491">
                  <c:v>0.11751815593142903</c:v>
                </c:pt>
                <c:pt idx="492">
                  <c:v>0.11945841630344303</c:v>
                </c:pt>
                <c:pt idx="493">
                  <c:v>0.12089284589790125</c:v>
                </c:pt>
                <c:pt idx="494">
                  <c:v>0.12257948094320395</c:v>
                </c:pt>
                <c:pt idx="495">
                  <c:v>0.1245667747033065</c:v>
                </c:pt>
                <c:pt idx="496">
                  <c:v>0.12811930412209835</c:v>
                </c:pt>
                <c:pt idx="497">
                  <c:v>0.12959029552012727</c:v>
                </c:pt>
                <c:pt idx="498">
                  <c:v>0.13283666420513535</c:v>
                </c:pt>
                <c:pt idx="499">
                  <c:v>0.13382915743604482</c:v>
                </c:pt>
                <c:pt idx="500">
                  <c:v>0.13555093440905139</c:v>
                </c:pt>
                <c:pt idx="501">
                  <c:v>0.13886740946498388</c:v>
                </c:pt>
                <c:pt idx="502">
                  <c:v>0.14154263308256229</c:v>
                </c:pt>
                <c:pt idx="503">
                  <c:v>0.14300262044262332</c:v>
                </c:pt>
                <c:pt idx="504">
                  <c:v>0.14632743726927339</c:v>
                </c:pt>
                <c:pt idx="505">
                  <c:v>0.14880032857582948</c:v>
                </c:pt>
                <c:pt idx="506">
                  <c:v>0.15122210435117994</c:v>
                </c:pt>
                <c:pt idx="507">
                  <c:v>0.15383929054270196</c:v>
                </c:pt>
                <c:pt idx="508">
                  <c:v>0.15518976997653425</c:v>
                </c:pt>
                <c:pt idx="509">
                  <c:v>0.15673761215585497</c:v>
                </c:pt>
                <c:pt idx="510">
                  <c:v>0.16111136227912073</c:v>
                </c:pt>
                <c:pt idx="511">
                  <c:v>0.1627555785329021</c:v>
                </c:pt>
                <c:pt idx="512">
                  <c:v>0.16486995118308531</c:v>
                </c:pt>
                <c:pt idx="513">
                  <c:v>0.1671445923217362</c:v>
                </c:pt>
                <c:pt idx="514">
                  <c:v>0.1711051585677564</c:v>
                </c:pt>
                <c:pt idx="515">
                  <c:v>0.1729923510792479</c:v>
                </c:pt>
                <c:pt idx="516">
                  <c:v>0.17491699281672685</c:v>
                </c:pt>
                <c:pt idx="517">
                  <c:v>0.17786075045761821</c:v>
                </c:pt>
                <c:pt idx="518">
                  <c:v>0.18131459850366585</c:v>
                </c:pt>
                <c:pt idx="519">
                  <c:v>0.18375678499460191</c:v>
                </c:pt>
                <c:pt idx="520">
                  <c:v>0.18576413450132331</c:v>
                </c:pt>
                <c:pt idx="521">
                  <c:v>0.18836428218244342</c:v>
                </c:pt>
                <c:pt idx="522">
                  <c:v>0.18947710989306618</c:v>
                </c:pt>
                <c:pt idx="523">
                  <c:v>0.19365686947602717</c:v>
                </c:pt>
                <c:pt idx="524">
                  <c:v>0.19766269426530239</c:v>
                </c:pt>
                <c:pt idx="525">
                  <c:v>0.19962212296151852</c:v>
                </c:pt>
                <c:pt idx="526">
                  <c:v>0.20309016976623437</c:v>
                </c:pt>
                <c:pt idx="527">
                  <c:v>0.20468043073707642</c:v>
                </c:pt>
                <c:pt idx="528">
                  <c:v>0.2065919386227873</c:v>
                </c:pt>
                <c:pt idx="529">
                  <c:v>0.20987895125448316</c:v>
                </c:pt>
                <c:pt idx="530">
                  <c:v>0.2139859421992695</c:v>
                </c:pt>
                <c:pt idx="531">
                  <c:v>0.21626661781035442</c:v>
                </c:pt>
                <c:pt idx="532">
                  <c:v>0.21687893927792196</c:v>
                </c:pt>
                <c:pt idx="533">
                  <c:v>0.2204321786346472</c:v>
                </c:pt>
                <c:pt idx="534">
                  <c:v>0.22236143496869334</c:v>
                </c:pt>
                <c:pt idx="535">
                  <c:v>0.22649149889631556</c:v>
                </c:pt>
                <c:pt idx="536">
                  <c:v>0.22702040265670723</c:v>
                </c:pt>
                <c:pt idx="537">
                  <c:v>0.23149478648203412</c:v>
                </c:pt>
                <c:pt idx="538">
                  <c:v>0.23597449484186156</c:v>
                </c:pt>
                <c:pt idx="539">
                  <c:v>0.2350160786317558</c:v>
                </c:pt>
                <c:pt idx="540">
                  <c:v>0.23900947950719628</c:v>
                </c:pt>
                <c:pt idx="541">
                  <c:v>0.24273665365760738</c:v>
                </c:pt>
                <c:pt idx="542">
                  <c:v>0.24433223916295005</c:v>
                </c:pt>
                <c:pt idx="543">
                  <c:v>0.24599881846163391</c:v>
                </c:pt>
                <c:pt idx="544">
                  <c:v>0.24871433105693344</c:v>
                </c:pt>
                <c:pt idx="545">
                  <c:v>0.25136594923822592</c:v>
                </c:pt>
                <c:pt idx="546">
                  <c:v>0.25525995880298874</c:v>
                </c:pt>
                <c:pt idx="547">
                  <c:v>0.2562396731510968</c:v>
                </c:pt>
                <c:pt idx="548">
                  <c:v>0.25874930374570698</c:v>
                </c:pt>
                <c:pt idx="549">
                  <c:v>0.262013243394567</c:v>
                </c:pt>
                <c:pt idx="550">
                  <c:v>0.26206116420507225</c:v>
                </c:pt>
                <c:pt idx="551">
                  <c:v>0.26518311626725</c:v>
                </c:pt>
                <c:pt idx="552">
                  <c:v>0.26804416613889887</c:v>
                </c:pt>
                <c:pt idx="553">
                  <c:v>0.27077387749286663</c:v>
                </c:pt>
                <c:pt idx="554">
                  <c:v>0.272751054637418</c:v>
                </c:pt>
                <c:pt idx="555">
                  <c:v>0.27462706562645828</c:v>
                </c:pt>
                <c:pt idx="556">
                  <c:v>0.27662021637451145</c:v>
                </c:pt>
                <c:pt idx="557">
                  <c:v>0.27781291210264303</c:v>
                </c:pt>
                <c:pt idx="558">
                  <c:v>0.28103070578583128</c:v>
                </c:pt>
                <c:pt idx="559">
                  <c:v>0.28210271206528287</c:v>
                </c:pt>
                <c:pt idx="560">
                  <c:v>0.28465493893589772</c:v>
                </c:pt>
                <c:pt idx="561">
                  <c:v>0.2861777558030657</c:v>
                </c:pt>
                <c:pt idx="562">
                  <c:v>0.28756390961805189</c:v>
                </c:pt>
                <c:pt idx="563">
                  <c:v>0.28902460691604637</c:v>
                </c:pt>
                <c:pt idx="564">
                  <c:v>0.29142597197581127</c:v>
                </c:pt>
                <c:pt idx="565">
                  <c:v>0.29341379818936386</c:v>
                </c:pt>
                <c:pt idx="566">
                  <c:v>0.29309432611932856</c:v>
                </c:pt>
                <c:pt idx="567">
                  <c:v>0.29604766792232101</c:v>
                </c:pt>
                <c:pt idx="568">
                  <c:v>0.29603701885331979</c:v>
                </c:pt>
                <c:pt idx="569">
                  <c:v>0.29686942108024494</c:v>
                </c:pt>
                <c:pt idx="570">
                  <c:v>0.29877205474178814</c:v>
                </c:pt>
                <c:pt idx="571">
                  <c:v>0.30158518380293181</c:v>
                </c:pt>
                <c:pt idx="572">
                  <c:v>0.30093026605935952</c:v>
                </c:pt>
                <c:pt idx="573">
                  <c:v>0.30151064031992358</c:v>
                </c:pt>
                <c:pt idx="574">
                  <c:v>0.30231996956401286</c:v>
                </c:pt>
                <c:pt idx="575">
                  <c:v>0.3040557678112043</c:v>
                </c:pt>
                <c:pt idx="576">
                  <c:v>0.3035073407576438</c:v>
                </c:pt>
                <c:pt idx="577">
                  <c:v>0.30597082538658221</c:v>
                </c:pt>
                <c:pt idx="578">
                  <c:v>0.30594597755891279</c:v>
                </c:pt>
                <c:pt idx="579">
                  <c:v>0.30601342166258688</c:v>
                </c:pt>
                <c:pt idx="580">
                  <c:v>0.30456514827842718</c:v>
                </c:pt>
                <c:pt idx="581">
                  <c:v>0.30792492954829775</c:v>
                </c:pt>
                <c:pt idx="582">
                  <c:v>0.30749719194341724</c:v>
                </c:pt>
                <c:pt idx="583">
                  <c:v>0.30556083623003699</c:v>
                </c:pt>
                <c:pt idx="584">
                  <c:v>0.3068742214068485</c:v>
                </c:pt>
                <c:pt idx="585">
                  <c:v>0.30693456613118852</c:v>
                </c:pt>
                <c:pt idx="586">
                  <c:v>0.30471068555477654</c:v>
                </c:pt>
                <c:pt idx="587">
                  <c:v>0.3042882724843966</c:v>
                </c:pt>
                <c:pt idx="588">
                  <c:v>0.30594242786924575</c:v>
                </c:pt>
                <c:pt idx="589">
                  <c:v>0.30488462034846237</c:v>
                </c:pt>
                <c:pt idx="590">
                  <c:v>0.30339730037796503</c:v>
                </c:pt>
                <c:pt idx="591">
                  <c:v>0.30311332520460033</c:v>
                </c:pt>
                <c:pt idx="592">
                  <c:v>0.3021229617874911</c:v>
                </c:pt>
                <c:pt idx="593">
                  <c:v>0.30140237478507825</c:v>
                </c:pt>
                <c:pt idx="594">
                  <c:v>0.29893534046647285</c:v>
                </c:pt>
                <c:pt idx="595">
                  <c:v>0.29806211680837658</c:v>
                </c:pt>
                <c:pt idx="596">
                  <c:v>0.29717114470194494</c:v>
                </c:pt>
                <c:pt idx="597">
                  <c:v>0.29627129837134564</c:v>
                </c:pt>
                <c:pt idx="598">
                  <c:v>0.2935167391897085</c:v>
                </c:pt>
                <c:pt idx="599">
                  <c:v>0.29290086803247389</c:v>
                </c:pt>
                <c:pt idx="600">
                  <c:v>0.28923226376156924</c:v>
                </c:pt>
                <c:pt idx="601">
                  <c:v>0.29090594243958723</c:v>
                </c:pt>
                <c:pt idx="602">
                  <c:v>0.28890214262253283</c:v>
                </c:pt>
                <c:pt idx="603">
                  <c:v>0.28512882250645</c:v>
                </c:pt>
                <c:pt idx="604">
                  <c:v>0.2840266438648284</c:v>
                </c:pt>
                <c:pt idx="605">
                  <c:v>0.27930023207314042</c:v>
                </c:pt>
                <c:pt idx="606">
                  <c:v>0.27986463273020268</c:v>
                </c:pt>
                <c:pt idx="607">
                  <c:v>0.27670895861618794</c:v>
                </c:pt>
                <c:pt idx="608">
                  <c:v>0.27372189476135844</c:v>
                </c:pt>
                <c:pt idx="609">
                  <c:v>0.27061414145784901</c:v>
                </c:pt>
                <c:pt idx="610">
                  <c:v>0.26757383225801362</c:v>
                </c:pt>
                <c:pt idx="611">
                  <c:v>0.26462936467918885</c:v>
                </c:pt>
                <c:pt idx="612">
                  <c:v>0.26101400575329009</c:v>
                </c:pt>
                <c:pt idx="613">
                  <c:v>0.25950716248962385</c:v>
                </c:pt>
                <c:pt idx="614">
                  <c:v>0.2580571142606306</c:v>
                </c:pt>
                <c:pt idx="615">
                  <c:v>0.25400159381601661</c:v>
                </c:pt>
                <c:pt idx="616">
                  <c:v>0.2507057069601531</c:v>
                </c:pt>
                <c:pt idx="617">
                  <c:v>0.24726428282794014</c:v>
                </c:pt>
                <c:pt idx="618">
                  <c:v>0.24130435387694943</c:v>
                </c:pt>
                <c:pt idx="619">
                  <c:v>0.23960405252642855</c:v>
                </c:pt>
                <c:pt idx="620">
                  <c:v>0.23779371079622885</c:v>
                </c:pt>
                <c:pt idx="621">
                  <c:v>0.23342404281608023</c:v>
                </c:pt>
                <c:pt idx="622">
                  <c:v>0.23054524449609601</c:v>
                </c:pt>
                <c:pt idx="623">
                  <c:v>0.22650037312048321</c:v>
                </c:pt>
                <c:pt idx="624">
                  <c:v>0.22436168509608065</c:v>
                </c:pt>
                <c:pt idx="625">
                  <c:v>0.2197666118220738</c:v>
                </c:pt>
                <c:pt idx="626">
                  <c:v>0.21493903387487465</c:v>
                </c:pt>
                <c:pt idx="627">
                  <c:v>0.21205668586522339</c:v>
                </c:pt>
                <c:pt idx="628">
                  <c:v>0.2081342787831241</c:v>
                </c:pt>
                <c:pt idx="629">
                  <c:v>0.2051791621352981</c:v>
                </c:pt>
                <c:pt idx="630">
                  <c:v>0.20065863234429951</c:v>
                </c:pt>
                <c:pt idx="631">
                  <c:v>0.19783307936932118</c:v>
                </c:pt>
                <c:pt idx="632">
                  <c:v>0.19290788495627792</c:v>
                </c:pt>
                <c:pt idx="633">
                  <c:v>0.18920200894386915</c:v>
                </c:pt>
                <c:pt idx="634">
                  <c:v>0.18558842486280391</c:v>
                </c:pt>
                <c:pt idx="635">
                  <c:v>0.18249309547312917</c:v>
                </c:pt>
                <c:pt idx="636">
                  <c:v>0.17964446951531493</c:v>
                </c:pt>
                <c:pt idx="637">
                  <c:v>0.17402158359821143</c:v>
                </c:pt>
                <c:pt idx="638">
                  <c:v>0.16932889385836045</c:v>
                </c:pt>
                <c:pt idx="639">
                  <c:v>0.16466708641861294</c:v>
                </c:pt>
                <c:pt idx="640">
                  <c:v>0.16246397152675326</c:v>
                </c:pt>
                <c:pt idx="641">
                  <c:v>0.15760089668288355</c:v>
                </c:pt>
                <c:pt idx="642">
                  <c:v>0.15436269228410968</c:v>
                </c:pt>
                <c:pt idx="643">
                  <c:v>0.15174834584432131</c:v>
                </c:pt>
                <c:pt idx="644">
                  <c:v>0.14701093001466542</c:v>
                </c:pt>
                <c:pt idx="645">
                  <c:v>0.14275715940214626</c:v>
                </c:pt>
                <c:pt idx="646">
                  <c:v>0.14104425665330733</c:v>
                </c:pt>
                <c:pt idx="647">
                  <c:v>0.13562814015930991</c:v>
                </c:pt>
                <c:pt idx="648">
                  <c:v>0.13280897662573229</c:v>
                </c:pt>
                <c:pt idx="649">
                  <c:v>0.12951681694401918</c:v>
                </c:pt>
                <c:pt idx="650">
                  <c:v>0.12563700613792456</c:v>
                </c:pt>
                <c:pt idx="651">
                  <c:v>0.12214127175380564</c:v>
                </c:pt>
                <c:pt idx="652">
                  <c:v>0.11929637297014184</c:v>
                </c:pt>
                <c:pt idx="653">
                  <c:v>0.11539082691396105</c:v>
                </c:pt>
                <c:pt idx="654">
                  <c:v>0.11224864162068114</c:v>
                </c:pt>
                <c:pt idx="655">
                  <c:v>0.10863878471376628</c:v>
                </c:pt>
                <c:pt idx="656">
                  <c:v>0.10678194204892816</c:v>
                </c:pt>
                <c:pt idx="657">
                  <c:v>0.1026437138350717</c:v>
                </c:pt>
                <c:pt idx="658">
                  <c:v>9.9598257585219105E-2</c:v>
                </c:pt>
                <c:pt idx="659">
                  <c:v>9.6489261890326194E-2</c:v>
                </c:pt>
                <c:pt idx="660">
                  <c:v>9.4935385238571465E-2</c:v>
                </c:pt>
                <c:pt idx="661">
                  <c:v>9.0702202826121209E-2</c:v>
                </c:pt>
                <c:pt idx="662">
                  <c:v>8.7987932622205167E-2</c:v>
                </c:pt>
                <c:pt idx="663">
                  <c:v>8.4994301841491621E-2</c:v>
                </c:pt>
                <c:pt idx="664">
                  <c:v>8.1705691849445553E-2</c:v>
                </c:pt>
                <c:pt idx="665">
                  <c:v>7.9729224642827543E-2</c:v>
                </c:pt>
                <c:pt idx="666">
                  <c:v>7.7492920152580885E-2</c:v>
                </c:pt>
                <c:pt idx="667">
                  <c:v>7.5701036808649896E-2</c:v>
                </c:pt>
                <c:pt idx="668">
                  <c:v>7.3251750938379726E-2</c:v>
                </c:pt>
                <c:pt idx="669">
                  <c:v>7.1542220394724507E-2</c:v>
                </c:pt>
                <c:pt idx="670">
                  <c:v>6.8490729672437925E-2</c:v>
                </c:pt>
                <c:pt idx="671">
                  <c:v>6.7406121994668292E-2</c:v>
                </c:pt>
                <c:pt idx="672">
                  <c:v>6.4236071637501974E-2</c:v>
                </c:pt>
                <c:pt idx="673">
                  <c:v>6.2407271521033585E-2</c:v>
                </c:pt>
                <c:pt idx="674">
                  <c:v>6.1387623164171116E-2</c:v>
                </c:pt>
                <c:pt idx="675">
                  <c:v>5.9128245691088571E-2</c:v>
                </c:pt>
                <c:pt idx="676">
                  <c:v>5.6986895399435709E-2</c:v>
                </c:pt>
                <c:pt idx="677">
                  <c:v>5.5603226367216416E-2</c:v>
                </c:pt>
                <c:pt idx="678">
                  <c:v>5.3343138956200457E-2</c:v>
                </c:pt>
                <c:pt idx="679">
                  <c:v>5.2264210781898121E-2</c:v>
                </c:pt>
                <c:pt idx="680">
                  <c:v>5.1458076258509206E-2</c:v>
                </c:pt>
                <c:pt idx="681">
                  <c:v>4.9738784068269572E-2</c:v>
                </c:pt>
                <c:pt idx="682">
                  <c:v>4.8788532144398093E-2</c:v>
                </c:pt>
                <c:pt idx="683">
                  <c:v>4.727299214104759E-2</c:v>
                </c:pt>
                <c:pt idx="684">
                  <c:v>4.511673315279309E-2</c:v>
                </c:pt>
                <c:pt idx="685">
                  <c:v>4.4041887121607858E-2</c:v>
                </c:pt>
                <c:pt idx="686">
                  <c:v>4.3315265646761053E-2</c:v>
                </c:pt>
                <c:pt idx="687">
                  <c:v>4.2882735960830004E-2</c:v>
                </c:pt>
                <c:pt idx="688">
                  <c:v>4.1208702313845359E-2</c:v>
                </c:pt>
                <c:pt idx="689">
                  <c:v>4.0571178049641707E-2</c:v>
                </c:pt>
                <c:pt idx="690">
                  <c:v>3.9753329550351491E-2</c:v>
                </c:pt>
                <c:pt idx="691">
                  <c:v>3.8763143617725607E-2</c:v>
                </c:pt>
                <c:pt idx="692">
                  <c:v>3.7237309514340643E-2</c:v>
                </c:pt>
                <c:pt idx="693">
                  <c:v>3.6829805140562367E-2</c:v>
                </c:pt>
                <c:pt idx="694">
                  <c:v>3.6778867093840081E-2</c:v>
                </c:pt>
                <c:pt idx="695">
                  <c:v>3.5449330829043425E-2</c:v>
                </c:pt>
                <c:pt idx="696">
                  <c:v>3.5435664523825253E-2</c:v>
                </c:pt>
                <c:pt idx="697">
                  <c:v>3.4160970964384654E-2</c:v>
                </c:pt>
                <c:pt idx="698">
                  <c:v>3.3874333523769701E-2</c:v>
                </c:pt>
                <c:pt idx="699">
                  <c:v>3.3691169536949506E-2</c:v>
                </c:pt>
                <c:pt idx="700">
                  <c:v>3.3078138131448553E-2</c:v>
                </c:pt>
                <c:pt idx="701">
                  <c:v>3.23161972444145E-2</c:v>
                </c:pt>
                <c:pt idx="702">
                  <c:v>3.1830244728994241E-2</c:v>
                </c:pt>
                <c:pt idx="703">
                  <c:v>3.1211001366575935E-2</c:v>
                </c:pt>
                <c:pt idx="704">
                  <c:v>3.1234074349411813E-2</c:v>
                </c:pt>
                <c:pt idx="705">
                  <c:v>3.0532300702234408E-2</c:v>
                </c:pt>
                <c:pt idx="706">
                  <c:v>3.0842366094651946E-2</c:v>
                </c:pt>
                <c:pt idx="707">
                  <c:v>3.0327483608445151E-2</c:v>
                </c:pt>
                <c:pt idx="708">
                  <c:v>2.9765567734149838E-2</c:v>
                </c:pt>
                <c:pt idx="709">
                  <c:v>2.9015518307500435E-2</c:v>
                </c:pt>
                <c:pt idx="710">
                  <c:v>2.9366050162122438E-2</c:v>
                </c:pt>
                <c:pt idx="711">
                  <c:v>2.9108165207810663E-2</c:v>
                </c:pt>
                <c:pt idx="712">
                  <c:v>2.9158215832116179E-2</c:v>
                </c:pt>
                <c:pt idx="713">
                  <c:v>2.795984060051733E-2</c:v>
                </c:pt>
                <c:pt idx="714">
                  <c:v>2.8166432539140116E-2</c:v>
                </c:pt>
                <c:pt idx="715">
                  <c:v>2.8041128493892967E-2</c:v>
                </c:pt>
                <c:pt idx="716">
                  <c:v>2.8050712655994021E-2</c:v>
                </c:pt>
                <c:pt idx="717">
                  <c:v>2.7848557829455056E-2</c:v>
                </c:pt>
                <c:pt idx="718">
                  <c:v>2.7757508289495011E-2</c:v>
                </c:pt>
                <c:pt idx="719">
                  <c:v>2.778484089993136E-2</c:v>
                </c:pt>
                <c:pt idx="720">
                  <c:v>2.709424877520519E-2</c:v>
                </c:pt>
                <c:pt idx="721">
                  <c:v>2.760984119934539E-2</c:v>
                </c:pt>
                <c:pt idx="722">
                  <c:v>2.6475360381753587E-2</c:v>
                </c:pt>
                <c:pt idx="723">
                  <c:v>2.7306520217295269E-2</c:v>
                </c:pt>
                <c:pt idx="724">
                  <c:v>2.6772114437919655E-2</c:v>
                </c:pt>
                <c:pt idx="725">
                  <c:v>2.6206116420507224E-2</c:v>
                </c:pt>
                <c:pt idx="726">
                  <c:v>2.7190267880699111E-2</c:v>
                </c:pt>
                <c:pt idx="727">
                  <c:v>2.639478242631137E-2</c:v>
                </c:pt>
                <c:pt idx="728">
                  <c:v>2.6848077796794701E-2</c:v>
                </c:pt>
                <c:pt idx="729">
                  <c:v>2.655150122511199E-2</c:v>
                </c:pt>
                <c:pt idx="730">
                  <c:v>2.6686211947976848E-2</c:v>
                </c:pt>
                <c:pt idx="731">
                  <c:v>2.6365320002074786E-2</c:v>
                </c:pt>
                <c:pt idx="732">
                  <c:v>2.647589283520365E-2</c:v>
                </c:pt>
                <c:pt idx="733">
                  <c:v>2.5869783324553461E-2</c:v>
                </c:pt>
                <c:pt idx="734">
                  <c:v>2.6380406183159785E-2</c:v>
                </c:pt>
                <c:pt idx="735">
                  <c:v>2.613317029784918E-2</c:v>
                </c:pt>
                <c:pt idx="736">
                  <c:v>2.5953733485179389E-2</c:v>
                </c:pt>
                <c:pt idx="737">
                  <c:v>2.591468689884175E-2</c:v>
                </c:pt>
                <c:pt idx="738">
                  <c:v>2.5725133470620838E-2</c:v>
                </c:pt>
                <c:pt idx="739">
                  <c:v>2.5152923496291058E-2</c:v>
                </c:pt>
                <c:pt idx="740">
                  <c:v>2.5331117917577382E-2</c:v>
                </c:pt>
                <c:pt idx="741">
                  <c:v>2.5623967315109682E-2</c:v>
                </c:pt>
                <c:pt idx="742">
                  <c:v>2.5760452882808069E-2</c:v>
                </c:pt>
                <c:pt idx="743">
                  <c:v>2.4784110739883708E-2</c:v>
                </c:pt>
                <c:pt idx="744">
                  <c:v>2.5557410633852341E-2</c:v>
                </c:pt>
                <c:pt idx="745">
                  <c:v>2.5320468848576205E-2</c:v>
                </c:pt>
                <c:pt idx="746">
                  <c:v>2.5285149436388973E-2</c:v>
                </c:pt>
                <c:pt idx="747">
                  <c:v>2.5173866665326703E-2</c:v>
                </c:pt>
                <c:pt idx="748">
                  <c:v>2.5359692919397197E-2</c:v>
                </c:pt>
                <c:pt idx="749">
                  <c:v>2.5050514949396429E-2</c:v>
                </c:pt>
                <c:pt idx="750">
                  <c:v>2.5538774763100288E-2</c:v>
                </c:pt>
                <c:pt idx="751">
                  <c:v>2.514759896179047E-2</c:v>
                </c:pt>
                <c:pt idx="752">
                  <c:v>2.5286036858805743E-2</c:v>
                </c:pt>
                <c:pt idx="753">
                  <c:v>2.4613548151381566E-2</c:v>
                </c:pt>
                <c:pt idx="754">
                  <c:v>2.4965677366353738E-2</c:v>
                </c:pt>
                <c:pt idx="755">
                  <c:v>2.5283374591555448E-2</c:v>
                </c:pt>
                <c:pt idx="756">
                  <c:v>2.5034186376927961E-2</c:v>
                </c:pt>
                <c:pt idx="757">
                  <c:v>2.5320646333059558E-2</c:v>
                </c:pt>
                <c:pt idx="758">
                  <c:v>2.5093821163334543E-2</c:v>
                </c:pt>
                <c:pt idx="759">
                  <c:v>2.5122751134121064E-2</c:v>
                </c:pt>
                <c:pt idx="760">
                  <c:v>2.4251834774308333E-2</c:v>
                </c:pt>
                <c:pt idx="761">
                  <c:v>2.4522498611421525E-2</c:v>
                </c:pt>
                <c:pt idx="762">
                  <c:v>2.4903025343730161E-2</c:v>
                </c:pt>
                <c:pt idx="763">
                  <c:v>2.4631651568683563E-2</c:v>
                </c:pt>
                <c:pt idx="764">
                  <c:v>2.4353888352236258E-2</c:v>
                </c:pt>
                <c:pt idx="765">
                  <c:v>2.4472270502632648E-2</c:v>
                </c:pt>
                <c:pt idx="766">
                  <c:v>2.4789612758867652E-2</c:v>
                </c:pt>
                <c:pt idx="767">
                  <c:v>2.470033806374114E-2</c:v>
                </c:pt>
                <c:pt idx="768">
                  <c:v>2.4410328417942485E-2</c:v>
                </c:pt>
                <c:pt idx="769">
                  <c:v>2.4628634332466561E-2</c:v>
                </c:pt>
                <c:pt idx="770">
                  <c:v>2.4691463839573491E-2</c:v>
                </c:pt>
                <c:pt idx="771">
                  <c:v>2.4001049199330673E-2</c:v>
                </c:pt>
                <c:pt idx="772">
                  <c:v>2.398152590616185E-2</c:v>
                </c:pt>
                <c:pt idx="773">
                  <c:v>2.3841313164313052E-2</c:v>
                </c:pt>
                <c:pt idx="774">
                  <c:v>2.4203736479319695E-2</c:v>
                </c:pt>
                <c:pt idx="775">
                  <c:v>2.4435353730095245E-2</c:v>
                </c:pt>
                <c:pt idx="776">
                  <c:v>2.4204446417253105E-2</c:v>
                </c:pt>
                <c:pt idx="777">
                  <c:v>2.4201251696552756E-2</c:v>
                </c:pt>
                <c:pt idx="778">
                  <c:v>2.3846815183296993E-2</c:v>
                </c:pt>
                <c:pt idx="779">
                  <c:v>2.4013828082132076E-2</c:v>
                </c:pt>
                <c:pt idx="780">
                  <c:v>2.4481144726800293E-2</c:v>
                </c:pt>
                <c:pt idx="781">
                  <c:v>2.3999274354497144E-2</c:v>
                </c:pt>
                <c:pt idx="782">
                  <c:v>2.4397194566174368E-2</c:v>
                </c:pt>
                <c:pt idx="783">
                  <c:v>2.3810075895242939E-2</c:v>
                </c:pt>
                <c:pt idx="784">
                  <c:v>2.4839485898689818E-2</c:v>
                </c:pt>
                <c:pt idx="785">
                  <c:v>2.4252012258791686E-2</c:v>
                </c:pt>
                <c:pt idx="786">
                  <c:v>2.4017732740765844E-2</c:v>
                </c:pt>
                <c:pt idx="787">
                  <c:v>2.3892606180002041E-2</c:v>
                </c:pt>
                <c:pt idx="788">
                  <c:v>2.4143214270496351E-2</c:v>
                </c:pt>
                <c:pt idx="789">
                  <c:v>2.3760912693354189E-2</c:v>
                </c:pt>
                <c:pt idx="790">
                  <c:v>2.4086774204790128E-2</c:v>
                </c:pt>
                <c:pt idx="791">
                  <c:v>2.3550238611614281E-2</c:v>
                </c:pt>
                <c:pt idx="792">
                  <c:v>2.4040273270151666E-2</c:v>
                </c:pt>
                <c:pt idx="793">
                  <c:v>2.4092631192740774E-2</c:v>
                </c:pt>
                <c:pt idx="794">
                  <c:v>2.3672880389611139E-2</c:v>
                </c:pt>
                <c:pt idx="795">
                  <c:v>2.3295370893519501E-2</c:v>
                </c:pt>
                <c:pt idx="796">
                  <c:v>2.3282414526234741E-2</c:v>
                </c:pt>
                <c:pt idx="797">
                  <c:v>2.3398844347314249E-2</c:v>
                </c:pt>
                <c:pt idx="798">
                  <c:v>2.3837231021195934E-2</c:v>
                </c:pt>
                <c:pt idx="799">
                  <c:v>2.3737484741551598E-2</c:v>
                </c:pt>
                <c:pt idx="800">
                  <c:v>2.3462738761321295E-2</c:v>
                </c:pt>
                <c:pt idx="801">
                  <c:v>2.3461851338904528E-2</c:v>
                </c:pt>
                <c:pt idx="802">
                  <c:v>2.4407311181725483E-2</c:v>
                </c:pt>
                <c:pt idx="803">
                  <c:v>2.3504625099392582E-2</c:v>
                </c:pt>
                <c:pt idx="804">
                  <c:v>2.3691871229329899E-2</c:v>
                </c:pt>
                <c:pt idx="805">
                  <c:v>2.3616795292871619E-2</c:v>
                </c:pt>
                <c:pt idx="806">
                  <c:v>2.3229701634678926E-2</c:v>
                </c:pt>
                <c:pt idx="807">
                  <c:v>2.3467530842371825E-2</c:v>
                </c:pt>
                <c:pt idx="808">
                  <c:v>2.3799781795208471E-2</c:v>
                </c:pt>
                <c:pt idx="809">
                  <c:v>2.3509772149409816E-2</c:v>
                </c:pt>
                <c:pt idx="810">
                  <c:v>2.3404878819748245E-2</c:v>
                </c:pt>
                <c:pt idx="811">
                  <c:v>2.4136469860128941E-2</c:v>
                </c:pt>
                <c:pt idx="812">
                  <c:v>2.344712012678624E-2</c:v>
                </c:pt>
                <c:pt idx="813">
                  <c:v>2.3575796377217097E-2</c:v>
                </c:pt>
                <c:pt idx="814">
                  <c:v>2.3884619378251162E-2</c:v>
                </c:pt>
                <c:pt idx="815">
                  <c:v>2.380830105040941E-2</c:v>
                </c:pt>
                <c:pt idx="816">
                  <c:v>2.3608453522154037E-2</c:v>
                </c:pt>
                <c:pt idx="817">
                  <c:v>2.3061623828943719E-2</c:v>
                </c:pt>
                <c:pt idx="818">
                  <c:v>2.3175036413806225E-2</c:v>
                </c:pt>
                <c:pt idx="819">
                  <c:v>2.3149478648203409E-2</c:v>
                </c:pt>
                <c:pt idx="820">
                  <c:v>2.3314539217721617E-2</c:v>
                </c:pt>
                <c:pt idx="821">
                  <c:v>2.328365691761821E-2</c:v>
                </c:pt>
                <c:pt idx="822">
                  <c:v>2.3804751360742355E-2</c:v>
                </c:pt>
                <c:pt idx="823">
                  <c:v>2.4116414113510065E-2</c:v>
                </c:pt>
                <c:pt idx="824">
                  <c:v>2.3488296526924114E-2</c:v>
                </c:pt>
                <c:pt idx="825">
                  <c:v>2.3701632875914314E-2</c:v>
                </c:pt>
                <c:pt idx="826">
                  <c:v>2.3326075709139554E-2</c:v>
                </c:pt>
                <c:pt idx="827">
                  <c:v>2.340310397491472E-2</c:v>
                </c:pt>
                <c:pt idx="828">
                  <c:v>2.3724528374266841E-2</c:v>
                </c:pt>
                <c:pt idx="829">
                  <c:v>2.3286319184868502E-2</c:v>
                </c:pt>
                <c:pt idx="830">
                  <c:v>2.3486521682090585E-2</c:v>
                </c:pt>
                <c:pt idx="831">
                  <c:v>2.3826404467711407E-2</c:v>
                </c:pt>
                <c:pt idx="832">
                  <c:v>2.3391922452463486E-2</c:v>
                </c:pt>
                <c:pt idx="833">
                  <c:v>2.2609393365360501E-2</c:v>
                </c:pt>
                <c:pt idx="834">
                  <c:v>2.3299098067669912E-2</c:v>
                </c:pt>
                <c:pt idx="835">
                  <c:v>2.2880234686957046E-2</c:v>
                </c:pt>
                <c:pt idx="836">
                  <c:v>2.3298920583186559E-2</c:v>
                </c:pt>
                <c:pt idx="837">
                  <c:v>2.3638980853290734E-2</c:v>
                </c:pt>
                <c:pt idx="838">
                  <c:v>2.3144686567152881E-2</c:v>
                </c:pt>
                <c:pt idx="839">
                  <c:v>2.3002344011503847E-2</c:v>
                </c:pt>
                <c:pt idx="840">
                  <c:v>2.299755193045332E-2</c:v>
                </c:pt>
                <c:pt idx="841">
                  <c:v>2.35087072425097E-2</c:v>
                </c:pt>
                <c:pt idx="842">
                  <c:v>2.3099960477347949E-2</c:v>
                </c:pt>
                <c:pt idx="843">
                  <c:v>2.2762207505527363E-2</c:v>
                </c:pt>
                <c:pt idx="844">
                  <c:v>2.2904195092209687E-2</c:v>
                </c:pt>
                <c:pt idx="845">
                  <c:v>2.3289336421085504E-2</c:v>
                </c:pt>
                <c:pt idx="846">
                  <c:v>2.3020802397772547E-2</c:v>
                </c:pt>
                <c:pt idx="847">
                  <c:v>2.3115224142916297E-2</c:v>
                </c:pt>
                <c:pt idx="848">
                  <c:v>2.3107769794615478E-2</c:v>
                </c:pt>
                <c:pt idx="849">
                  <c:v>2.2945194007864211E-2</c:v>
                </c:pt>
                <c:pt idx="850">
                  <c:v>2.3267860798599799E-2</c:v>
                </c:pt>
                <c:pt idx="851">
                  <c:v>2.3152318399937057E-2</c:v>
                </c:pt>
                <c:pt idx="852">
                  <c:v>2.324052818816345E-2</c:v>
                </c:pt>
                <c:pt idx="853">
                  <c:v>2.3217100236360869E-2</c:v>
                </c:pt>
                <c:pt idx="854">
                  <c:v>2.294164431819715E-2</c:v>
                </c:pt>
                <c:pt idx="855">
                  <c:v>2.3280107227951152E-2</c:v>
                </c:pt>
                <c:pt idx="856">
                  <c:v>2.2952115902714974E-2</c:v>
                </c:pt>
                <c:pt idx="857">
                  <c:v>2.3264488593416097E-2</c:v>
                </c:pt>
                <c:pt idx="858">
                  <c:v>2.3325720740172851E-2</c:v>
                </c:pt>
                <c:pt idx="859">
                  <c:v>2.2834088721285287E-2</c:v>
                </c:pt>
                <c:pt idx="860">
                  <c:v>2.2581173332507389E-2</c:v>
                </c:pt>
                <c:pt idx="861">
                  <c:v>2.0982393106464381E-2</c:v>
                </c:pt>
                <c:pt idx="862">
                  <c:v>2.0613047896606975E-2</c:v>
                </c:pt>
                <c:pt idx="863">
                  <c:v>2.0756277874672768E-2</c:v>
                </c:pt>
                <c:pt idx="864">
                  <c:v>2.0762667316073475E-2</c:v>
                </c:pt>
                <c:pt idx="865">
                  <c:v>2.2679499736284903E-2</c:v>
                </c:pt>
                <c:pt idx="866">
                  <c:v>2.3692226198296612E-2</c:v>
                </c:pt>
                <c:pt idx="867">
                  <c:v>2.3802799031425469E-2</c:v>
                </c:pt>
                <c:pt idx="868">
                  <c:v>2.3695598403480313E-2</c:v>
                </c:pt>
                <c:pt idx="869">
                  <c:v>2.4415830436926425E-2</c:v>
                </c:pt>
                <c:pt idx="870">
                  <c:v>2.4078432434072539E-2</c:v>
                </c:pt>
                <c:pt idx="871">
                  <c:v>2.4715956698276195E-2</c:v>
                </c:pt>
                <c:pt idx="872">
                  <c:v>2.380102418659194E-2</c:v>
                </c:pt>
                <c:pt idx="873">
                  <c:v>2.4073995321988718E-2</c:v>
                </c:pt>
                <c:pt idx="874">
                  <c:v>2.4664131229137142E-2</c:v>
                </c:pt>
                <c:pt idx="875">
                  <c:v>2.3683529458612317E-2</c:v>
                </c:pt>
                <c:pt idx="876">
                  <c:v>2.4209770951753695E-2</c:v>
                </c:pt>
                <c:pt idx="877">
                  <c:v>2.4358680433286786E-2</c:v>
                </c:pt>
                <c:pt idx="878">
                  <c:v>2.4486114292334177E-2</c:v>
                </c:pt>
                <c:pt idx="879">
                  <c:v>2.3447652580236299E-2</c:v>
                </c:pt>
                <c:pt idx="880">
                  <c:v>2.4247752631191215E-2</c:v>
                </c:pt>
                <c:pt idx="881">
                  <c:v>2.384521782294682E-2</c:v>
                </c:pt>
                <c:pt idx="882">
                  <c:v>2.4409795964492421E-2</c:v>
                </c:pt>
                <c:pt idx="883">
                  <c:v>2.3414462981849304E-2</c:v>
                </c:pt>
                <c:pt idx="884">
                  <c:v>2.3834746238428996E-2</c:v>
                </c:pt>
                <c:pt idx="885">
                  <c:v>2.4648512594602087E-2</c:v>
                </c:pt>
                <c:pt idx="886">
                  <c:v>2.4631829053166913E-2</c:v>
                </c:pt>
                <c:pt idx="887">
                  <c:v>2.4039208363251546E-2</c:v>
                </c:pt>
                <c:pt idx="888">
                  <c:v>2.4244735394974216E-2</c:v>
                </c:pt>
                <c:pt idx="889">
                  <c:v>2.3932895157723157E-2</c:v>
                </c:pt>
                <c:pt idx="890">
                  <c:v>2.4036368611517898E-2</c:v>
                </c:pt>
                <c:pt idx="891">
                  <c:v>2.4677265080905262E-2</c:v>
                </c:pt>
                <c:pt idx="892">
                  <c:v>2.393325012668986E-2</c:v>
                </c:pt>
                <c:pt idx="893">
                  <c:v>2.3904852609353395E-2</c:v>
                </c:pt>
                <c:pt idx="894">
                  <c:v>2.4422752331777188E-2</c:v>
                </c:pt>
                <c:pt idx="895">
                  <c:v>2.3751328531253123E-2</c:v>
                </c:pt>
                <c:pt idx="896">
                  <c:v>2.4282894558895093E-2</c:v>
                </c:pt>
                <c:pt idx="897">
                  <c:v>2.4187940360301287E-2</c:v>
                </c:pt>
                <c:pt idx="898">
                  <c:v>2.4517351561404291E-2</c:v>
                </c:pt>
                <c:pt idx="899">
                  <c:v>2.3983833204445436E-2</c:v>
                </c:pt>
                <c:pt idx="900">
                  <c:v>2.378860027275724E-2</c:v>
                </c:pt>
                <c:pt idx="901">
                  <c:v>2.4161672656765054E-2</c:v>
                </c:pt>
                <c:pt idx="902">
                  <c:v>2.4162382594698467E-2</c:v>
                </c:pt>
                <c:pt idx="903">
                  <c:v>2.4168239582649114E-2</c:v>
                </c:pt>
                <c:pt idx="904">
                  <c:v>2.3733225113951133E-2</c:v>
                </c:pt>
                <c:pt idx="905">
                  <c:v>2.4436596121478714E-2</c:v>
                </c:pt>
                <c:pt idx="906">
                  <c:v>2.4143391754979704E-2</c:v>
                </c:pt>
                <c:pt idx="907">
                  <c:v>2.3481197147589998E-2</c:v>
                </c:pt>
                <c:pt idx="908">
                  <c:v>2.4494633547535116E-2</c:v>
                </c:pt>
                <c:pt idx="909">
                  <c:v>2.4052519699503012E-2</c:v>
                </c:pt>
                <c:pt idx="910">
                  <c:v>2.4379978571289134E-2</c:v>
                </c:pt>
                <c:pt idx="911">
                  <c:v>2.386988816613287E-2</c:v>
                </c:pt>
                <c:pt idx="912">
                  <c:v>2.4185455577534345E-2</c:v>
                </c:pt>
                <c:pt idx="913">
                  <c:v>2.4360987731570374E-2</c:v>
                </c:pt>
                <c:pt idx="914">
                  <c:v>2.4458071743964412E-2</c:v>
                </c:pt>
                <c:pt idx="915">
                  <c:v>2.4070268147838306E-2</c:v>
                </c:pt>
                <c:pt idx="916">
                  <c:v>2.4308807293464619E-2</c:v>
                </c:pt>
                <c:pt idx="917">
                  <c:v>2.4096713335857892E-2</c:v>
                </c:pt>
                <c:pt idx="918">
                  <c:v>2.3943011773274268E-2</c:v>
                </c:pt>
                <c:pt idx="919">
                  <c:v>2.423887840702357E-2</c:v>
                </c:pt>
                <c:pt idx="920">
                  <c:v>2.4104522653125418E-2</c:v>
                </c:pt>
                <c:pt idx="921">
                  <c:v>2.4181728403383933E-2</c:v>
                </c:pt>
                <c:pt idx="922">
                  <c:v>2.4141794394629532E-2</c:v>
                </c:pt>
                <c:pt idx="923">
                  <c:v>2.4039740816701606E-2</c:v>
                </c:pt>
                <c:pt idx="924">
                  <c:v>2.3881602142034164E-2</c:v>
                </c:pt>
                <c:pt idx="925">
                  <c:v>2.4250059929474804E-2</c:v>
                </c:pt>
                <c:pt idx="926">
                  <c:v>2.4079319856489305E-2</c:v>
                </c:pt>
                <c:pt idx="927">
                  <c:v>2.4465703576748592E-2</c:v>
                </c:pt>
                <c:pt idx="928">
                  <c:v>2.4505105132052937E-2</c:v>
                </c:pt>
                <c:pt idx="929">
                  <c:v>2.409493849102436E-2</c:v>
                </c:pt>
                <c:pt idx="930">
                  <c:v>2.4141971879112881E-2</c:v>
                </c:pt>
                <c:pt idx="931">
                  <c:v>2.4136114891162234E-2</c:v>
                </c:pt>
                <c:pt idx="932">
                  <c:v>2.3422804752566893E-2</c:v>
                </c:pt>
                <c:pt idx="933">
                  <c:v>2.3965552302660089E-2</c:v>
                </c:pt>
                <c:pt idx="934">
                  <c:v>2.4165754799882172E-2</c:v>
                </c:pt>
                <c:pt idx="935">
                  <c:v>2.3853737078147755E-2</c:v>
                </c:pt>
                <c:pt idx="936">
                  <c:v>2.4663598775687086E-2</c:v>
                </c:pt>
                <c:pt idx="937">
                  <c:v>2.4143036786012997E-2</c:v>
                </c:pt>
                <c:pt idx="938">
                  <c:v>2.4509364759653408E-2</c:v>
                </c:pt>
                <c:pt idx="939">
                  <c:v>2.3984543142378852E-2</c:v>
                </c:pt>
                <c:pt idx="940">
                  <c:v>2.4064411159887663E-2</c:v>
                </c:pt>
                <c:pt idx="941">
                  <c:v>2.4058554171937016E-2</c:v>
                </c:pt>
                <c:pt idx="942">
                  <c:v>2.443215900939489E-2</c:v>
                </c:pt>
                <c:pt idx="943">
                  <c:v>2.4025542058033374E-2</c:v>
                </c:pt>
                <c:pt idx="944">
                  <c:v>2.4436063668028658E-2</c:v>
                </c:pt>
                <c:pt idx="945">
                  <c:v>2.4349273755669081E-2</c:v>
                </c:pt>
                <c:pt idx="946">
                  <c:v>2.3776176358922534E-2</c:v>
                </c:pt>
                <c:pt idx="947">
                  <c:v>2.431271195209838E-2</c:v>
                </c:pt>
                <c:pt idx="948">
                  <c:v>2.4445292861163006E-2</c:v>
                </c:pt>
                <c:pt idx="949">
                  <c:v>2.4911899567897806E-2</c:v>
                </c:pt>
                <c:pt idx="950">
                  <c:v>2.3945141587074503E-2</c:v>
                </c:pt>
                <c:pt idx="951">
                  <c:v>2.1510586928922638E-2</c:v>
                </c:pt>
                <c:pt idx="952">
                  <c:v>2.189324347503151E-2</c:v>
                </c:pt>
                <c:pt idx="953">
                  <c:v>2.3968037085427035E-2</c:v>
                </c:pt>
                <c:pt idx="954">
                  <c:v>2.4539359637340049E-2</c:v>
                </c:pt>
                <c:pt idx="955">
                  <c:v>2.4603431535830448E-2</c:v>
                </c:pt>
                <c:pt idx="956">
                  <c:v>2.5108019922002772E-2</c:v>
                </c:pt>
                <c:pt idx="957">
                  <c:v>2.5096838399551537E-2</c:v>
                </c:pt>
                <c:pt idx="958">
                  <c:v>2.4484161963017292E-2</c:v>
                </c:pt>
                <c:pt idx="959">
                  <c:v>2.5053354701130078E-2</c:v>
                </c:pt>
                <c:pt idx="960">
                  <c:v>2.469306119992367E-2</c:v>
                </c:pt>
                <c:pt idx="961">
                  <c:v>2.429496350376309E-2</c:v>
                </c:pt>
                <c:pt idx="962">
                  <c:v>2.420746365347011E-2</c:v>
                </c:pt>
                <c:pt idx="963">
                  <c:v>2.4047550133969132E-2</c:v>
                </c:pt>
                <c:pt idx="964">
                  <c:v>2.4108604796242536E-2</c:v>
                </c:pt>
                <c:pt idx="965">
                  <c:v>2.4133452623911943E-2</c:v>
                </c:pt>
                <c:pt idx="966">
                  <c:v>2.4600236815130096E-2</c:v>
                </c:pt>
                <c:pt idx="967">
                  <c:v>2.4646382780801852E-2</c:v>
                </c:pt>
                <c:pt idx="968">
                  <c:v>2.5340702079678437E-2</c:v>
                </c:pt>
                <c:pt idx="969">
                  <c:v>2.5130560451388593E-2</c:v>
                </c:pt>
                <c:pt idx="970">
                  <c:v>2.4774704062266006E-2</c:v>
                </c:pt>
                <c:pt idx="971">
                  <c:v>2.5192857505045463E-2</c:v>
                </c:pt>
                <c:pt idx="972">
                  <c:v>2.4670875639504555E-2</c:v>
                </c:pt>
                <c:pt idx="973">
                  <c:v>2.5361645248714083E-2</c:v>
                </c:pt>
                <c:pt idx="974">
                  <c:v>2.5508069947480231E-2</c:v>
                </c:pt>
                <c:pt idx="975">
                  <c:v>2.5388445405700372E-2</c:v>
                </c:pt>
                <c:pt idx="976">
                  <c:v>2.4700515548224489E-2</c:v>
                </c:pt>
                <c:pt idx="977">
                  <c:v>2.4594734796146159E-2</c:v>
                </c:pt>
                <c:pt idx="978">
                  <c:v>2.5137659830722709E-2</c:v>
                </c:pt>
                <c:pt idx="979">
                  <c:v>2.5082639640883309E-2</c:v>
                </c:pt>
                <c:pt idx="980">
                  <c:v>2.454965373737452E-2</c:v>
                </c:pt>
                <c:pt idx="981">
                  <c:v>2.5156828154924822E-2</c:v>
                </c:pt>
                <c:pt idx="982">
                  <c:v>2.4413345654159483E-2</c:v>
                </c:pt>
                <c:pt idx="983">
                  <c:v>2.4933375190383508E-2</c:v>
                </c:pt>
                <c:pt idx="984">
                  <c:v>2.4881194752277753E-2</c:v>
                </c:pt>
                <c:pt idx="985">
                  <c:v>2.4894328604045869E-2</c:v>
                </c:pt>
                <c:pt idx="986">
                  <c:v>2.5157360608374882E-2</c:v>
                </c:pt>
                <c:pt idx="987">
                  <c:v>2.4969582024987502E-2</c:v>
                </c:pt>
                <c:pt idx="988">
                  <c:v>2.4522853580388228E-2</c:v>
                </c:pt>
                <c:pt idx="989">
                  <c:v>2.5509312338863704E-2</c:v>
                </c:pt>
                <c:pt idx="990">
                  <c:v>2.5499905661245999E-2</c:v>
                </c:pt>
                <c:pt idx="991">
                  <c:v>2.4715956698276195E-2</c:v>
                </c:pt>
                <c:pt idx="992">
                  <c:v>2.4903735281663571E-2</c:v>
                </c:pt>
                <c:pt idx="993">
                  <c:v>2.5242730644867633E-2</c:v>
                </c:pt>
                <c:pt idx="994">
                  <c:v>2.5282487169138682E-2</c:v>
                </c:pt>
                <c:pt idx="995">
                  <c:v>2.2394282171536776E-2</c:v>
                </c:pt>
                <c:pt idx="996">
                  <c:v>2.2060256373866598E-2</c:v>
                </c:pt>
                <c:pt idx="997">
                  <c:v>2.4831854065905642E-2</c:v>
                </c:pt>
                <c:pt idx="998">
                  <c:v>2.5241310769000807E-2</c:v>
                </c:pt>
                <c:pt idx="999">
                  <c:v>2.4501022988935819E-2</c:v>
                </c:pt>
                <c:pt idx="1000">
                  <c:v>2.4643543029068207E-2</c:v>
                </c:pt>
                <c:pt idx="1001">
                  <c:v>2.4675845205038436E-2</c:v>
                </c:pt>
                <c:pt idx="1002">
                  <c:v>2.5179013715343937E-2</c:v>
                </c:pt>
                <c:pt idx="1003">
                  <c:v>2.5384540747066607E-2</c:v>
                </c:pt>
                <c:pt idx="1004">
                  <c:v>2.5488724138794765E-2</c:v>
                </c:pt>
                <c:pt idx="1005">
                  <c:v>2.5237761079333745E-2</c:v>
                </c:pt>
                <c:pt idx="1006">
                  <c:v>2.4765297384648301E-2</c:v>
                </c:pt>
                <c:pt idx="1007">
                  <c:v>2.5126123339304772E-2</c:v>
                </c:pt>
                <c:pt idx="1008">
                  <c:v>2.5033298954511198E-2</c:v>
                </c:pt>
                <c:pt idx="1009">
                  <c:v>2.5428734383421477E-2</c:v>
                </c:pt>
                <c:pt idx="1010">
                  <c:v>2.5489789045694881E-2</c:v>
                </c:pt>
                <c:pt idx="1011">
                  <c:v>2.4903735281663571E-2</c:v>
                </c:pt>
                <c:pt idx="1012">
                  <c:v>2.5370696957365081E-2</c:v>
                </c:pt>
                <c:pt idx="1013">
                  <c:v>2.4879952360894284E-2</c:v>
                </c:pt>
                <c:pt idx="1014">
                  <c:v>2.5525995880298875E-2</c:v>
                </c:pt>
                <c:pt idx="1015">
                  <c:v>2.4784465708850418E-2</c:v>
                </c:pt>
                <c:pt idx="1016">
                  <c:v>2.4917756555848453E-2</c:v>
                </c:pt>
                <c:pt idx="1017">
                  <c:v>2.4953075968035685E-2</c:v>
                </c:pt>
                <c:pt idx="1018">
                  <c:v>2.5154165887674527E-2</c:v>
                </c:pt>
                <c:pt idx="1019">
                  <c:v>2.4855814471158286E-2</c:v>
                </c:pt>
                <c:pt idx="1020">
                  <c:v>2.5271128162204094E-2</c:v>
                </c:pt>
                <c:pt idx="1021">
                  <c:v>2.5287279250189209E-2</c:v>
                </c:pt>
                <c:pt idx="1022">
                  <c:v>2.4449375004280124E-2</c:v>
                </c:pt>
                <c:pt idx="1023">
                  <c:v>2.5206523810263635E-2</c:v>
                </c:pt>
                <c:pt idx="1024">
                  <c:v>2.5155940732508059E-2</c:v>
                </c:pt>
                <c:pt idx="1025">
                  <c:v>2.5278050057054857E-2</c:v>
                </c:pt>
                <c:pt idx="1026">
                  <c:v>2.4652772222202558E-2</c:v>
                </c:pt>
                <c:pt idx="1027">
                  <c:v>2.5379571181532726E-2</c:v>
                </c:pt>
                <c:pt idx="1028">
                  <c:v>2.5291716362273033E-2</c:v>
                </c:pt>
                <c:pt idx="1029">
                  <c:v>2.5295621020906798E-2</c:v>
                </c:pt>
                <c:pt idx="1030">
                  <c:v>2.4727848158660838E-2</c:v>
                </c:pt>
                <c:pt idx="1031">
                  <c:v>2.5208298655097161E-2</c:v>
                </c:pt>
                <c:pt idx="1032">
                  <c:v>2.544719276969018E-2</c:v>
                </c:pt>
                <c:pt idx="1033">
                  <c:v>2.5597699611573453E-2</c:v>
                </c:pt>
                <c:pt idx="1034">
                  <c:v>2.5354013415929907E-2</c:v>
                </c:pt>
                <c:pt idx="1035">
                  <c:v>2.5459439199041534E-2</c:v>
                </c:pt>
                <c:pt idx="1036">
                  <c:v>2.5336087483111263E-2</c:v>
                </c:pt>
                <c:pt idx="1037">
                  <c:v>2.5048917589046253E-2</c:v>
                </c:pt>
                <c:pt idx="1038">
                  <c:v>2.5339637172778321E-2</c:v>
                </c:pt>
                <c:pt idx="1039">
                  <c:v>2.4982005938822206E-2</c:v>
                </c:pt>
                <c:pt idx="1040">
                  <c:v>2.5843338136533878E-2</c:v>
                </c:pt>
                <c:pt idx="1041">
                  <c:v>2.2540884354786281E-2</c:v>
                </c:pt>
                <c:pt idx="1042">
                  <c:v>2.4681702192989083E-2</c:v>
                </c:pt>
                <c:pt idx="1043">
                  <c:v>2.5249475055235043E-2</c:v>
                </c:pt>
                <c:pt idx="1044">
                  <c:v>2.4811088381353354E-2</c:v>
                </c:pt>
                <c:pt idx="1045">
                  <c:v>2.5724955986137485E-2</c:v>
                </c:pt>
                <c:pt idx="1046">
                  <c:v>2.4922371152415627E-2</c:v>
                </c:pt>
                <c:pt idx="1047">
                  <c:v>2.5632664054793974E-2</c:v>
                </c:pt>
                <c:pt idx="1048">
                  <c:v>2.5430509228255009E-2</c:v>
                </c:pt>
                <c:pt idx="1049">
                  <c:v>2.5351351148679608E-2</c:v>
                </c:pt>
                <c:pt idx="1050">
                  <c:v>2.5436543700689009E-2</c:v>
                </c:pt>
                <c:pt idx="1051">
                  <c:v>2.4537407308023167E-2</c:v>
                </c:pt>
                <c:pt idx="1052">
                  <c:v>2.5805888910546415E-2</c:v>
                </c:pt>
                <c:pt idx="1053">
                  <c:v>2.5759210491424597E-2</c:v>
                </c:pt>
                <c:pt idx="1054">
                  <c:v>2.5154165887674527E-2</c:v>
                </c:pt>
                <c:pt idx="1055">
                  <c:v>2.5682359710132791E-2</c:v>
                </c:pt>
                <c:pt idx="1056">
                  <c:v>2.5380813572916192E-2</c:v>
                </c:pt>
                <c:pt idx="1057">
                  <c:v>2.4497650783752115E-2</c:v>
                </c:pt>
                <c:pt idx="1058">
                  <c:v>2.5362710155614202E-2</c:v>
                </c:pt>
                <c:pt idx="1059">
                  <c:v>2.5345671645212318E-2</c:v>
                </c:pt>
                <c:pt idx="1060">
                  <c:v>2.5223562320665516E-2</c:v>
                </c:pt>
                <c:pt idx="1061">
                  <c:v>2.5305560151974559E-2</c:v>
                </c:pt>
                <c:pt idx="1062">
                  <c:v>2.5089739020217425E-2</c:v>
                </c:pt>
                <c:pt idx="1063">
                  <c:v>2.5069860758081895E-2</c:v>
                </c:pt>
                <c:pt idx="1064">
                  <c:v>2.5581903492555045E-2</c:v>
                </c:pt>
                <c:pt idx="1065">
                  <c:v>2.5361290279747376E-2</c:v>
                </c:pt>
                <c:pt idx="1066">
                  <c:v>2.5289054095022738E-2</c:v>
                </c:pt>
                <c:pt idx="1067">
                  <c:v>2.5635681291010973E-2</c:v>
                </c:pt>
                <c:pt idx="1068">
                  <c:v>2.5275387789804565E-2</c:v>
                </c:pt>
                <c:pt idx="1069">
                  <c:v>2.5737557384455545E-2</c:v>
                </c:pt>
                <c:pt idx="1070">
                  <c:v>2.5326680805493558E-2</c:v>
                </c:pt>
                <c:pt idx="1071">
                  <c:v>2.620203427739011E-2</c:v>
                </c:pt>
                <c:pt idx="1072">
                  <c:v>2.5881497300454755E-2</c:v>
                </c:pt>
                <c:pt idx="1073">
                  <c:v>2.6289356643199743E-2</c:v>
                </c:pt>
                <c:pt idx="1074">
                  <c:v>2.7327285901847558E-2</c:v>
                </c:pt>
                <c:pt idx="1075">
                  <c:v>2.3408428509415307E-2</c:v>
                </c:pt>
                <c:pt idx="1076">
                  <c:v>2.424988244499145E-2</c:v>
                </c:pt>
                <c:pt idx="1077">
                  <c:v>2.5529900538932639E-2</c:v>
                </c:pt>
                <c:pt idx="1078">
                  <c:v>2.5484996964644353E-2</c:v>
                </c:pt>
                <c:pt idx="1079">
                  <c:v>2.561047849437486E-2</c:v>
                </c:pt>
                <c:pt idx="1080">
                  <c:v>2.5535402557916576E-2</c:v>
                </c:pt>
                <c:pt idx="1081">
                  <c:v>2.5127898184138298E-2</c:v>
                </c:pt>
                <c:pt idx="1082">
                  <c:v>2.4849779998724286E-2</c:v>
                </c:pt>
                <c:pt idx="1083">
                  <c:v>2.5086721784000423E-2</c:v>
                </c:pt>
                <c:pt idx="1084">
                  <c:v>2.6265573722430449E-2</c:v>
                </c:pt>
                <c:pt idx="1085">
                  <c:v>2.4789435274384299E-2</c:v>
                </c:pt>
                <c:pt idx="1086">
                  <c:v>2.500490143717473E-2</c:v>
                </c:pt>
                <c:pt idx="1087">
                  <c:v>2.5826832079582057E-2</c:v>
                </c:pt>
                <c:pt idx="1088">
                  <c:v>2.5316741674425793E-2</c:v>
                </c:pt>
                <c:pt idx="1089">
                  <c:v>2.559042274775598E-2</c:v>
                </c:pt>
                <c:pt idx="1090">
                  <c:v>2.5656801944529968E-2</c:v>
                </c:pt>
                <c:pt idx="1091">
                  <c:v>2.6078327592493129E-2</c:v>
                </c:pt>
                <c:pt idx="1092">
                  <c:v>2.5760985336258126E-2</c:v>
                </c:pt>
                <c:pt idx="1093">
                  <c:v>2.5859844193485696E-2</c:v>
                </c:pt>
                <c:pt idx="1094">
                  <c:v>2.5053177216646724E-2</c:v>
                </c:pt>
                <c:pt idx="1095">
                  <c:v>2.5462456435258532E-2</c:v>
                </c:pt>
                <c:pt idx="1096">
                  <c:v>2.5830204284765765E-2</c:v>
                </c:pt>
                <c:pt idx="1097">
                  <c:v>2.5053354701130078E-2</c:v>
                </c:pt>
                <c:pt idx="1098">
                  <c:v>2.5742704434472779E-2</c:v>
                </c:pt>
                <c:pt idx="1099">
                  <c:v>2.5845112981367407E-2</c:v>
                </c:pt>
                <c:pt idx="1100">
                  <c:v>2.5485706902577763E-2</c:v>
                </c:pt>
                <c:pt idx="1101">
                  <c:v>2.595923550416333E-2</c:v>
                </c:pt>
                <c:pt idx="1102">
                  <c:v>2.5487481747411292E-2</c:v>
                </c:pt>
                <c:pt idx="1103">
                  <c:v>2.5593617468456335E-2</c:v>
                </c:pt>
                <c:pt idx="1104">
                  <c:v>2.5304672729557796E-2</c:v>
                </c:pt>
                <c:pt idx="1105">
                  <c:v>2.5723713594754016E-2</c:v>
                </c:pt>
                <c:pt idx="1106">
                  <c:v>2.525976915526951E-2</c:v>
                </c:pt>
                <c:pt idx="1107">
                  <c:v>2.5906522612607515E-2</c:v>
                </c:pt>
                <c:pt idx="1108">
                  <c:v>2.5712887041269488E-2</c:v>
                </c:pt>
                <c:pt idx="1109">
                  <c:v>2.6058271845874253E-2</c:v>
                </c:pt>
                <c:pt idx="1110">
                  <c:v>2.5750868720707015E-2</c:v>
                </c:pt>
                <c:pt idx="1111">
                  <c:v>2.5608348680574624E-2</c:v>
                </c:pt>
                <c:pt idx="1112">
                  <c:v>2.5131447873805356E-2</c:v>
                </c:pt>
                <c:pt idx="1113">
                  <c:v>2.5962075255896975E-2</c:v>
                </c:pt>
                <c:pt idx="1114">
                  <c:v>2.5708094960218961E-2</c:v>
                </c:pt>
                <c:pt idx="1115">
                  <c:v>2.5669048373881322E-2</c:v>
                </c:pt>
                <c:pt idx="1116">
                  <c:v>2.5500260630212702E-2</c:v>
                </c:pt>
                <c:pt idx="1117">
                  <c:v>2.5925690936809628E-2</c:v>
                </c:pt>
                <c:pt idx="1118">
                  <c:v>2.5481092306010589E-2</c:v>
                </c:pt>
                <c:pt idx="1119">
                  <c:v>2.6287226829399508E-2</c:v>
                </c:pt>
                <c:pt idx="1120">
                  <c:v>2.5875107859054048E-2</c:v>
                </c:pt>
                <c:pt idx="1121">
                  <c:v>2.5146001601440291E-2</c:v>
                </c:pt>
                <c:pt idx="1122">
                  <c:v>2.7610373652795447E-2</c:v>
                </c:pt>
                <c:pt idx="1123">
                  <c:v>2.3843975431563347E-2</c:v>
                </c:pt>
                <c:pt idx="1124">
                  <c:v>2.6275335369014861E-2</c:v>
                </c:pt>
                <c:pt idx="1125">
                  <c:v>2.5718566544736785E-2</c:v>
                </c:pt>
                <c:pt idx="1126">
                  <c:v>2.580375909674618E-2</c:v>
                </c:pt>
                <c:pt idx="1127">
                  <c:v>2.5411695873019603E-2</c:v>
                </c:pt>
                <c:pt idx="1128">
                  <c:v>2.5580306132204866E-2</c:v>
                </c:pt>
                <c:pt idx="1129">
                  <c:v>2.6679467537609438E-2</c:v>
                </c:pt>
                <c:pt idx="1130">
                  <c:v>2.4994784821623615E-2</c:v>
                </c:pt>
                <c:pt idx="1131">
                  <c:v>2.5329343072743853E-2</c:v>
                </c:pt>
                <c:pt idx="1132">
                  <c:v>2.6039635975122197E-2</c:v>
                </c:pt>
                <c:pt idx="1133">
                  <c:v>2.6325740962287091E-2</c:v>
                </c:pt>
                <c:pt idx="1134">
                  <c:v>2.5762582696608305E-2</c:v>
                </c:pt>
                <c:pt idx="1135">
                  <c:v>2.6401704321162133E-2</c:v>
                </c:pt>
                <c:pt idx="1136">
                  <c:v>2.5830914222699175E-2</c:v>
                </c:pt>
                <c:pt idx="1137">
                  <c:v>2.5881319815971401E-2</c:v>
                </c:pt>
                <c:pt idx="1138">
                  <c:v>2.5767374777658832E-2</c:v>
                </c:pt>
                <c:pt idx="1139">
                  <c:v>2.5894453667739518E-2</c:v>
                </c:pt>
                <c:pt idx="1140">
                  <c:v>2.5065778614964777E-2</c:v>
                </c:pt>
                <c:pt idx="1141">
                  <c:v>2.5693363748100672E-2</c:v>
                </c:pt>
                <c:pt idx="1142">
                  <c:v>2.5697978344667843E-2</c:v>
                </c:pt>
                <c:pt idx="1143">
                  <c:v>2.6372064412442196E-2</c:v>
                </c:pt>
                <c:pt idx="1144">
                  <c:v>2.56465078444955E-2</c:v>
                </c:pt>
                <c:pt idx="1145">
                  <c:v>2.6211263470524462E-2</c:v>
                </c:pt>
                <c:pt idx="1146">
                  <c:v>2.6162100268635705E-2</c:v>
                </c:pt>
                <c:pt idx="1147">
                  <c:v>2.5683247132549554E-2</c:v>
                </c:pt>
                <c:pt idx="1148">
                  <c:v>2.6012125880202495E-2</c:v>
                </c:pt>
                <c:pt idx="1149">
                  <c:v>2.5823637358881706E-2</c:v>
                </c:pt>
                <c:pt idx="1150">
                  <c:v>2.6147901509967472E-2</c:v>
                </c:pt>
                <c:pt idx="1151">
                  <c:v>2.60520598889569E-2</c:v>
                </c:pt>
                <c:pt idx="1152">
                  <c:v>2.5517831594064639E-2</c:v>
                </c:pt>
                <c:pt idx="1153">
                  <c:v>2.6181623561804524E-2</c:v>
                </c:pt>
                <c:pt idx="1154">
                  <c:v>2.6179138779037586E-2</c:v>
                </c:pt>
                <c:pt idx="1155">
                  <c:v>2.5587937964989038E-2</c:v>
                </c:pt>
                <c:pt idx="1156">
                  <c:v>2.5583323368421864E-2</c:v>
                </c:pt>
                <c:pt idx="1157">
                  <c:v>2.643933103163295E-2</c:v>
                </c:pt>
                <c:pt idx="1158">
                  <c:v>2.6087556785627481E-2</c:v>
                </c:pt>
                <c:pt idx="1159">
                  <c:v>2.5978581312848796E-2</c:v>
                </c:pt>
                <c:pt idx="1160">
                  <c:v>2.5639585949644737E-2</c:v>
                </c:pt>
                <c:pt idx="1161">
                  <c:v>2.6303377917384619E-2</c:v>
                </c:pt>
                <c:pt idx="1162">
                  <c:v>2.574767400000666E-2</c:v>
                </c:pt>
                <c:pt idx="1163">
                  <c:v>2.5946101652395213E-2</c:v>
                </c:pt>
                <c:pt idx="1164">
                  <c:v>2.6078150108009776E-2</c:v>
                </c:pt>
                <c:pt idx="1165">
                  <c:v>2.5929595595443392E-2</c:v>
                </c:pt>
                <c:pt idx="1166">
                  <c:v>2.5562557683869572E-2</c:v>
                </c:pt>
                <c:pt idx="1167">
                  <c:v>2.6213925737774754E-2</c:v>
                </c:pt>
                <c:pt idx="1168">
                  <c:v>2.635768816929061E-2</c:v>
                </c:pt>
                <c:pt idx="1169">
                  <c:v>2.6825004813958823E-2</c:v>
                </c:pt>
                <c:pt idx="1170">
                  <c:v>2.5962785193830388E-2</c:v>
                </c:pt>
                <c:pt idx="1171">
                  <c:v>2.6088621692527601E-2</c:v>
                </c:pt>
                <c:pt idx="1172">
                  <c:v>2.6498078395622762E-2</c:v>
                </c:pt>
                <c:pt idx="1173">
                  <c:v>2.5670113280781438E-2</c:v>
                </c:pt>
                <c:pt idx="1174">
                  <c:v>2.6182688468704644E-2</c:v>
                </c:pt>
                <c:pt idx="1175">
                  <c:v>2.6000766873267907E-2</c:v>
                </c:pt>
                <c:pt idx="1176">
                  <c:v>2.5670823218714851E-2</c:v>
                </c:pt>
                <c:pt idx="1177">
                  <c:v>2.577784636217665E-2</c:v>
                </c:pt>
                <c:pt idx="1178">
                  <c:v>2.6259539249996453E-2</c:v>
                </c:pt>
                <c:pt idx="1179">
                  <c:v>2.556663982698669E-2</c:v>
                </c:pt>
                <c:pt idx="1180">
                  <c:v>2.5992070133583619E-2</c:v>
                </c:pt>
                <c:pt idx="1181">
                  <c:v>2.6043363149272608E-2</c:v>
                </c:pt>
                <c:pt idx="1182">
                  <c:v>2.6311719688102208E-2</c:v>
                </c:pt>
                <c:pt idx="1183">
                  <c:v>2.5874397921120638E-2</c:v>
                </c:pt>
                <c:pt idx="1184">
                  <c:v>2.609589855634507E-2</c:v>
                </c:pt>
                <c:pt idx="1185">
                  <c:v>2.6208423718790813E-2</c:v>
                </c:pt>
                <c:pt idx="1186">
                  <c:v>2.6331420465754381E-2</c:v>
                </c:pt>
                <c:pt idx="1187">
                  <c:v>2.5611543401274979E-2</c:v>
                </c:pt>
                <c:pt idx="1188">
                  <c:v>2.621996021020875E-2</c:v>
                </c:pt>
                <c:pt idx="1189">
                  <c:v>2.6435426372999189E-2</c:v>
                </c:pt>
                <c:pt idx="1190">
                  <c:v>2.6474472959336824E-2</c:v>
                </c:pt>
                <c:pt idx="1191">
                  <c:v>2.6358930560674079E-2</c:v>
                </c:pt>
                <c:pt idx="1192">
                  <c:v>2.562893688064356E-2</c:v>
                </c:pt>
                <c:pt idx="1193">
                  <c:v>2.6536237559543638E-2</c:v>
                </c:pt>
                <c:pt idx="1194">
                  <c:v>2.6523281192258878E-2</c:v>
                </c:pt>
                <c:pt idx="1195">
                  <c:v>2.6100158183945541E-2</c:v>
                </c:pt>
                <c:pt idx="1196">
                  <c:v>2.5743414372406188E-2</c:v>
                </c:pt>
                <c:pt idx="1197">
                  <c:v>2.5959767957613386E-2</c:v>
                </c:pt>
                <c:pt idx="1198">
                  <c:v>2.6144884273750474E-2</c:v>
                </c:pt>
                <c:pt idx="1199">
                  <c:v>2.6141867037533472E-2</c:v>
                </c:pt>
                <c:pt idx="1200">
                  <c:v>2.6281902294898921E-2</c:v>
                </c:pt>
                <c:pt idx="1201">
                  <c:v>2.6209488625690933E-2</c:v>
                </c:pt>
                <c:pt idx="1202">
                  <c:v>2.6086846847694072E-2</c:v>
                </c:pt>
                <c:pt idx="1203">
                  <c:v>2.6109742346046596E-2</c:v>
                </c:pt>
                <c:pt idx="1204">
                  <c:v>2.5693541232584018E-2</c:v>
                </c:pt>
                <c:pt idx="1205">
                  <c:v>2.6523636161225585E-2</c:v>
                </c:pt>
                <c:pt idx="1206">
                  <c:v>2.5921253824725803E-2</c:v>
                </c:pt>
                <c:pt idx="1207">
                  <c:v>2.5999879450851145E-2</c:v>
                </c:pt>
                <c:pt idx="1208">
                  <c:v>2.6490801531805296E-2</c:v>
                </c:pt>
                <c:pt idx="1209">
                  <c:v>2.6295036146667033E-2</c:v>
                </c:pt>
                <c:pt idx="1210">
                  <c:v>2.5867653510753229E-2</c:v>
                </c:pt>
                <c:pt idx="1211">
                  <c:v>2.6344554317522494E-2</c:v>
                </c:pt>
                <c:pt idx="1212">
                  <c:v>2.6087556785627481E-2</c:v>
                </c:pt>
                <c:pt idx="1213">
                  <c:v>2.610761253224636E-2</c:v>
                </c:pt>
                <c:pt idx="1214">
                  <c:v>2.5928708173026629E-2</c:v>
                </c:pt>
                <c:pt idx="1215">
                  <c:v>2.683813866572694E-2</c:v>
                </c:pt>
                <c:pt idx="1216">
                  <c:v>2.6045137994106137E-2</c:v>
                </c:pt>
                <c:pt idx="1217">
                  <c:v>2.6329468136437495E-2</c:v>
                </c:pt>
                <c:pt idx="1218">
                  <c:v>2.6616815514985862E-2</c:v>
                </c:pt>
                <c:pt idx="1219">
                  <c:v>2.5993490009450441E-2</c:v>
                </c:pt>
                <c:pt idx="1220">
                  <c:v>2.6084362064927129E-2</c:v>
                </c:pt>
                <c:pt idx="1221">
                  <c:v>2.5799676953629062E-2</c:v>
                </c:pt>
                <c:pt idx="1222">
                  <c:v>2.6360527921024259E-2</c:v>
                </c:pt>
                <c:pt idx="1223">
                  <c:v>2.6357333200323907E-2</c:v>
                </c:pt>
                <c:pt idx="1224">
                  <c:v>2.5740574620672543E-2</c:v>
                </c:pt>
                <c:pt idx="1225">
                  <c:v>2.6110629768463362E-2</c:v>
                </c:pt>
                <c:pt idx="1226">
                  <c:v>2.6190675270455526E-2</c:v>
                </c:pt>
                <c:pt idx="1227">
                  <c:v>2.6300538165650974E-2</c:v>
                </c:pt>
                <c:pt idx="1228">
                  <c:v>2.569105644981708E-2</c:v>
                </c:pt>
                <c:pt idx="1229">
                  <c:v>2.6645745485772383E-2</c:v>
                </c:pt>
                <c:pt idx="1230">
                  <c:v>2.6605633992534627E-2</c:v>
                </c:pt>
                <c:pt idx="1231">
                  <c:v>2.6047090323423023E-2</c:v>
                </c:pt>
                <c:pt idx="1232">
                  <c:v>2.5848840155517819E-2</c:v>
                </c:pt>
                <c:pt idx="1233">
                  <c:v>2.5950006311028978E-2</c:v>
                </c:pt>
                <c:pt idx="1234">
                  <c:v>2.5760097913841363E-2</c:v>
                </c:pt>
                <c:pt idx="1235">
                  <c:v>2.6856242083028937E-2</c:v>
                </c:pt>
                <c:pt idx="1236">
                  <c:v>2.6465598735169179E-2</c:v>
                </c:pt>
                <c:pt idx="1237">
                  <c:v>2.6065726194175073E-2</c:v>
                </c:pt>
                <c:pt idx="1238">
                  <c:v>2.6511389731874231E-2</c:v>
                </c:pt>
                <c:pt idx="1239">
                  <c:v>2.660155184941751E-2</c:v>
                </c:pt>
                <c:pt idx="1240">
                  <c:v>2.6380051214193082E-2</c:v>
                </c:pt>
                <c:pt idx="1241">
                  <c:v>2.5882384722871517E-2</c:v>
                </c:pt>
                <c:pt idx="1242">
                  <c:v>2.6199194525656461E-2</c:v>
                </c:pt>
                <c:pt idx="1243">
                  <c:v>2.6402591743578899E-2</c:v>
                </c:pt>
                <c:pt idx="1244">
                  <c:v>2.6356090808940434E-2</c:v>
                </c:pt>
                <c:pt idx="1245">
                  <c:v>2.5718744029220138E-2</c:v>
                </c:pt>
                <c:pt idx="1246">
                  <c:v>2.6634918932287859E-2</c:v>
                </c:pt>
                <c:pt idx="1247">
                  <c:v>2.653268786987658E-2</c:v>
                </c:pt>
                <c:pt idx="1248">
                  <c:v>2.6421582583297659E-2</c:v>
                </c:pt>
                <c:pt idx="1249">
                  <c:v>2.5587760480505688E-2</c:v>
                </c:pt>
                <c:pt idx="1250">
                  <c:v>2.6449980100634124E-2</c:v>
                </c:pt>
                <c:pt idx="1251">
                  <c:v>2.6277997636265156E-2</c:v>
                </c:pt>
                <c:pt idx="1252">
                  <c:v>2.5899245748790045E-2</c:v>
                </c:pt>
                <c:pt idx="1253">
                  <c:v>2.5980711126649028E-2</c:v>
                </c:pt>
                <c:pt idx="1254">
                  <c:v>2.6161745299668998E-2</c:v>
                </c:pt>
                <c:pt idx="1255">
                  <c:v>2.686813354341358E-2</c:v>
                </c:pt>
                <c:pt idx="1256">
                  <c:v>2.6262733970696804E-2</c:v>
                </c:pt>
                <c:pt idx="1257">
                  <c:v>2.5904037829840576E-2</c:v>
                </c:pt>
                <c:pt idx="1258">
                  <c:v>2.587706018837093E-2</c:v>
                </c:pt>
                <c:pt idx="1259">
                  <c:v>2.6184640798021522E-2</c:v>
                </c:pt>
                <c:pt idx="1260">
                  <c:v>2.5681827256682735E-2</c:v>
                </c:pt>
                <c:pt idx="1261">
                  <c:v>2.6445010535100243E-2</c:v>
                </c:pt>
                <c:pt idx="1262">
                  <c:v>2.6557713182029343E-2</c:v>
                </c:pt>
                <c:pt idx="1263">
                  <c:v>2.6052769826890313E-2</c:v>
                </c:pt>
                <c:pt idx="1264">
                  <c:v>2.6331242981271027E-2</c:v>
                </c:pt>
                <c:pt idx="1265">
                  <c:v>2.6513519545674463E-2</c:v>
                </c:pt>
                <c:pt idx="1266">
                  <c:v>2.5986035661149619E-2</c:v>
                </c:pt>
                <c:pt idx="1267">
                  <c:v>2.6353783510656845E-2</c:v>
                </c:pt>
                <c:pt idx="1268">
                  <c:v>2.705520218886755E-2</c:v>
                </c:pt>
                <c:pt idx="1269">
                  <c:v>2.6829974379492704E-2</c:v>
                </c:pt>
                <c:pt idx="1270">
                  <c:v>2.5841918260667056E-2</c:v>
                </c:pt>
                <c:pt idx="1271">
                  <c:v>2.6273738008664685E-2</c:v>
                </c:pt>
                <c:pt idx="1272">
                  <c:v>2.6219605241242047E-2</c:v>
                </c:pt>
                <c:pt idx="1273">
                  <c:v>2.6559310542379515E-2</c:v>
                </c:pt>
                <c:pt idx="1274">
                  <c:v>2.6518844080175054E-2</c:v>
                </c:pt>
                <c:pt idx="1275">
                  <c:v>2.613991470821659E-2</c:v>
                </c:pt>
                <c:pt idx="1276">
                  <c:v>2.664539051680568E-2</c:v>
                </c:pt>
                <c:pt idx="1277">
                  <c:v>2.6479797493837411E-2</c:v>
                </c:pt>
                <c:pt idx="1278">
                  <c:v>2.5932435347177037E-2</c:v>
                </c:pt>
                <c:pt idx="1279">
                  <c:v>2.6194402444605931E-2</c:v>
                </c:pt>
                <c:pt idx="1280">
                  <c:v>2.6406673886696014E-2</c:v>
                </c:pt>
                <c:pt idx="1281">
                  <c:v>2.6446252926483716E-2</c:v>
                </c:pt>
                <c:pt idx="1282">
                  <c:v>2.6316511769152739E-2</c:v>
                </c:pt>
                <c:pt idx="1283">
                  <c:v>2.6430989260915361E-2</c:v>
                </c:pt>
                <c:pt idx="1284">
                  <c:v>2.684985264162823E-2</c:v>
                </c:pt>
                <c:pt idx="1285">
                  <c:v>2.5944859261011744E-2</c:v>
                </c:pt>
                <c:pt idx="1286">
                  <c:v>2.6605988961501334E-2</c:v>
                </c:pt>
                <c:pt idx="1287">
                  <c:v>2.6272495617281212E-2</c:v>
                </c:pt>
                <c:pt idx="1288">
                  <c:v>2.6387683046977251E-2</c:v>
                </c:pt>
                <c:pt idx="1289">
                  <c:v>2.6025614700937318E-2</c:v>
                </c:pt>
                <c:pt idx="1290">
                  <c:v>2.6318641582952971E-2</c:v>
                </c:pt>
                <c:pt idx="1291">
                  <c:v>2.6364432579658023E-2</c:v>
                </c:pt>
                <c:pt idx="1292">
                  <c:v>2.6686211947976848E-2</c:v>
                </c:pt>
                <c:pt idx="1293">
                  <c:v>2.6542627000944344E-2</c:v>
                </c:pt>
                <c:pt idx="1294">
                  <c:v>2.6555760852712461E-2</c:v>
                </c:pt>
                <c:pt idx="1295">
                  <c:v>2.6292906332866801E-2</c:v>
                </c:pt>
                <c:pt idx="1296">
                  <c:v>2.6904162893534221E-2</c:v>
                </c:pt>
                <c:pt idx="1297">
                  <c:v>2.658149610279863E-2</c:v>
                </c:pt>
                <c:pt idx="1298">
                  <c:v>2.6411998421196601E-2</c:v>
                </c:pt>
                <c:pt idx="1299">
                  <c:v>2.6421937552264366E-2</c:v>
                </c:pt>
                <c:pt idx="1300">
                  <c:v>2.6270720772447687E-2</c:v>
                </c:pt>
                <c:pt idx="1301">
                  <c:v>2.5917349166092042E-2</c:v>
                </c:pt>
                <c:pt idx="1302">
                  <c:v>2.65065976508237E-2</c:v>
                </c:pt>
                <c:pt idx="1303">
                  <c:v>2.6164762535886E-2</c:v>
                </c:pt>
                <c:pt idx="1304">
                  <c:v>2.7013315850796263E-2</c:v>
                </c:pt>
                <c:pt idx="1305">
                  <c:v>2.580269418984606E-2</c:v>
                </c:pt>
                <c:pt idx="1306">
                  <c:v>2.6640953404721855E-2</c:v>
                </c:pt>
                <c:pt idx="1307">
                  <c:v>2.6271253225897743E-2</c:v>
                </c:pt>
                <c:pt idx="1308">
                  <c:v>2.6403834134962365E-2</c:v>
                </c:pt>
                <c:pt idx="1309">
                  <c:v>2.6798559625939238E-2</c:v>
                </c:pt>
                <c:pt idx="1310">
                  <c:v>2.6597824675267098E-2</c:v>
                </c:pt>
                <c:pt idx="1311">
                  <c:v>2.6558068150996046E-2</c:v>
                </c:pt>
                <c:pt idx="1312">
                  <c:v>2.6809563663907118E-2</c:v>
                </c:pt>
                <c:pt idx="1313">
                  <c:v>2.6143109428916941E-2</c:v>
                </c:pt>
                <c:pt idx="1314">
                  <c:v>2.6274625431081448E-2</c:v>
                </c:pt>
                <c:pt idx="1315">
                  <c:v>2.6672723127242025E-2</c:v>
                </c:pt>
                <c:pt idx="1316">
                  <c:v>2.6580786164865221E-2</c:v>
                </c:pt>
                <c:pt idx="1317">
                  <c:v>2.6553276069945519E-2</c:v>
                </c:pt>
                <c:pt idx="1318">
                  <c:v>2.576542244834195E-2</c:v>
                </c:pt>
                <c:pt idx="1319">
                  <c:v>2.6135655080616119E-2</c:v>
                </c:pt>
                <c:pt idx="1320">
                  <c:v>2.7521808895602351E-2</c:v>
                </c:pt>
                <c:pt idx="1321">
                  <c:v>2.6358930560674079E-2</c:v>
                </c:pt>
                <c:pt idx="1322">
                  <c:v>2.6679112568642731E-2</c:v>
                </c:pt>
                <c:pt idx="1323">
                  <c:v>2.6541029640594169E-2</c:v>
                </c:pt>
                <c:pt idx="1324">
                  <c:v>2.6483702152471176E-2</c:v>
                </c:pt>
                <c:pt idx="1325">
                  <c:v>2.6306395153601617E-2</c:v>
                </c:pt>
                <c:pt idx="1326">
                  <c:v>2.6449625131667417E-2</c:v>
                </c:pt>
                <c:pt idx="1327">
                  <c:v>2.5786898070827655E-2</c:v>
                </c:pt>
                <c:pt idx="1328">
                  <c:v>2.6347216584772789E-2</c:v>
                </c:pt>
                <c:pt idx="1329">
                  <c:v>2.6438266124732834E-2</c:v>
                </c:pt>
                <c:pt idx="1330">
                  <c:v>2.6745491765416719E-2</c:v>
                </c:pt>
                <c:pt idx="1331">
                  <c:v>2.6242855708561275E-2</c:v>
                </c:pt>
                <c:pt idx="1332">
                  <c:v>2.6514584452574586E-2</c:v>
                </c:pt>
                <c:pt idx="1333">
                  <c:v>2.6480329947287475E-2</c:v>
                </c:pt>
                <c:pt idx="1334">
                  <c:v>2.659409750111669E-2</c:v>
                </c:pt>
                <c:pt idx="1335">
                  <c:v>2.6425487241931424E-2</c:v>
                </c:pt>
                <c:pt idx="1336">
                  <c:v>2.7008701254229082E-2</c:v>
                </c:pt>
                <c:pt idx="1337">
                  <c:v>2.6344021864072437E-2</c:v>
                </c:pt>
                <c:pt idx="1338">
                  <c:v>2.6308347482918503E-2</c:v>
                </c:pt>
                <c:pt idx="1339">
                  <c:v>2.6455304635134711E-2</c:v>
                </c:pt>
                <c:pt idx="1340">
                  <c:v>2.6110274799496652E-2</c:v>
                </c:pt>
                <c:pt idx="1341">
                  <c:v>2.6544756814744577E-2</c:v>
                </c:pt>
                <c:pt idx="1342">
                  <c:v>2.6577768928648222E-2</c:v>
                </c:pt>
                <c:pt idx="1343">
                  <c:v>2.6554695945812341E-2</c:v>
                </c:pt>
                <c:pt idx="1344">
                  <c:v>2.6489914109388529E-2</c:v>
                </c:pt>
                <c:pt idx="1345">
                  <c:v>2.6985805755876557E-2</c:v>
                </c:pt>
                <c:pt idx="1346">
                  <c:v>2.6237176205093984E-2</c:v>
                </c:pt>
                <c:pt idx="1347">
                  <c:v>2.6765902481002305E-2</c:v>
                </c:pt>
                <c:pt idx="1348">
                  <c:v>2.6621607596036389E-2</c:v>
                </c:pt>
                <c:pt idx="1349">
                  <c:v>2.6241968286144515E-2</c:v>
                </c:pt>
                <c:pt idx="1350">
                  <c:v>2.662657716157027E-2</c:v>
                </c:pt>
                <c:pt idx="1351">
                  <c:v>2.6217830396408522E-2</c:v>
                </c:pt>
                <c:pt idx="1352">
                  <c:v>2.595799311277986E-2</c:v>
                </c:pt>
                <c:pt idx="1353">
                  <c:v>2.6980836190342677E-2</c:v>
                </c:pt>
                <c:pt idx="1354">
                  <c:v>2.5784590772544063E-2</c:v>
                </c:pt>
                <c:pt idx="1355">
                  <c:v>2.6136542503032888E-2</c:v>
                </c:pt>
                <c:pt idx="1356">
                  <c:v>2.685056257956164E-2</c:v>
                </c:pt>
                <c:pt idx="1357">
                  <c:v>2.7076322842386542E-2</c:v>
                </c:pt>
                <c:pt idx="1358">
                  <c:v>2.701864038529685E-2</c:v>
                </c:pt>
                <c:pt idx="1359">
                  <c:v>2.6392297643544428E-2</c:v>
                </c:pt>
                <c:pt idx="1360">
                  <c:v>2.6715674372213432E-2</c:v>
                </c:pt>
                <c:pt idx="1361">
                  <c:v>2.6232029155076751E-2</c:v>
                </c:pt>
                <c:pt idx="1362">
                  <c:v>2.6700588191128433E-2</c:v>
                </c:pt>
                <c:pt idx="1363">
                  <c:v>2.6517069235341525E-2</c:v>
                </c:pt>
                <c:pt idx="1364">
                  <c:v>2.6646987877155855E-2</c:v>
                </c:pt>
                <c:pt idx="1365">
                  <c:v>2.6626222192603567E-2</c:v>
                </c:pt>
                <c:pt idx="1366">
                  <c:v>2.6325740962287091E-2</c:v>
                </c:pt>
                <c:pt idx="1367">
                  <c:v>2.6369402145191904E-2</c:v>
                </c:pt>
                <c:pt idx="1368">
                  <c:v>2.6847900312311348E-2</c:v>
                </c:pt>
                <c:pt idx="1369">
                  <c:v>2.6554873430295698E-2</c:v>
                </c:pt>
                <c:pt idx="1370">
                  <c:v>2.6757915679251426E-2</c:v>
                </c:pt>
                <c:pt idx="1371">
                  <c:v>2.6576704021748103E-2</c:v>
                </c:pt>
                <c:pt idx="1372">
                  <c:v>2.6580786164865221E-2</c:v>
                </c:pt>
                <c:pt idx="1373">
                  <c:v>2.6277997636265156E-2</c:v>
                </c:pt>
                <c:pt idx="1374">
                  <c:v>2.6694553718694437E-2</c:v>
                </c:pt>
                <c:pt idx="1375">
                  <c:v>2.6939127336754746E-2</c:v>
                </c:pt>
                <c:pt idx="1376">
                  <c:v>2.6527895788826052E-2</c:v>
                </c:pt>
                <c:pt idx="1377">
                  <c:v>2.6425842210898127E-2</c:v>
                </c:pt>
                <c:pt idx="1378">
                  <c:v>2.6760577946501718E-2</c:v>
                </c:pt>
                <c:pt idx="1379">
                  <c:v>2.6783828413820949E-2</c:v>
                </c:pt>
                <c:pt idx="1380">
                  <c:v>2.7017220509430024E-2</c:v>
                </c:pt>
                <c:pt idx="1381">
                  <c:v>2.6465066281719119E-2</c:v>
                </c:pt>
                <c:pt idx="1382">
                  <c:v>2.6617702937402624E-2</c:v>
                </c:pt>
                <c:pt idx="1383">
                  <c:v>2.6354848417556965E-2</c:v>
                </c:pt>
                <c:pt idx="1384">
                  <c:v>2.6527540819859346E-2</c:v>
                </c:pt>
                <c:pt idx="1385">
                  <c:v>2.6249245149961981E-2</c:v>
                </c:pt>
                <c:pt idx="1386">
                  <c:v>2.6128378216798653E-2</c:v>
                </c:pt>
                <c:pt idx="1387">
                  <c:v>2.6393540034927901E-2</c:v>
                </c:pt>
                <c:pt idx="1388">
                  <c:v>2.6626222192603567E-2</c:v>
                </c:pt>
                <c:pt idx="1389">
                  <c:v>2.7013315850796263E-2</c:v>
                </c:pt>
                <c:pt idx="1390">
                  <c:v>2.6542627000944344E-2</c:v>
                </c:pt>
                <c:pt idx="1391">
                  <c:v>2.6243388162011338E-2</c:v>
                </c:pt>
                <c:pt idx="1392">
                  <c:v>2.7062301568201663E-2</c:v>
                </c:pt>
                <c:pt idx="1393">
                  <c:v>2.6706267694595727E-2</c:v>
                </c:pt>
                <c:pt idx="1394">
                  <c:v>2.6490979016288645E-2</c:v>
                </c:pt>
                <c:pt idx="1395">
                  <c:v>2.6340649658888736E-2</c:v>
                </c:pt>
                <c:pt idx="1396">
                  <c:v>2.6222977446425755E-2</c:v>
                </c:pt>
                <c:pt idx="1397">
                  <c:v>2.6679112568642731E-2</c:v>
                </c:pt>
                <c:pt idx="1398">
                  <c:v>2.6700233222161727E-2</c:v>
                </c:pt>
                <c:pt idx="1399">
                  <c:v>2.7103122999372835E-2</c:v>
                </c:pt>
                <c:pt idx="1400">
                  <c:v>2.6751703722334073E-2</c:v>
                </c:pt>
                <c:pt idx="1401">
                  <c:v>2.6518666595691697E-2</c:v>
                </c:pt>
                <c:pt idx="1402">
                  <c:v>2.6862276555462933E-2</c:v>
                </c:pt>
                <c:pt idx="1403">
                  <c:v>2.6470390816219706E-2</c:v>
                </c:pt>
                <c:pt idx="1404">
                  <c:v>2.7070998307885955E-2</c:v>
                </c:pt>
                <c:pt idx="1405">
                  <c:v>2.6442170783366598E-2</c:v>
                </c:pt>
                <c:pt idx="1406">
                  <c:v>2.6518311626724994E-2</c:v>
                </c:pt>
                <c:pt idx="1407">
                  <c:v>2.681985776394159E-2</c:v>
                </c:pt>
                <c:pt idx="1408">
                  <c:v>2.6273383039697978E-2</c:v>
                </c:pt>
                <c:pt idx="1409">
                  <c:v>2.6621075142586333E-2</c:v>
                </c:pt>
                <c:pt idx="1410">
                  <c:v>2.6574929176914574E-2</c:v>
                </c:pt>
                <c:pt idx="1411">
                  <c:v>2.6758270648218129E-2</c:v>
                </c:pt>
                <c:pt idx="1412">
                  <c:v>2.635822062274067E-2</c:v>
                </c:pt>
                <c:pt idx="1413">
                  <c:v>2.6421227614330953E-2</c:v>
                </c:pt>
                <c:pt idx="1414">
                  <c:v>2.7067093649252194E-2</c:v>
                </c:pt>
                <c:pt idx="1415">
                  <c:v>2.6928300783270215E-2</c:v>
                </c:pt>
                <c:pt idx="1416">
                  <c:v>2.6517069235341525E-2</c:v>
                </c:pt>
                <c:pt idx="1417">
                  <c:v>2.670076567561179E-2</c:v>
                </c:pt>
                <c:pt idx="1418">
                  <c:v>2.6410223576363072E-2</c:v>
                </c:pt>
                <c:pt idx="1419">
                  <c:v>2.6229899341276518E-2</c:v>
                </c:pt>
                <c:pt idx="1420">
                  <c:v>2.6942677026421804E-2</c:v>
                </c:pt>
                <c:pt idx="1421">
                  <c:v>2.6558778088929459E-2</c:v>
                </c:pt>
                <c:pt idx="1422">
                  <c:v>2.6792170184538531E-2</c:v>
                </c:pt>
                <c:pt idx="1423">
                  <c:v>2.7002489297311735E-2</c:v>
                </c:pt>
                <c:pt idx="1424">
                  <c:v>2.6651602473723029E-2</c:v>
                </c:pt>
                <c:pt idx="1425">
                  <c:v>2.6745136796450016E-2</c:v>
                </c:pt>
                <c:pt idx="1426">
                  <c:v>2.630816999843515E-2</c:v>
                </c:pt>
                <c:pt idx="1427">
                  <c:v>2.7146784182277648E-2</c:v>
                </c:pt>
                <c:pt idx="1428">
                  <c:v>2.6840268479527175E-2</c:v>
                </c:pt>
                <c:pt idx="1429">
                  <c:v>2.6456014573068124E-2</c:v>
                </c:pt>
                <c:pt idx="1430">
                  <c:v>2.6436668764382658E-2</c:v>
                </c:pt>
                <c:pt idx="1431">
                  <c:v>2.704366569744961E-2</c:v>
                </c:pt>
                <c:pt idx="1432">
                  <c:v>2.6648407753022681E-2</c:v>
                </c:pt>
                <c:pt idx="1433">
                  <c:v>2.6688519246260436E-2</c:v>
                </c:pt>
                <c:pt idx="1434">
                  <c:v>2.6583980885565569E-2</c:v>
                </c:pt>
                <c:pt idx="1435">
                  <c:v>2.6733422820548722E-2</c:v>
                </c:pt>
                <c:pt idx="1436">
                  <c:v>2.6618057906369331E-2</c:v>
                </c:pt>
                <c:pt idx="1437">
                  <c:v>2.6863873915813109E-2</c:v>
                </c:pt>
                <c:pt idx="1438">
                  <c:v>2.6901855595250629E-2</c:v>
                </c:pt>
                <c:pt idx="1439">
                  <c:v>2.659427498560004E-2</c:v>
                </c:pt>
                <c:pt idx="1440">
                  <c:v>2.7097088526938835E-2</c:v>
                </c:pt>
                <c:pt idx="1441">
                  <c:v>2.6116486756414006E-2</c:v>
                </c:pt>
                <c:pt idx="1442">
                  <c:v>2.6865116307196579E-2</c:v>
                </c:pt>
                <c:pt idx="1443">
                  <c:v>2.6559665511346219E-2</c:v>
                </c:pt>
                <c:pt idx="1444">
                  <c:v>2.6670415828958436E-2</c:v>
                </c:pt>
                <c:pt idx="1445">
                  <c:v>2.7100105763155836E-2</c:v>
                </c:pt>
                <c:pt idx="1446">
                  <c:v>2.6724193627414371E-2</c:v>
                </c:pt>
                <c:pt idx="1447">
                  <c:v>2.6720998906714019E-2</c:v>
                </c:pt>
                <c:pt idx="1448">
                  <c:v>2.6859791772695991E-2</c:v>
                </c:pt>
                <c:pt idx="1449">
                  <c:v>2.6857306989929053E-2</c:v>
                </c:pt>
                <c:pt idx="1450">
                  <c:v>2.6598534613200511E-2</c:v>
                </c:pt>
                <c:pt idx="1451">
                  <c:v>2.6330710527820968E-2</c:v>
                </c:pt>
                <c:pt idx="1452">
                  <c:v>2.7003731688695205E-2</c:v>
                </c:pt>
                <c:pt idx="1453">
                  <c:v>2.6614685701185626E-2</c:v>
                </c:pt>
                <c:pt idx="1454">
                  <c:v>2.6960780443723797E-2</c:v>
                </c:pt>
                <c:pt idx="1455">
                  <c:v>2.6861211648562817E-2</c:v>
                </c:pt>
                <c:pt idx="1456">
                  <c:v>2.631988397433644E-2</c:v>
                </c:pt>
                <c:pt idx="1457">
                  <c:v>2.7169502196146823E-2</c:v>
                </c:pt>
                <c:pt idx="1458">
                  <c:v>2.6664381356524443E-2</c:v>
                </c:pt>
                <c:pt idx="1459">
                  <c:v>2.7195769899683055E-2</c:v>
                </c:pt>
                <c:pt idx="1460">
                  <c:v>2.6674320487592204E-2</c:v>
                </c:pt>
                <c:pt idx="1461">
                  <c:v>2.6756850772351307E-2</c:v>
                </c:pt>
                <c:pt idx="1462">
                  <c:v>2.6937884945371273E-2</c:v>
                </c:pt>
                <c:pt idx="1463">
                  <c:v>2.6854112269228701E-2</c:v>
                </c:pt>
                <c:pt idx="1464">
                  <c:v>2.707419302858631E-2</c:v>
                </c:pt>
                <c:pt idx="1465">
                  <c:v>2.7150156387461356E-2</c:v>
                </c:pt>
                <c:pt idx="1466">
                  <c:v>2.6820922670841706E-2</c:v>
                </c:pt>
                <c:pt idx="1467">
                  <c:v>2.6977109016192269E-2</c:v>
                </c:pt>
                <c:pt idx="1468">
                  <c:v>2.7116256851140951E-2</c:v>
                </c:pt>
                <c:pt idx="1469">
                  <c:v>2.6918361652202457E-2</c:v>
                </c:pt>
                <c:pt idx="1470">
                  <c:v>2.7352311214000318E-2</c:v>
                </c:pt>
                <c:pt idx="1471">
                  <c:v>2.714873651159453E-2</c:v>
                </c:pt>
                <c:pt idx="1472">
                  <c:v>2.7053959797484078E-2</c:v>
                </c:pt>
                <c:pt idx="1473">
                  <c:v>2.7039051100882436E-2</c:v>
                </c:pt>
                <c:pt idx="1474">
                  <c:v>2.7150688840911413E-2</c:v>
                </c:pt>
                <c:pt idx="1475">
                  <c:v>2.6692423904894201E-2</c:v>
                </c:pt>
                <c:pt idx="1476">
                  <c:v>2.6599067066650571E-2</c:v>
                </c:pt>
                <c:pt idx="1477">
                  <c:v>2.703709877156555E-2</c:v>
                </c:pt>
                <c:pt idx="1478">
                  <c:v>2.7513289640401409E-2</c:v>
                </c:pt>
                <c:pt idx="1479">
                  <c:v>2.6833169100193059E-2</c:v>
                </c:pt>
                <c:pt idx="1480">
                  <c:v>2.6830329348459411E-2</c:v>
                </c:pt>
                <c:pt idx="1481">
                  <c:v>2.7222215087702634E-2</c:v>
                </c:pt>
                <c:pt idx="1482">
                  <c:v>2.6919604043585923E-2</c:v>
                </c:pt>
                <c:pt idx="1483">
                  <c:v>2.6876475314131169E-2</c:v>
                </c:pt>
                <c:pt idx="1484">
                  <c:v>2.6619300297752804E-2</c:v>
                </c:pt>
                <c:pt idx="1485">
                  <c:v>2.7174649246164057E-2</c:v>
                </c:pt>
                <c:pt idx="1486">
                  <c:v>2.6612910856352097E-2</c:v>
                </c:pt>
                <c:pt idx="1487">
                  <c:v>2.6547774050961578E-2</c:v>
                </c:pt>
                <c:pt idx="1488">
                  <c:v>2.6901855595250629E-2</c:v>
                </c:pt>
                <c:pt idx="1489">
                  <c:v>2.6890319103832695E-2</c:v>
                </c:pt>
                <c:pt idx="1490">
                  <c:v>2.7164887599579645E-2</c:v>
                </c:pt>
                <c:pt idx="1491">
                  <c:v>2.7069400947535779E-2</c:v>
                </c:pt>
                <c:pt idx="1492">
                  <c:v>2.6821987577741825E-2</c:v>
                </c:pt>
                <c:pt idx="1493">
                  <c:v>2.6563925138946693E-2</c:v>
                </c:pt>
                <c:pt idx="1494">
                  <c:v>2.772875580319184E-2</c:v>
                </c:pt>
                <c:pt idx="1495">
                  <c:v>2.7465368829896124E-2</c:v>
                </c:pt>
                <c:pt idx="1496">
                  <c:v>2.7427564634941951E-2</c:v>
                </c:pt>
                <c:pt idx="1497">
                  <c:v>2.7023964919797437E-2</c:v>
                </c:pt>
                <c:pt idx="1498">
                  <c:v>2.7606291509678336E-2</c:v>
                </c:pt>
                <c:pt idx="1499">
                  <c:v>2.7237833722237693E-2</c:v>
                </c:pt>
                <c:pt idx="1500">
                  <c:v>2.7303325496594918E-2</c:v>
                </c:pt>
                <c:pt idx="1501">
                  <c:v>2.7139684802943532E-2</c:v>
                </c:pt>
                <c:pt idx="1502">
                  <c:v>2.7417980472840896E-2</c:v>
                </c:pt>
                <c:pt idx="1503">
                  <c:v>2.774082474805984E-2</c:v>
                </c:pt>
                <c:pt idx="1504">
                  <c:v>2.6828199534659175E-2</c:v>
                </c:pt>
                <c:pt idx="1505">
                  <c:v>2.7460221779878891E-2</c:v>
                </c:pt>
                <c:pt idx="1506">
                  <c:v>2.6340117205438673E-2</c:v>
                </c:pt>
                <c:pt idx="1507">
                  <c:v>2.548428702671094E-2</c:v>
                </c:pt>
                <c:pt idx="1508">
                  <c:v>2.3450492331969944E-2</c:v>
                </c:pt>
                <c:pt idx="1509">
                  <c:v>2.4316971579698855E-2</c:v>
                </c:pt>
                <c:pt idx="1510">
                  <c:v>2.6225284744709341E-2</c:v>
                </c:pt>
                <c:pt idx="1511">
                  <c:v>2.6845947982994466E-2</c:v>
                </c:pt>
                <c:pt idx="1512">
                  <c:v>2.6724193627414371E-2</c:v>
                </c:pt>
                <c:pt idx="1513">
                  <c:v>2.6971252028241622E-2</c:v>
                </c:pt>
                <c:pt idx="1514">
                  <c:v>2.6643615671972147E-2</c:v>
                </c:pt>
                <c:pt idx="1515">
                  <c:v>2.6461694076535414E-2</c:v>
                </c:pt>
                <c:pt idx="1516">
                  <c:v>2.7016333087013261E-2</c:v>
                </c:pt>
                <c:pt idx="1517">
                  <c:v>2.7419755317674425E-2</c:v>
                </c:pt>
                <c:pt idx="1518">
                  <c:v>2.7243868194671693E-2</c:v>
                </c:pt>
                <c:pt idx="1519">
                  <c:v>2.6592855109733218E-2</c:v>
                </c:pt>
                <c:pt idx="1520">
                  <c:v>2.7522518833535761E-2</c:v>
                </c:pt>
                <c:pt idx="1521">
                  <c:v>2.6820035248424943E-2</c:v>
                </c:pt>
                <c:pt idx="1522">
                  <c:v>2.708697191138772E-2</c:v>
                </c:pt>
                <c:pt idx="1523">
                  <c:v>2.7707990118639548E-2</c:v>
                </c:pt>
                <c:pt idx="1524">
                  <c:v>2.7222925025636051E-2</c:v>
                </c:pt>
                <c:pt idx="1525">
                  <c:v>2.7583218526842458E-2</c:v>
                </c:pt>
                <c:pt idx="1526">
                  <c:v>2.6847190374377938E-2</c:v>
                </c:pt>
                <c:pt idx="1527">
                  <c:v>2.7795312484449185E-2</c:v>
                </c:pt>
                <c:pt idx="1528">
                  <c:v>2.6754365989584365E-2</c:v>
                </c:pt>
                <c:pt idx="1529">
                  <c:v>2.68936913090164E-2</c:v>
                </c:pt>
                <c:pt idx="1530">
                  <c:v>2.6711414744612961E-2</c:v>
                </c:pt>
                <c:pt idx="1531">
                  <c:v>2.7226119746336399E-2</c:v>
                </c:pt>
                <c:pt idx="1532">
                  <c:v>2.7387630626187549E-2</c:v>
                </c:pt>
                <c:pt idx="1533">
                  <c:v>2.7012605912862846E-2</c:v>
                </c:pt>
                <c:pt idx="1534">
                  <c:v>2.7210856080768051E-2</c:v>
                </c:pt>
                <c:pt idx="1535">
                  <c:v>2.6970897059274915E-2</c:v>
                </c:pt>
                <c:pt idx="1536">
                  <c:v>2.7281494905142506E-2</c:v>
                </c:pt>
                <c:pt idx="1537">
                  <c:v>2.747921261959765E-2</c:v>
                </c:pt>
                <c:pt idx="1538">
                  <c:v>2.7246885430888688E-2</c:v>
                </c:pt>
                <c:pt idx="1539">
                  <c:v>2.7166839928896527E-2</c:v>
                </c:pt>
                <c:pt idx="1540">
                  <c:v>2.8263871520500864E-2</c:v>
                </c:pt>
                <c:pt idx="1541">
                  <c:v>2.8061539209478546E-2</c:v>
                </c:pt>
                <c:pt idx="1542">
                  <c:v>2.7275282948225153E-2</c:v>
                </c:pt>
                <c:pt idx="1543">
                  <c:v>2.7750408910160899E-2</c:v>
                </c:pt>
                <c:pt idx="1544">
                  <c:v>2.7718106734190669E-2</c:v>
                </c:pt>
                <c:pt idx="1545">
                  <c:v>2.7515241969718291E-2</c:v>
                </c:pt>
                <c:pt idx="1546">
                  <c:v>2.7400054540022253E-2</c:v>
                </c:pt>
                <c:pt idx="1547">
                  <c:v>2.7178376420314468E-2</c:v>
                </c:pt>
                <c:pt idx="1548">
                  <c:v>2.8014860790356731E-2</c:v>
                </c:pt>
                <c:pt idx="1549">
                  <c:v>2.7705860304839316E-2</c:v>
                </c:pt>
                <c:pt idx="1550">
                  <c:v>2.6943386964355213E-2</c:v>
                </c:pt>
                <c:pt idx="1551">
                  <c:v>2.6512277154290997E-2</c:v>
                </c:pt>
                <c:pt idx="1552">
                  <c:v>2.6706267694595727E-2</c:v>
                </c:pt>
                <c:pt idx="1553">
                  <c:v>2.5838013602033291E-2</c:v>
                </c:pt>
                <c:pt idx="1554">
                  <c:v>2.5033121470027845E-2</c:v>
                </c:pt>
                <c:pt idx="1555">
                  <c:v>2.4812330772736823E-2</c:v>
                </c:pt>
                <c:pt idx="1556">
                  <c:v>2.577713642424324E-2</c:v>
                </c:pt>
                <c:pt idx="1557">
                  <c:v>2.678808804142142E-2</c:v>
                </c:pt>
                <c:pt idx="1558">
                  <c:v>2.6986160724843267E-2</c:v>
                </c:pt>
                <c:pt idx="1559">
                  <c:v>2.7091763992438248E-2</c:v>
                </c:pt>
                <c:pt idx="1560">
                  <c:v>2.7886007055442519E-2</c:v>
                </c:pt>
                <c:pt idx="1561">
                  <c:v>2.7289304222410039E-2</c:v>
                </c:pt>
                <c:pt idx="1562">
                  <c:v>2.8193055211643055E-2</c:v>
                </c:pt>
                <c:pt idx="1563">
                  <c:v>2.7455784667795066E-2</c:v>
                </c:pt>
                <c:pt idx="1564">
                  <c:v>2.8198379746143639E-2</c:v>
                </c:pt>
                <c:pt idx="1565">
                  <c:v>2.7391712769304667E-2</c:v>
                </c:pt>
                <c:pt idx="1566">
                  <c:v>2.7984333459220034E-2</c:v>
                </c:pt>
                <c:pt idx="1567">
                  <c:v>2.7178376420314468E-2</c:v>
                </c:pt>
                <c:pt idx="1568">
                  <c:v>2.7505302838650526E-2</c:v>
                </c:pt>
                <c:pt idx="1569">
                  <c:v>2.7709409994506374E-2</c:v>
                </c:pt>
                <c:pt idx="1570">
                  <c:v>2.7320541491480149E-2</c:v>
                </c:pt>
                <c:pt idx="1571">
                  <c:v>2.7620667752829921E-2</c:v>
                </c:pt>
                <c:pt idx="1572">
                  <c:v>2.7889024291659521E-2</c:v>
                </c:pt>
                <c:pt idx="1573">
                  <c:v>2.7658294463300738E-2</c:v>
                </c:pt>
                <c:pt idx="1574">
                  <c:v>2.7712782199690079E-2</c:v>
                </c:pt>
                <c:pt idx="1575">
                  <c:v>2.8128628344185946E-2</c:v>
                </c:pt>
                <c:pt idx="1576">
                  <c:v>2.8652917508010443E-2</c:v>
                </c:pt>
                <c:pt idx="1577">
                  <c:v>2.7500688242083352E-2</c:v>
                </c:pt>
                <c:pt idx="1578">
                  <c:v>2.7919374138312868E-2</c:v>
                </c:pt>
                <c:pt idx="1579">
                  <c:v>2.7893106434776632E-2</c:v>
                </c:pt>
                <c:pt idx="1580">
                  <c:v>2.8074140607796606E-2</c:v>
                </c:pt>
                <c:pt idx="1581">
                  <c:v>2.8644398252809504E-2</c:v>
                </c:pt>
                <c:pt idx="1582">
                  <c:v>2.7626702225263918E-2</c:v>
                </c:pt>
                <c:pt idx="1583">
                  <c:v>2.74059115279729E-2</c:v>
                </c:pt>
                <c:pt idx="1584">
                  <c:v>2.7587478154442922E-2</c:v>
                </c:pt>
                <c:pt idx="1585">
                  <c:v>2.7859029413972881E-2</c:v>
                </c:pt>
                <c:pt idx="1586">
                  <c:v>2.8246123072165574E-2</c:v>
                </c:pt>
                <c:pt idx="1587">
                  <c:v>2.7671428315068851E-2</c:v>
                </c:pt>
                <c:pt idx="1588">
                  <c:v>2.7988238117853795E-2</c:v>
                </c:pt>
                <c:pt idx="1589">
                  <c:v>2.7540799735321111E-2</c:v>
                </c:pt>
                <c:pt idx="1590">
                  <c:v>2.7890089198559637E-2</c:v>
                </c:pt>
                <c:pt idx="1591">
                  <c:v>2.825198006011622E-2</c:v>
                </c:pt>
                <c:pt idx="1592">
                  <c:v>2.8290494193003803E-2</c:v>
                </c:pt>
                <c:pt idx="1593">
                  <c:v>2.8538617500731171E-2</c:v>
                </c:pt>
                <c:pt idx="1594">
                  <c:v>2.8792775280892535E-2</c:v>
                </c:pt>
                <c:pt idx="1595">
                  <c:v>2.8236183941097812E-2</c:v>
                </c:pt>
                <c:pt idx="1596">
                  <c:v>2.8262629129117395E-2</c:v>
                </c:pt>
                <c:pt idx="1597">
                  <c:v>2.8414555846867483E-2</c:v>
                </c:pt>
                <c:pt idx="1598">
                  <c:v>2.8311082393072739E-2</c:v>
                </c:pt>
                <c:pt idx="1599">
                  <c:v>2.8211868566878462E-2</c:v>
                </c:pt>
                <c:pt idx="1600">
                  <c:v>2.7809333758634064E-2</c:v>
                </c:pt>
                <c:pt idx="1601">
                  <c:v>2.766716868746838E-2</c:v>
                </c:pt>
                <c:pt idx="1602">
                  <c:v>2.8281974937802861E-2</c:v>
                </c:pt>
                <c:pt idx="1603">
                  <c:v>2.7463416500579239E-2</c:v>
                </c:pt>
                <c:pt idx="1604">
                  <c:v>2.7302970527628211E-2</c:v>
                </c:pt>
                <c:pt idx="1605">
                  <c:v>2.7251322542972516E-2</c:v>
                </c:pt>
                <c:pt idx="1606">
                  <c:v>2.6634386478837799E-2</c:v>
                </c:pt>
                <c:pt idx="1607">
                  <c:v>2.6769629655152716E-2</c:v>
                </c:pt>
                <c:pt idx="1608">
                  <c:v>2.5868895902136695E-2</c:v>
                </c:pt>
                <c:pt idx="1609">
                  <c:v>2.6022952433687022E-2</c:v>
                </c:pt>
                <c:pt idx="1610">
                  <c:v>2.6217475427441808E-2</c:v>
                </c:pt>
                <c:pt idx="1611">
                  <c:v>2.6569959611380693E-2</c:v>
                </c:pt>
                <c:pt idx="1612">
                  <c:v>2.6234691422327046E-2</c:v>
                </c:pt>
                <c:pt idx="1613">
                  <c:v>2.7296048632777448E-2</c:v>
                </c:pt>
                <c:pt idx="1614">
                  <c:v>2.6941967088488391E-2</c:v>
                </c:pt>
                <c:pt idx="1615">
                  <c:v>2.6958650629923565E-2</c:v>
                </c:pt>
                <c:pt idx="1616">
                  <c:v>2.7324623634597266E-2</c:v>
                </c:pt>
                <c:pt idx="1617">
                  <c:v>2.7550738866388872E-2</c:v>
                </c:pt>
                <c:pt idx="1618">
                  <c:v>2.7167904835796643E-2</c:v>
                </c:pt>
                <c:pt idx="1619">
                  <c:v>2.7501575664500118E-2</c:v>
                </c:pt>
                <c:pt idx="1620">
                  <c:v>2.8126143561419008E-2</c:v>
                </c:pt>
                <c:pt idx="1621">
                  <c:v>2.8701193287482434E-2</c:v>
                </c:pt>
                <c:pt idx="1622">
                  <c:v>2.8027817157641497E-2</c:v>
                </c:pt>
                <c:pt idx="1623">
                  <c:v>2.8117269337251363E-2</c:v>
                </c:pt>
                <c:pt idx="1624">
                  <c:v>2.805372989221102E-2</c:v>
                </c:pt>
                <c:pt idx="1625">
                  <c:v>2.8084257223347717E-2</c:v>
                </c:pt>
                <c:pt idx="1626">
                  <c:v>2.8037756288709258E-2</c:v>
                </c:pt>
                <c:pt idx="1627">
                  <c:v>2.8186310801275642E-2</c:v>
                </c:pt>
                <c:pt idx="1628">
                  <c:v>2.8828804631013175E-2</c:v>
                </c:pt>
                <c:pt idx="1629">
                  <c:v>2.859647744230422E-2</c:v>
                </c:pt>
                <c:pt idx="1630">
                  <c:v>2.8602334430254867E-2</c:v>
                </c:pt>
                <c:pt idx="1631">
                  <c:v>2.8516609424795409E-2</c:v>
                </c:pt>
                <c:pt idx="1632">
                  <c:v>2.8755148570421721E-2</c:v>
                </c:pt>
                <c:pt idx="1633">
                  <c:v>2.8420590319301487E-2</c:v>
                </c:pt>
                <c:pt idx="1634">
                  <c:v>2.8080707533680662E-2</c:v>
                </c:pt>
                <c:pt idx="1635">
                  <c:v>2.8464428986689654E-2</c:v>
                </c:pt>
                <c:pt idx="1636">
                  <c:v>2.8202816858227463E-2</c:v>
                </c:pt>
                <c:pt idx="1637">
                  <c:v>2.8178323999524763E-2</c:v>
                </c:pt>
                <c:pt idx="1638">
                  <c:v>2.9051725142104433E-2</c:v>
                </c:pt>
                <c:pt idx="1639">
                  <c:v>2.8588490640553341E-2</c:v>
                </c:pt>
                <c:pt idx="1640">
                  <c:v>2.8825254941346117E-2</c:v>
                </c:pt>
                <c:pt idx="1641">
                  <c:v>2.7636996325298386E-2</c:v>
                </c:pt>
                <c:pt idx="1642">
                  <c:v>2.760487163381151E-2</c:v>
                </c:pt>
                <c:pt idx="1643">
                  <c:v>2.7486134514448413E-2</c:v>
                </c:pt>
                <c:pt idx="1644">
                  <c:v>2.7583396011325808E-2</c:v>
                </c:pt>
                <c:pt idx="1645">
                  <c:v>2.8382963608830667E-2</c:v>
                </c:pt>
                <c:pt idx="1646">
                  <c:v>2.7777209067147184E-2</c:v>
                </c:pt>
                <c:pt idx="1647">
                  <c:v>2.9268256211794984E-2</c:v>
                </c:pt>
                <c:pt idx="1648">
                  <c:v>2.8693383970214908E-2</c:v>
                </c:pt>
                <c:pt idx="1649">
                  <c:v>2.8967242528028452E-2</c:v>
                </c:pt>
                <c:pt idx="1650">
                  <c:v>2.9012501071283441E-2</c:v>
                </c:pt>
                <c:pt idx="1651">
                  <c:v>2.8827207270663006E-2</c:v>
                </c:pt>
                <c:pt idx="1652">
                  <c:v>2.9148454185531775E-2</c:v>
                </c:pt>
                <c:pt idx="1653">
                  <c:v>2.8807861461977537E-2</c:v>
                </c:pt>
                <c:pt idx="1654">
                  <c:v>2.9002384455732326E-2</c:v>
                </c:pt>
                <c:pt idx="1655">
                  <c:v>2.8375509260529844E-2</c:v>
                </c:pt>
                <c:pt idx="1656">
                  <c:v>2.8450407712504774E-2</c:v>
                </c:pt>
                <c:pt idx="1657">
                  <c:v>2.8777511615324183E-2</c:v>
                </c:pt>
                <c:pt idx="1658">
                  <c:v>2.8851700129365703E-2</c:v>
                </c:pt>
                <c:pt idx="1659">
                  <c:v>2.8519094207562351E-2</c:v>
                </c:pt>
                <c:pt idx="1660">
                  <c:v>2.9352738825870969E-2</c:v>
                </c:pt>
                <c:pt idx="1661">
                  <c:v>2.8608723871655566E-2</c:v>
                </c:pt>
                <c:pt idx="1662">
                  <c:v>2.8483242341925067E-2</c:v>
                </c:pt>
                <c:pt idx="1663">
                  <c:v>2.850187821267712E-2</c:v>
                </c:pt>
                <c:pt idx="1664">
                  <c:v>2.7686159527187143E-2</c:v>
                </c:pt>
                <c:pt idx="1665">
                  <c:v>2.8581036292252514E-2</c:v>
                </c:pt>
                <c:pt idx="1666">
                  <c:v>2.8411183641683782E-2</c:v>
                </c:pt>
                <c:pt idx="1667">
                  <c:v>2.8595767504370807E-2</c:v>
                </c:pt>
                <c:pt idx="1668">
                  <c:v>2.8075028030213368E-2</c:v>
                </c:pt>
                <c:pt idx="1669">
                  <c:v>2.8441533488337126E-2</c:v>
                </c:pt>
                <c:pt idx="1670">
                  <c:v>2.8416153207217663E-2</c:v>
                </c:pt>
                <c:pt idx="1671">
                  <c:v>2.7922746343496573E-2</c:v>
                </c:pt>
                <c:pt idx="1672">
                  <c:v>2.8219855368629344E-2</c:v>
                </c:pt>
                <c:pt idx="1673">
                  <c:v>2.8652207570077033E-2</c:v>
                </c:pt>
                <c:pt idx="1674">
                  <c:v>2.8577309118102103E-2</c:v>
                </c:pt>
                <c:pt idx="1675">
                  <c:v>2.8113897132067654E-2</c:v>
                </c:pt>
                <c:pt idx="1676">
                  <c:v>2.8695691268498497E-2</c:v>
                </c:pt>
                <c:pt idx="1677">
                  <c:v>2.8168562352940352E-2</c:v>
                </c:pt>
                <c:pt idx="1678">
                  <c:v>2.7997644795471496E-2</c:v>
                </c:pt>
                <c:pt idx="1679">
                  <c:v>2.820867384617811E-2</c:v>
                </c:pt>
                <c:pt idx="1680">
                  <c:v>2.8239911115248224E-2</c:v>
                </c:pt>
                <c:pt idx="1681">
                  <c:v>2.8236893879031222E-2</c:v>
                </c:pt>
                <c:pt idx="1682">
                  <c:v>2.8350483948377084E-2</c:v>
                </c:pt>
                <c:pt idx="1683">
                  <c:v>2.828374978263639E-2</c:v>
                </c:pt>
                <c:pt idx="1684">
                  <c:v>2.8273100713635216E-2</c:v>
                </c:pt>
                <c:pt idx="1685">
                  <c:v>2.8501345759227057E-2</c:v>
                </c:pt>
                <c:pt idx="1686">
                  <c:v>2.8236183941097812E-2</c:v>
                </c:pt>
                <c:pt idx="1687">
                  <c:v>2.8088161881981485E-2</c:v>
                </c:pt>
                <c:pt idx="1688">
                  <c:v>2.8084612192314423E-2</c:v>
                </c:pt>
                <c:pt idx="1689">
                  <c:v>2.8050712655994021E-2</c:v>
                </c:pt>
                <c:pt idx="1690">
                  <c:v>2.9108165207810663E-2</c:v>
                </c:pt>
                <c:pt idx="1691">
                  <c:v>2.908136505082437E-2</c:v>
                </c:pt>
                <c:pt idx="1692">
                  <c:v>2.9435091626146714E-2</c:v>
                </c:pt>
                <c:pt idx="1693">
                  <c:v>2.9600507164631633E-2</c:v>
                </c:pt>
                <c:pt idx="1694">
                  <c:v>2.8500635821293648E-2</c:v>
                </c:pt>
                <c:pt idx="1695">
                  <c:v>2.8986588336713914E-2</c:v>
                </c:pt>
                <c:pt idx="1696">
                  <c:v>2.9664756547605382E-2</c:v>
                </c:pt>
                <c:pt idx="1697">
                  <c:v>2.9585775952513337E-2</c:v>
                </c:pt>
                <c:pt idx="1698">
                  <c:v>2.998547100902409E-2</c:v>
                </c:pt>
                <c:pt idx="1699">
                  <c:v>2.9721729066761668E-2</c:v>
                </c:pt>
                <c:pt idx="1700">
                  <c:v>2.9889274419046812E-2</c:v>
                </c:pt>
                <c:pt idx="1701">
                  <c:v>3.0206261706315112E-2</c:v>
                </c:pt>
                <c:pt idx="1702">
                  <c:v>3.0377356748267321E-2</c:v>
                </c:pt>
                <c:pt idx="1703">
                  <c:v>3.0373452089633553E-2</c:v>
                </c:pt>
                <c:pt idx="1704">
                  <c:v>3.0421727869105544E-2</c:v>
                </c:pt>
                <c:pt idx="1705">
                  <c:v>3.0369902399966495E-2</c:v>
                </c:pt>
                <c:pt idx="1706">
                  <c:v>2.9670968504522739E-2</c:v>
                </c:pt>
                <c:pt idx="1707">
                  <c:v>3.0855854915386768E-2</c:v>
                </c:pt>
                <c:pt idx="1708">
                  <c:v>3.1119596857649187E-2</c:v>
                </c:pt>
                <c:pt idx="1709">
                  <c:v>3.0923653988027575E-2</c:v>
                </c:pt>
                <c:pt idx="1710">
                  <c:v>3.0652457697464327E-2</c:v>
                </c:pt>
                <c:pt idx="1711">
                  <c:v>3.0381261406901082E-2</c:v>
                </c:pt>
                <c:pt idx="1712">
                  <c:v>3.089543395517446E-2</c:v>
                </c:pt>
                <c:pt idx="1713">
                  <c:v>3.117727931473888E-2</c:v>
                </c:pt>
                <c:pt idx="1714">
                  <c:v>3.1558338500497579E-2</c:v>
                </c:pt>
                <c:pt idx="1715">
                  <c:v>3.1715412268264902E-2</c:v>
                </c:pt>
                <c:pt idx="1716">
                  <c:v>3.1280930253016981E-2</c:v>
                </c:pt>
                <c:pt idx="1717">
                  <c:v>3.0836154137734589E-2</c:v>
                </c:pt>
                <c:pt idx="1718">
                  <c:v>3.1811076404792124E-2</c:v>
                </c:pt>
                <c:pt idx="1719">
                  <c:v>3.1650985400807803E-2</c:v>
                </c:pt>
                <c:pt idx="1720">
                  <c:v>3.1585848595417278E-2</c:v>
                </c:pt>
                <c:pt idx="1721">
                  <c:v>3.2010213995114091E-2</c:v>
                </c:pt>
                <c:pt idx="1722">
                  <c:v>3.1541832443545761E-2</c:v>
                </c:pt>
                <c:pt idx="1723">
                  <c:v>3.1703165838913555E-2</c:v>
                </c:pt>
                <c:pt idx="1724">
                  <c:v>3.1977734334660508E-2</c:v>
                </c:pt>
                <c:pt idx="1725">
                  <c:v>3.2395355323989905E-2</c:v>
                </c:pt>
                <c:pt idx="1726">
                  <c:v>3.2600172417779162E-2</c:v>
                </c:pt>
                <c:pt idx="1727">
                  <c:v>3.3445531011989077E-2</c:v>
                </c:pt>
                <c:pt idx="1728">
                  <c:v>3.2050680457318549E-2</c:v>
                </c:pt>
                <c:pt idx="1729">
                  <c:v>3.3427427594687073E-2</c:v>
                </c:pt>
                <c:pt idx="1730">
                  <c:v>3.3053290303779147E-2</c:v>
                </c:pt>
                <c:pt idx="1731">
                  <c:v>3.2984248839754864E-2</c:v>
                </c:pt>
                <c:pt idx="1732">
                  <c:v>3.319563285942817E-2</c:v>
                </c:pt>
                <c:pt idx="1733">
                  <c:v>3.3576337076220167E-2</c:v>
                </c:pt>
                <c:pt idx="1734">
                  <c:v>3.3353239080645566E-2</c:v>
                </c:pt>
                <c:pt idx="1735">
                  <c:v>3.3286504914904869E-2</c:v>
                </c:pt>
                <c:pt idx="1736">
                  <c:v>3.2989218405288741E-2</c:v>
                </c:pt>
                <c:pt idx="1737">
                  <c:v>3.3353416565128913E-2</c:v>
                </c:pt>
                <c:pt idx="1738">
                  <c:v>3.4013836327685093E-2</c:v>
                </c:pt>
                <c:pt idx="1739">
                  <c:v>3.3488837225927187E-2</c:v>
                </c:pt>
                <c:pt idx="1740">
                  <c:v>3.388267529448729E-2</c:v>
                </c:pt>
                <c:pt idx="1741">
                  <c:v>3.4047735864005495E-2</c:v>
                </c:pt>
                <c:pt idx="1742">
                  <c:v>3.3667564100663565E-2</c:v>
                </c:pt>
                <c:pt idx="1743">
                  <c:v>3.4504758408639237E-2</c:v>
                </c:pt>
                <c:pt idx="1744">
                  <c:v>3.5180086867797063E-2</c:v>
                </c:pt>
                <c:pt idx="1745">
                  <c:v>3.4334373304620448E-2</c:v>
                </c:pt>
                <c:pt idx="1746">
                  <c:v>3.5017156112079097E-2</c:v>
                </c:pt>
                <c:pt idx="1747">
                  <c:v>3.4696974104110441E-2</c:v>
                </c:pt>
                <c:pt idx="1748">
                  <c:v>3.3552731639934226E-2</c:v>
                </c:pt>
                <c:pt idx="1749">
                  <c:v>3.3985438810348621E-2</c:v>
                </c:pt>
                <c:pt idx="1750">
                  <c:v>3.4168425312685477E-2</c:v>
                </c:pt>
                <c:pt idx="1751">
                  <c:v>3.4622785590068927E-2</c:v>
                </c:pt>
                <c:pt idx="1752">
                  <c:v>3.41513868022836E-2</c:v>
                </c:pt>
                <c:pt idx="1753">
                  <c:v>3.4707623173111615E-2</c:v>
                </c:pt>
                <c:pt idx="1754">
                  <c:v>3.4967815425706983E-2</c:v>
                </c:pt>
                <c:pt idx="1755">
                  <c:v>3.4756431406033662E-2</c:v>
                </c:pt>
                <c:pt idx="1756">
                  <c:v>3.4937465579053639E-2</c:v>
                </c:pt>
                <c:pt idx="1757">
                  <c:v>3.4436781851515073E-2</c:v>
                </c:pt>
                <c:pt idx="1758">
                  <c:v>3.453794800702624E-2</c:v>
                </c:pt>
                <c:pt idx="1759">
                  <c:v>3.4904275980666644E-2</c:v>
                </c:pt>
                <c:pt idx="1760">
                  <c:v>3.535366669251621E-2</c:v>
                </c:pt>
                <c:pt idx="1761">
                  <c:v>3.5790456006047723E-2</c:v>
                </c:pt>
                <c:pt idx="1762">
                  <c:v>3.5828792654451956E-2</c:v>
                </c:pt>
                <c:pt idx="1763">
                  <c:v>3.63200697043728E-2</c:v>
                </c:pt>
                <c:pt idx="1764">
                  <c:v>3.5674913607384978E-2</c:v>
                </c:pt>
                <c:pt idx="1765">
                  <c:v>3.5712362833372445E-2</c:v>
                </c:pt>
                <c:pt idx="1766">
                  <c:v>3.5865709426989356E-2</c:v>
                </c:pt>
                <c:pt idx="1767">
                  <c:v>3.5196415440265534E-2</c:v>
                </c:pt>
                <c:pt idx="1768">
                  <c:v>3.5104478477888723E-2</c:v>
                </c:pt>
                <c:pt idx="1769">
                  <c:v>3.6128208977868309E-2</c:v>
                </c:pt>
                <c:pt idx="1770">
                  <c:v>3.5953209277282343E-2</c:v>
                </c:pt>
                <c:pt idx="1771">
                  <c:v>3.5891799646042229E-2</c:v>
                </c:pt>
                <c:pt idx="1772">
                  <c:v>3.6749227185120137E-2</c:v>
                </c:pt>
                <c:pt idx="1773">
                  <c:v>3.6069284129395147E-2</c:v>
                </c:pt>
                <c:pt idx="1774">
                  <c:v>3.6348289737225918E-2</c:v>
                </c:pt>
                <c:pt idx="1775">
                  <c:v>3.5581556769141341E-2</c:v>
                </c:pt>
                <c:pt idx="1776">
                  <c:v>3.5215051311017584E-2</c:v>
                </c:pt>
                <c:pt idx="1777">
                  <c:v>3.5831632406185601E-2</c:v>
                </c:pt>
                <c:pt idx="1778">
                  <c:v>3.580855942334972E-2</c:v>
                </c:pt>
                <c:pt idx="1779">
                  <c:v>3.6460992384155011E-2</c:v>
                </c:pt>
                <c:pt idx="1780">
                  <c:v>3.6134420934785666E-2</c:v>
                </c:pt>
                <c:pt idx="1781">
                  <c:v>3.6298594081887105E-2</c:v>
                </c:pt>
                <c:pt idx="1782">
                  <c:v>3.583979669241983E-2</c:v>
                </c:pt>
                <c:pt idx="1783">
                  <c:v>3.6240556655830702E-2</c:v>
                </c:pt>
                <c:pt idx="1784">
                  <c:v>3.5141572734909483E-2</c:v>
                </c:pt>
                <c:pt idx="1785">
                  <c:v>3.679377579044172E-2</c:v>
                </c:pt>
                <c:pt idx="1786">
                  <c:v>3.6393193311514201E-2</c:v>
                </c:pt>
                <c:pt idx="1787">
                  <c:v>3.6685510255596444E-2</c:v>
                </c:pt>
                <c:pt idx="1788">
                  <c:v>3.7248313552308523E-2</c:v>
                </c:pt>
                <c:pt idx="1789">
                  <c:v>3.6200622647076297E-2</c:v>
                </c:pt>
                <c:pt idx="1790">
                  <c:v>3.6726154202284263E-2</c:v>
                </c:pt>
                <c:pt idx="1791">
                  <c:v>3.6569967856933706E-2</c:v>
                </c:pt>
                <c:pt idx="1792">
                  <c:v>3.682519054399519E-2</c:v>
                </c:pt>
                <c:pt idx="1793">
                  <c:v>3.6175597334923537E-2</c:v>
                </c:pt>
                <c:pt idx="1794">
                  <c:v>3.632645914577351E-2</c:v>
                </c:pt>
                <c:pt idx="1795">
                  <c:v>3.6419993468500493E-2</c:v>
                </c:pt>
                <c:pt idx="1796">
                  <c:v>3.609590680189808E-2</c:v>
                </c:pt>
                <c:pt idx="1797">
                  <c:v>3.5437616853142138E-2</c:v>
                </c:pt>
                <c:pt idx="1798">
                  <c:v>3.6695094417697506E-2</c:v>
                </c:pt>
                <c:pt idx="1799">
                  <c:v>3.6297529174986985E-2</c:v>
                </c:pt>
                <c:pt idx="1800">
                  <c:v>3.6615581369155395E-2</c:v>
                </c:pt>
                <c:pt idx="1801">
                  <c:v>3.7089464939707675E-2</c:v>
                </c:pt>
                <c:pt idx="1802">
                  <c:v>3.6546007451681059E-2</c:v>
                </c:pt>
                <c:pt idx="1803">
                  <c:v>3.6135308357202425E-2</c:v>
                </c:pt>
                <c:pt idx="1804">
                  <c:v>3.5693549478137035E-2</c:v>
                </c:pt>
                <c:pt idx="1805">
                  <c:v>3.5401232534054791E-2</c:v>
                </c:pt>
                <c:pt idx="1806">
                  <c:v>3.5338935480397918E-2</c:v>
                </c:pt>
                <c:pt idx="1807">
                  <c:v>3.5484117787780593E-2</c:v>
                </c:pt>
                <c:pt idx="1808">
                  <c:v>3.694286275645816E-2</c:v>
                </c:pt>
                <c:pt idx="1809">
                  <c:v>3.5664087053900451E-2</c:v>
                </c:pt>
                <c:pt idx="1810">
                  <c:v>3.6145779941720246E-2</c:v>
                </c:pt>
                <c:pt idx="1811">
                  <c:v>3.5838021847586304E-2</c:v>
                </c:pt>
                <c:pt idx="1812">
                  <c:v>3.6537665680963477E-2</c:v>
                </c:pt>
                <c:pt idx="1813">
                  <c:v>3.5835892033786065E-2</c:v>
                </c:pt>
                <c:pt idx="1814">
                  <c:v>3.5312135323411632E-2</c:v>
                </c:pt>
                <c:pt idx="1815">
                  <c:v>3.6296996721536925E-2</c:v>
                </c:pt>
                <c:pt idx="1816">
                  <c:v>3.4996212943043448E-2</c:v>
                </c:pt>
                <c:pt idx="1817">
                  <c:v>3.5506303348199708E-2</c:v>
                </c:pt>
                <c:pt idx="1818">
                  <c:v>3.6383609149413146E-2</c:v>
                </c:pt>
                <c:pt idx="1819">
                  <c:v>3.6361068620027324E-2</c:v>
                </c:pt>
                <c:pt idx="1820">
                  <c:v>3.8078230996466733E-2</c:v>
                </c:pt>
                <c:pt idx="1821">
                  <c:v>3.7377344771706088E-2</c:v>
                </c:pt>
                <c:pt idx="1822">
                  <c:v>3.5654325407316036E-2</c:v>
                </c:pt>
                <c:pt idx="1823">
                  <c:v>3.4677983264391678E-2</c:v>
                </c:pt>
                <c:pt idx="1824">
                  <c:v>3.4900371322032879E-2</c:v>
                </c:pt>
                <c:pt idx="1825">
                  <c:v>3.4181914133420296E-2</c:v>
                </c:pt>
                <c:pt idx="1826">
                  <c:v>3.4341295199471211E-2</c:v>
                </c:pt>
                <c:pt idx="1827">
                  <c:v>3.4371290077157855E-2</c:v>
                </c:pt>
                <c:pt idx="1828">
                  <c:v>3.4614621303834692E-2</c:v>
                </c:pt>
                <c:pt idx="1829">
                  <c:v>3.3699156338700381E-2</c:v>
                </c:pt>
                <c:pt idx="1830">
                  <c:v>3.4269946437163343E-2</c:v>
                </c:pt>
                <c:pt idx="1831">
                  <c:v>3.3758436156140249E-2</c:v>
                </c:pt>
                <c:pt idx="1832">
                  <c:v>3.3385718741099142E-2</c:v>
                </c:pt>
                <c:pt idx="1833">
                  <c:v>3.2912012655030229E-2</c:v>
                </c:pt>
                <c:pt idx="1834">
                  <c:v>3.4238354199126526E-2</c:v>
                </c:pt>
                <c:pt idx="1835">
                  <c:v>3.2421800512009484E-2</c:v>
                </c:pt>
                <c:pt idx="1836">
                  <c:v>3.2694061709472852E-2</c:v>
                </c:pt>
                <c:pt idx="1837">
                  <c:v>3.2034174400366731E-2</c:v>
                </c:pt>
                <c:pt idx="1838">
                  <c:v>3.2024057784815617E-2</c:v>
                </c:pt>
                <c:pt idx="1839">
                  <c:v>3.1465514115704009E-2</c:v>
                </c:pt>
                <c:pt idx="1840">
                  <c:v>3.1752506525285662E-2</c:v>
                </c:pt>
                <c:pt idx="1841">
                  <c:v>3.2123626579976597E-2</c:v>
                </c:pt>
                <c:pt idx="1842">
                  <c:v>3.0795687675530124E-2</c:v>
                </c:pt>
                <c:pt idx="1843">
                  <c:v>3.3162620745524535E-2</c:v>
                </c:pt>
                <c:pt idx="1844">
                  <c:v>3.324639342166711E-2</c:v>
                </c:pt>
                <c:pt idx="1845">
                  <c:v>3.311594232640272E-2</c:v>
                </c:pt>
                <c:pt idx="1846">
                  <c:v>1.8886301358066508E-2</c:v>
                </c:pt>
                <c:pt idx="1847">
                  <c:v>2.7007991316295672E-2</c:v>
                </c:pt>
                <c:pt idx="1848">
                  <c:v>2.8788160684325357E-2</c:v>
                </c:pt>
                <c:pt idx="1849">
                  <c:v>2.8241508475598403E-2</c:v>
                </c:pt>
                <c:pt idx="1850">
                  <c:v>2.7358878139884375E-2</c:v>
                </c:pt>
                <c:pt idx="1851">
                  <c:v>2.6803351706989772E-2</c:v>
                </c:pt>
                <c:pt idx="1852">
                  <c:v>2.6333372795071263E-2</c:v>
                </c:pt>
                <c:pt idx="1853">
                  <c:v>2.6109387377079893E-2</c:v>
                </c:pt>
                <c:pt idx="1854">
                  <c:v>2.5100388089218596E-2</c:v>
                </c:pt>
                <c:pt idx="1855">
                  <c:v>2.5259059217336097E-2</c:v>
                </c:pt>
                <c:pt idx="1856">
                  <c:v>2.5202441667146518E-2</c:v>
                </c:pt>
                <c:pt idx="1857">
                  <c:v>2.6029519359571082E-2</c:v>
                </c:pt>
                <c:pt idx="1858">
                  <c:v>2.4998511995774027E-2</c:v>
                </c:pt>
                <c:pt idx="1859">
                  <c:v>2.4189182751684753E-2</c:v>
                </c:pt>
                <c:pt idx="1860">
                  <c:v>2.3591060042785449E-2</c:v>
                </c:pt>
                <c:pt idx="1861">
                  <c:v>2.3804751360742355E-2</c:v>
                </c:pt>
                <c:pt idx="1862">
                  <c:v>2.2715884055372251E-2</c:v>
                </c:pt>
                <c:pt idx="1863">
                  <c:v>2.1489111306436937E-2</c:v>
                </c:pt>
                <c:pt idx="1864">
                  <c:v>2.1462133664967294E-2</c:v>
                </c:pt>
                <c:pt idx="1865">
                  <c:v>2.039829167174995E-2</c:v>
                </c:pt>
                <c:pt idx="1866">
                  <c:v>1.905047450516795E-2</c:v>
                </c:pt>
                <c:pt idx="1867">
                  <c:v>1.8379938127060659E-2</c:v>
                </c:pt>
                <c:pt idx="1868">
                  <c:v>1.7912976451359152E-2</c:v>
                </c:pt>
                <c:pt idx="1869">
                  <c:v>1.6244906283015163E-2</c:v>
                </c:pt>
                <c:pt idx="1870">
                  <c:v>1.5108650620589833E-2</c:v>
                </c:pt>
                <c:pt idx="1871">
                  <c:v>1.4339219888358299E-2</c:v>
                </c:pt>
                <c:pt idx="1872">
                  <c:v>1.1219078167910809E-2</c:v>
                </c:pt>
                <c:pt idx="1873">
                  <c:v>1.0111947709203692E-2</c:v>
                </c:pt>
                <c:pt idx="1874">
                  <c:v>1.7468182587628427E-2</c:v>
                </c:pt>
                <c:pt idx="1875">
                  <c:v>2.1022859568668846E-2</c:v>
                </c:pt>
                <c:pt idx="1876">
                  <c:v>1.7602733574458265E-2</c:v>
                </c:pt>
                <c:pt idx="1877">
                  <c:v>1.6344705808004505E-2</c:v>
                </c:pt>
                <c:pt idx="1878">
                  <c:v>1.3591708489820845E-2</c:v>
                </c:pt>
                <c:pt idx="1879">
                  <c:v>1.2320227399528932E-2</c:v>
                </c:pt>
                <c:pt idx="1880">
                  <c:v>1.1048071868200279E-2</c:v>
                </c:pt>
                <c:pt idx="1881">
                  <c:v>1.1059661604963225E-2</c:v>
                </c:pt>
                <c:pt idx="1882">
                  <c:v>1.037001014799882E-2</c:v>
                </c:pt>
                <c:pt idx="1883">
                  <c:v>9.9589915814501523E-3</c:v>
                </c:pt>
                <c:pt idx="1884">
                  <c:v>9.9895899063801932E-3</c:v>
                </c:pt>
                <c:pt idx="1885">
                  <c:v>9.4728438330981962E-3</c:v>
                </c:pt>
                <c:pt idx="1886">
                  <c:v>9.2721621277710616E-3</c:v>
                </c:pt>
                <c:pt idx="1887">
                  <c:v>8.86368158933434E-3</c:v>
                </c:pt>
                <c:pt idx="1888">
                  <c:v>8.8936587185726463E-3</c:v>
                </c:pt>
                <c:pt idx="1889">
                  <c:v>9.0064856046400913E-3</c:v>
                </c:pt>
                <c:pt idx="1890">
                  <c:v>9.0965767283900274E-3</c:v>
                </c:pt>
                <c:pt idx="1891">
                  <c:v>8.9334152428436984E-3</c:v>
                </c:pt>
                <c:pt idx="1892">
                  <c:v>9.3797709700279303E-3</c:v>
                </c:pt>
                <c:pt idx="1893">
                  <c:v>9.5751813861994842E-3</c:v>
                </c:pt>
                <c:pt idx="1894">
                  <c:v>9.5439263686810365E-3</c:v>
                </c:pt>
                <c:pt idx="1895">
                  <c:v>1.0180864934089625E-2</c:v>
                </c:pt>
                <c:pt idx="1896">
                  <c:v>1.0046526928639809E-2</c:v>
                </c:pt>
                <c:pt idx="1897">
                  <c:v>1.0537200531317263E-2</c:v>
                </c:pt>
                <c:pt idx="1898">
                  <c:v>1.0243534705161539E-2</c:v>
                </c:pt>
                <c:pt idx="1899">
                  <c:v>1.0592841916848401E-2</c:v>
                </c:pt>
                <c:pt idx="1900">
                  <c:v>1.044185586686008E-2</c:v>
                </c:pt>
                <c:pt idx="1901">
                  <c:v>8.7362832271836201E-3</c:v>
                </c:pt>
                <c:pt idx="1902">
                  <c:v>7.9456963445364171E-3</c:v>
                </c:pt>
                <c:pt idx="1903">
                  <c:v>7.8761046786137417E-3</c:v>
                </c:pt>
                <c:pt idx="1904">
                  <c:v>7.9090990440690481E-3</c:v>
                </c:pt>
                <c:pt idx="1905">
                  <c:v>8.6390039818578911E-3</c:v>
                </c:pt>
                <c:pt idx="1906">
                  <c:v>8.5918108577343524E-3</c:v>
                </c:pt>
                <c:pt idx="1907">
                  <c:v>8.6901372615118648E-3</c:v>
                </c:pt>
                <c:pt idx="1908">
                  <c:v>8.7924215692681447E-3</c:v>
                </c:pt>
                <c:pt idx="1909">
                  <c:v>8.174083377714943E-3</c:v>
                </c:pt>
                <c:pt idx="1910">
                  <c:v>8.1491468078038597E-3</c:v>
                </c:pt>
                <c:pt idx="1911">
                  <c:v>8.4666310516255446E-3</c:v>
                </c:pt>
                <c:pt idx="1912">
                  <c:v>7.6885390766063865E-3</c:v>
                </c:pt>
                <c:pt idx="1913">
                  <c:v>6.4664341695832546E-3</c:v>
                </c:pt>
                <c:pt idx="1914">
                  <c:v>7.0072648872562416E-3</c:v>
                </c:pt>
                <c:pt idx="1915">
                  <c:v>6.4947251962297076E-3</c:v>
                </c:pt>
                <c:pt idx="1916">
                  <c:v>7.2895539580290448E-3</c:v>
                </c:pt>
                <c:pt idx="1917">
                  <c:v>6.5580871567866962E-3</c:v>
                </c:pt>
                <c:pt idx="1918">
                  <c:v>6.3120581659628925E-3</c:v>
                </c:pt>
                <c:pt idx="1919">
                  <c:v>6.0729333215415173E-3</c:v>
                </c:pt>
                <c:pt idx="1920">
                  <c:v>4.6836735280966135E-3</c:v>
                </c:pt>
                <c:pt idx="1921">
                  <c:v>4.7084326135243444E-3</c:v>
                </c:pt>
                <c:pt idx="1922">
                  <c:v>5.2922323246170711E-3</c:v>
                </c:pt>
                <c:pt idx="1923">
                  <c:v>4.8051794054000153E-3</c:v>
                </c:pt>
                <c:pt idx="1924">
                  <c:v>5.0041217627902921E-3</c:v>
                </c:pt>
                <c:pt idx="1925">
                  <c:v>4.6025631192043344E-3</c:v>
                </c:pt>
                <c:pt idx="1926">
                  <c:v>4.610922638370255E-3</c:v>
                </c:pt>
                <c:pt idx="1927">
                  <c:v>3.938629163877768E-3</c:v>
                </c:pt>
                <c:pt idx="1928">
                  <c:v>3.8221638459015883E-3</c:v>
                </c:pt>
                <c:pt idx="1929">
                  <c:v>3.5860562376972124E-3</c:v>
                </c:pt>
                <c:pt idx="1930">
                  <c:v>3.0022565266044849E-3</c:v>
                </c:pt>
                <c:pt idx="1931">
                  <c:v>2.7962325383284275E-3</c:v>
                </c:pt>
                <c:pt idx="1932">
                  <c:v>1.8960312387624673E-3</c:v>
                </c:pt>
                <c:pt idx="1933">
                  <c:v>2.8621147785490276E-3</c:v>
                </c:pt>
                <c:pt idx="1934">
                  <c:v>3.0488817003812944E-3</c:v>
                </c:pt>
                <c:pt idx="1935">
                  <c:v>3.3990763344849215E-3</c:v>
                </c:pt>
                <c:pt idx="1936">
                  <c:v>2.9617368190550156E-3</c:v>
                </c:pt>
                <c:pt idx="1937">
                  <c:v>3.1131665802517187E-3</c:v>
                </c:pt>
                <c:pt idx="1938">
                  <c:v>2.6570492064830749E-3</c:v>
                </c:pt>
                <c:pt idx="1939">
                  <c:v>2.5037026128661606E-3</c:v>
                </c:pt>
                <c:pt idx="1940">
                  <c:v>2.6557535697545984E-3</c:v>
                </c:pt>
                <c:pt idx="1941">
                  <c:v>2.4668568341220964E-3</c:v>
                </c:pt>
                <c:pt idx="1942">
                  <c:v>2.5602314208140625E-3</c:v>
                </c:pt>
                <c:pt idx="1943">
                  <c:v>2.2248922379670744E-3</c:v>
                </c:pt>
                <c:pt idx="1944">
                  <c:v>1.0629900676972488E-3</c:v>
                </c:pt>
                <c:pt idx="1945">
                  <c:v>1.0102736264517675E-3</c:v>
                </c:pt>
                <c:pt idx="1946">
                  <c:v>1.0407104405019581E-3</c:v>
                </c:pt>
                <c:pt idx="1947">
                  <c:v>9.9714687406298624E-4</c:v>
                </c:pt>
                <c:pt idx="1948">
                  <c:v>6.973312105590829E-4</c:v>
                </c:pt>
                <c:pt idx="1949">
                  <c:v>8.9775733823019017E-4</c:v>
                </c:pt>
                <c:pt idx="1950">
                  <c:v>8.1005160593651613E-4</c:v>
                </c:pt>
                <c:pt idx="1951">
                  <c:v>7.0412176689216538E-4</c:v>
                </c:pt>
                <c:pt idx="1952">
                  <c:v>6.7742277606138704E-4</c:v>
                </c:pt>
                <c:pt idx="1953">
                  <c:v>9.8695748987369576E-4</c:v>
                </c:pt>
                <c:pt idx="1954">
                  <c:v>9.9990143324462342E-4</c:v>
                </c:pt>
                <c:pt idx="1955">
                  <c:v>7.6025300959735656E-4</c:v>
                </c:pt>
                <c:pt idx="1956">
                  <c:v>5.0036780515819103E-4</c:v>
                </c:pt>
                <c:pt idx="1957">
                  <c:v>6.7040858927928004E-4</c:v>
                </c:pt>
                <c:pt idx="1958">
                  <c:v>5.9593077552989838E-4</c:v>
                </c:pt>
                <c:pt idx="1959">
                  <c:v>4.6958844605512936E-4</c:v>
                </c:pt>
                <c:pt idx="1960">
                  <c:v>3.4026970179453208E-4</c:v>
                </c:pt>
                <c:pt idx="1961">
                  <c:v>2.9829462148156884E-4</c:v>
                </c:pt>
                <c:pt idx="1962">
                  <c:v>4.3726674679173095E-4</c:v>
                </c:pt>
                <c:pt idx="1963">
                  <c:v>2.9587195828380161E-4</c:v>
                </c:pt>
                <c:pt idx="1964">
                  <c:v>4.1445821583604845E-4</c:v>
                </c:pt>
                <c:pt idx="1965">
                  <c:v>3.4927881416952581E-4</c:v>
                </c:pt>
                <c:pt idx="1966">
                  <c:v>2.8939554948625393E-4</c:v>
                </c:pt>
                <c:pt idx="1967">
                  <c:v>3.6444841296169898E-4</c:v>
                </c:pt>
                <c:pt idx="1968">
                  <c:v>2.658948290454951E-4</c:v>
                </c:pt>
                <c:pt idx="1969">
                  <c:v>3.392651396187546E-4</c:v>
                </c:pt>
                <c:pt idx="1970">
                  <c:v>1.2153516224315544E-4</c:v>
                </c:pt>
                <c:pt idx="1971">
                  <c:v>1.7097630483284219E-4</c:v>
                </c:pt>
                <c:pt idx="1972">
                  <c:v>1.7930192446244384E-4</c:v>
                </c:pt>
                <c:pt idx="1973">
                  <c:v>8.4254901483843395E-5</c:v>
                </c:pt>
                <c:pt idx="1974">
                  <c:v>1.5231718361346741E-4</c:v>
                </c:pt>
                <c:pt idx="1975">
                  <c:v>1.2277187412315852E-4</c:v>
                </c:pt>
                <c:pt idx="1976">
                  <c:v>7.5312878243557075E-5</c:v>
                </c:pt>
                <c:pt idx="1977">
                  <c:v>1.1456534658188666E-4</c:v>
                </c:pt>
                <c:pt idx="1978">
                  <c:v>5.5386340328559165E-5</c:v>
                </c:pt>
                <c:pt idx="1979">
                  <c:v>6.7197577726728626E-5</c:v>
                </c:pt>
                <c:pt idx="1980">
                  <c:v>6.785267295478421E-5</c:v>
                </c:pt>
                <c:pt idx="1981">
                  <c:v>9.3720681434504151E-5</c:v>
                </c:pt>
                <c:pt idx="1982">
                  <c:v>4.6460645660741322E-5</c:v>
                </c:pt>
                <c:pt idx="1983">
                  <c:v>3.888560791123912E-5</c:v>
                </c:pt>
                <c:pt idx="1984">
                  <c:v>6.5639973900823484E-5</c:v>
                </c:pt>
                <c:pt idx="1985">
                  <c:v>6.5425395160449818E-5</c:v>
                </c:pt>
                <c:pt idx="1986">
                  <c:v>1.8750170759334829E-5</c:v>
                </c:pt>
                <c:pt idx="1987">
                  <c:v>2.8423785040001839E-5</c:v>
                </c:pt>
                <c:pt idx="1988">
                  <c:v>1.8400171358162889E-5</c:v>
                </c:pt>
                <c:pt idx="1989">
                  <c:v>1.9041600281000305E-5</c:v>
                </c:pt>
                <c:pt idx="1990">
                  <c:v>2.9241988508258752E-5</c:v>
                </c:pt>
                <c:pt idx="1991">
                  <c:v>9.850033857119801E-6</c:v>
                </c:pt>
                <c:pt idx="1992">
                  <c:v>1.9391954651138951E-5</c:v>
                </c:pt>
                <c:pt idx="1993">
                  <c:v>0</c:v>
                </c:pt>
                <c:pt idx="1994">
                  <c:v>9.5849962781289023E-6</c:v>
                </c:pt>
                <c:pt idx="1995">
                  <c:v>0</c:v>
                </c:pt>
                <c:pt idx="1996">
                  <c:v>2.8529388307596819E-5</c:v>
                </c:pt>
                <c:pt idx="1997">
                  <c:v>9.3465458747442662E-6</c:v>
                </c:pt>
                <c:pt idx="1998">
                  <c:v>0</c:v>
                </c:pt>
                <c:pt idx="1999">
                  <c:v>9.6054069937144857E-6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5C-4BD3-9EE4-3275C1997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055640"/>
        <c:axId val="570057608"/>
      </c:scatterChart>
      <c:valAx>
        <c:axId val="57005564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7608"/>
        <c:crosses val="autoZero"/>
        <c:crossBetween val="midCat"/>
      </c:valAx>
      <c:valAx>
        <c:axId val="570057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5640"/>
        <c:crossesAt val="1.0000000000000006E-1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'NE270 Homework '!$O$2</c:f>
              <c:strCache>
                <c:ptCount val="1"/>
                <c:pt idx="0">
                  <c:v>normalised flux per lethargy (no mod)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'!$N$3:$N$2002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'!$O$3:$O$2002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3.6732948936972128E-6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6.8720269778536944E-6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7.7221407226504292E-6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7.9621871995960931E-6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8.49763466939596E-6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8.78661390153594E-6</c:v>
                </c:pt>
                <c:pt idx="411">
                  <c:v>0</c:v>
                </c:pt>
                <c:pt idx="412">
                  <c:v>9.1691597794542105E-6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8.8615521340027285E-6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1.8207867593325308E-5</c:v>
                </c:pt>
                <c:pt idx="421">
                  <c:v>8.9291133025085484E-6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9.4629155278279118E-6</c:v>
                </c:pt>
                <c:pt idx="429">
                  <c:v>0</c:v>
                </c:pt>
                <c:pt idx="430">
                  <c:v>1.9245804570912382E-5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1.9387507885846036E-5</c:v>
                </c:pt>
                <c:pt idx="437">
                  <c:v>0</c:v>
                </c:pt>
                <c:pt idx="438">
                  <c:v>0</c:v>
                </c:pt>
                <c:pt idx="439">
                  <c:v>1.954396532870162E-5</c:v>
                </c:pt>
                <c:pt idx="440">
                  <c:v>0</c:v>
                </c:pt>
                <c:pt idx="441">
                  <c:v>9.6048842047745515E-6</c:v>
                </c:pt>
                <c:pt idx="442">
                  <c:v>0</c:v>
                </c:pt>
                <c:pt idx="443">
                  <c:v>1.0214314603794461E-5</c:v>
                </c:pt>
                <c:pt idx="444">
                  <c:v>9.3543293921147063E-6</c:v>
                </c:pt>
                <c:pt idx="445">
                  <c:v>0</c:v>
                </c:pt>
                <c:pt idx="446">
                  <c:v>1.0312233186585693E-5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9.4953427658146021E-6</c:v>
                </c:pt>
                <c:pt idx="451">
                  <c:v>0</c:v>
                </c:pt>
                <c:pt idx="452">
                  <c:v>0</c:v>
                </c:pt>
                <c:pt idx="453">
                  <c:v>9.8568188999019159E-6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2.0117996435189416E-5</c:v>
                </c:pt>
                <c:pt idx="461">
                  <c:v>1.0300769547624769E-5</c:v>
                </c:pt>
                <c:pt idx="462">
                  <c:v>0</c:v>
                </c:pt>
                <c:pt idx="463">
                  <c:v>2.1241114618944475E-5</c:v>
                </c:pt>
                <c:pt idx="464">
                  <c:v>3.1780020037021417E-5</c:v>
                </c:pt>
                <c:pt idx="465">
                  <c:v>0</c:v>
                </c:pt>
                <c:pt idx="466">
                  <c:v>0</c:v>
                </c:pt>
                <c:pt idx="467">
                  <c:v>3.1561520955530083E-5</c:v>
                </c:pt>
                <c:pt idx="468">
                  <c:v>1.050722119372661E-5</c:v>
                </c:pt>
                <c:pt idx="469">
                  <c:v>0</c:v>
                </c:pt>
                <c:pt idx="470">
                  <c:v>2.1152430634205094E-5</c:v>
                </c:pt>
                <c:pt idx="471">
                  <c:v>3.2065337273382215E-5</c:v>
                </c:pt>
                <c:pt idx="472">
                  <c:v>2.1087841520244699E-5</c:v>
                </c:pt>
                <c:pt idx="473">
                  <c:v>1.0801507666126279E-5</c:v>
                </c:pt>
                <c:pt idx="474">
                  <c:v>1.0872359323593105E-5</c:v>
                </c:pt>
                <c:pt idx="475">
                  <c:v>3.2163574290589025E-5</c:v>
                </c:pt>
                <c:pt idx="476">
                  <c:v>0</c:v>
                </c:pt>
                <c:pt idx="477">
                  <c:v>2.1422781453033575E-5</c:v>
                </c:pt>
                <c:pt idx="478">
                  <c:v>1.1218444460927325E-5</c:v>
                </c:pt>
                <c:pt idx="479">
                  <c:v>3.2952124048373386E-5</c:v>
                </c:pt>
                <c:pt idx="480">
                  <c:v>0</c:v>
                </c:pt>
                <c:pt idx="481">
                  <c:v>1.1072070774565145E-5</c:v>
                </c:pt>
                <c:pt idx="482">
                  <c:v>2.2475578703347772E-5</c:v>
                </c:pt>
                <c:pt idx="483">
                  <c:v>0</c:v>
                </c:pt>
                <c:pt idx="484">
                  <c:v>0</c:v>
                </c:pt>
                <c:pt idx="485">
                  <c:v>1.1132042589499613E-5</c:v>
                </c:pt>
                <c:pt idx="486">
                  <c:v>1.0454414153142721E-5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1.1343748403458546E-5</c:v>
                </c:pt>
                <c:pt idx="491">
                  <c:v>2.2638829413735761E-5</c:v>
                </c:pt>
                <c:pt idx="492">
                  <c:v>1.1385463311899688E-5</c:v>
                </c:pt>
                <c:pt idx="493">
                  <c:v>0</c:v>
                </c:pt>
                <c:pt idx="494">
                  <c:v>3.3229321207136867E-5</c:v>
                </c:pt>
                <c:pt idx="495">
                  <c:v>4.5968236930062041E-5</c:v>
                </c:pt>
                <c:pt idx="496">
                  <c:v>2.2559592316658627E-5</c:v>
                </c:pt>
                <c:pt idx="497">
                  <c:v>2.2344702158543878E-5</c:v>
                </c:pt>
                <c:pt idx="498">
                  <c:v>3.416557146134833E-5</c:v>
                </c:pt>
                <c:pt idx="499">
                  <c:v>2.3133039626717852E-5</c:v>
                </c:pt>
                <c:pt idx="500">
                  <c:v>0</c:v>
                </c:pt>
                <c:pt idx="501">
                  <c:v>1.203480415767245E-5</c:v>
                </c:pt>
                <c:pt idx="502">
                  <c:v>0</c:v>
                </c:pt>
                <c:pt idx="503">
                  <c:v>3.4419045256151003E-5</c:v>
                </c:pt>
                <c:pt idx="504">
                  <c:v>3.4843624476925992E-5</c:v>
                </c:pt>
                <c:pt idx="505">
                  <c:v>4.6004644598243504E-5</c:v>
                </c:pt>
                <c:pt idx="506">
                  <c:v>6.9603394557748931E-5</c:v>
                </c:pt>
                <c:pt idx="507">
                  <c:v>5.8019811966955113E-5</c:v>
                </c:pt>
                <c:pt idx="508">
                  <c:v>5.731288756436474E-5</c:v>
                </c:pt>
                <c:pt idx="509">
                  <c:v>1.1452706045989929E-5</c:v>
                </c:pt>
                <c:pt idx="510">
                  <c:v>3.4610105905499745E-5</c:v>
                </c:pt>
                <c:pt idx="511">
                  <c:v>5.9785000077327153E-5</c:v>
                </c:pt>
                <c:pt idx="512">
                  <c:v>5.8207688272148036E-5</c:v>
                </c:pt>
                <c:pt idx="513">
                  <c:v>4.8072292331015145E-5</c:v>
                </c:pt>
                <c:pt idx="514">
                  <c:v>4.5906142219023698E-5</c:v>
                </c:pt>
                <c:pt idx="515">
                  <c:v>2.295874985658972E-5</c:v>
                </c:pt>
                <c:pt idx="516">
                  <c:v>4.7141137027452971E-5</c:v>
                </c:pt>
                <c:pt idx="517">
                  <c:v>5.9714944505899284E-5</c:v>
                </c:pt>
                <c:pt idx="518">
                  <c:v>8.2951634534888824E-5</c:v>
                </c:pt>
                <c:pt idx="519">
                  <c:v>3.5406245016855457E-5</c:v>
                </c:pt>
                <c:pt idx="520">
                  <c:v>3.6976232830476205E-5</c:v>
                </c:pt>
                <c:pt idx="521">
                  <c:v>3.5588761009386115E-5</c:v>
                </c:pt>
                <c:pt idx="522">
                  <c:v>8.3942496291372477E-5</c:v>
                </c:pt>
                <c:pt idx="523">
                  <c:v>2.3624596219570106E-5</c:v>
                </c:pt>
                <c:pt idx="524">
                  <c:v>4.8388444633284711E-5</c:v>
                </c:pt>
                <c:pt idx="525">
                  <c:v>0</c:v>
                </c:pt>
                <c:pt idx="526">
                  <c:v>3.5338153124323665E-5</c:v>
                </c:pt>
                <c:pt idx="527">
                  <c:v>3.5741450311657323E-5</c:v>
                </c:pt>
                <c:pt idx="528">
                  <c:v>7.4614490810945815E-5</c:v>
                </c:pt>
                <c:pt idx="529">
                  <c:v>6.0123602005895214E-5</c:v>
                </c:pt>
                <c:pt idx="530">
                  <c:v>5.0092705625475552E-5</c:v>
                </c:pt>
                <c:pt idx="531">
                  <c:v>4.9055034009901459E-5</c:v>
                </c:pt>
                <c:pt idx="532">
                  <c:v>3.656486863794783E-5</c:v>
                </c:pt>
                <c:pt idx="533">
                  <c:v>2.4608399346508365E-5</c:v>
                </c:pt>
                <c:pt idx="534">
                  <c:v>3.6645114110674305E-5</c:v>
                </c:pt>
                <c:pt idx="535">
                  <c:v>6.0238238395504456E-5</c:v>
                </c:pt>
                <c:pt idx="536">
                  <c:v>4.9909022040087765E-5</c:v>
                </c:pt>
                <c:pt idx="537">
                  <c:v>4.9109061715745077E-5</c:v>
                </c:pt>
                <c:pt idx="538">
                  <c:v>2.5015889253647169E-5</c:v>
                </c:pt>
                <c:pt idx="539">
                  <c:v>2.4222934486447262E-5</c:v>
                </c:pt>
                <c:pt idx="540">
                  <c:v>3.5860969362305485E-5</c:v>
                </c:pt>
                <c:pt idx="541">
                  <c:v>8.7818373853022221E-5</c:v>
                </c:pt>
                <c:pt idx="542">
                  <c:v>6.3562693694172687E-5</c:v>
                </c:pt>
                <c:pt idx="543">
                  <c:v>4.9690629103401622E-5</c:v>
                </c:pt>
                <c:pt idx="544">
                  <c:v>6.2289486755873658E-5</c:v>
                </c:pt>
                <c:pt idx="545">
                  <c:v>4.9344597038470007E-5</c:v>
                </c:pt>
                <c:pt idx="546">
                  <c:v>7.6141914557683858E-5</c:v>
                </c:pt>
                <c:pt idx="547">
                  <c:v>6.1286949070818702E-5</c:v>
                </c:pt>
                <c:pt idx="548">
                  <c:v>4.9916717538464309E-5</c:v>
                </c:pt>
                <c:pt idx="549">
                  <c:v>5.0014476904047753E-5</c:v>
                </c:pt>
                <c:pt idx="550">
                  <c:v>4.9052061955356045E-5</c:v>
                </c:pt>
                <c:pt idx="551">
                  <c:v>3.7485993257419182E-5</c:v>
                </c:pt>
                <c:pt idx="552">
                  <c:v>1.1414069336899404E-4</c:v>
                </c:pt>
                <c:pt idx="553">
                  <c:v>1.3787254891421243E-4</c:v>
                </c:pt>
                <c:pt idx="554">
                  <c:v>1.0265741761910831E-4</c:v>
                </c:pt>
                <c:pt idx="555">
                  <c:v>3.8237551550593527E-5</c:v>
                </c:pt>
                <c:pt idx="556">
                  <c:v>1.0046924246003918E-4</c:v>
                </c:pt>
                <c:pt idx="557">
                  <c:v>1.2919414964157152E-4</c:v>
                </c:pt>
                <c:pt idx="558">
                  <c:v>1.7747199138784436E-4</c:v>
                </c:pt>
                <c:pt idx="559">
                  <c:v>1.3875779658952832E-4</c:v>
                </c:pt>
                <c:pt idx="560">
                  <c:v>1.3952310063497522E-4</c:v>
                </c:pt>
                <c:pt idx="561">
                  <c:v>1.8091055235209584E-4</c:v>
                </c:pt>
                <c:pt idx="562">
                  <c:v>1.0370825119052643E-4</c:v>
                </c:pt>
                <c:pt idx="563">
                  <c:v>1.5136673799849372E-4</c:v>
                </c:pt>
                <c:pt idx="564">
                  <c:v>1.411640993232706E-4</c:v>
                </c:pt>
                <c:pt idx="565">
                  <c:v>8.9175965911450256E-5</c:v>
                </c:pt>
                <c:pt idx="566">
                  <c:v>1.1581884273910723E-4</c:v>
                </c:pt>
                <c:pt idx="567">
                  <c:v>1.5639959393675535E-4</c:v>
                </c:pt>
                <c:pt idx="568">
                  <c:v>1.6768119455677294E-4</c:v>
                </c:pt>
                <c:pt idx="569">
                  <c:v>2.5878209651041185E-4</c:v>
                </c:pt>
                <c:pt idx="570">
                  <c:v>6.3667246327288522E-5</c:v>
                </c:pt>
                <c:pt idx="571">
                  <c:v>1.3180849619349354E-4</c:v>
                </c:pt>
                <c:pt idx="572">
                  <c:v>1.9421580368313227E-4</c:v>
                </c:pt>
                <c:pt idx="573">
                  <c:v>1.15635742950148E-4</c:v>
                </c:pt>
                <c:pt idx="574">
                  <c:v>1.2954230460260701E-4</c:v>
                </c:pt>
                <c:pt idx="575">
                  <c:v>2.2303783336141689E-4</c:v>
                </c:pt>
                <c:pt idx="576">
                  <c:v>1.698571630632448E-4</c:v>
                </c:pt>
                <c:pt idx="577">
                  <c:v>2.6079300984480742E-4</c:v>
                </c:pt>
                <c:pt idx="578">
                  <c:v>2.5969175749092225E-4</c:v>
                </c:pt>
                <c:pt idx="579">
                  <c:v>1.93761503916903E-4</c:v>
                </c:pt>
                <c:pt idx="580">
                  <c:v>1.7115690620284223E-4</c:v>
                </c:pt>
                <c:pt idx="581">
                  <c:v>1.4231895480377858E-4</c:v>
                </c:pt>
                <c:pt idx="582">
                  <c:v>1.5730076333285027E-4</c:v>
                </c:pt>
                <c:pt idx="583">
                  <c:v>3.5034207474651373E-4</c:v>
                </c:pt>
                <c:pt idx="584">
                  <c:v>1.4453048181999035E-4</c:v>
                </c:pt>
                <c:pt idx="585">
                  <c:v>2.4992696613712335E-4</c:v>
                </c:pt>
                <c:pt idx="586">
                  <c:v>2.3574867378336833E-4</c:v>
                </c:pt>
                <c:pt idx="587">
                  <c:v>2.4936121432544067E-4</c:v>
                </c:pt>
                <c:pt idx="588">
                  <c:v>1.3149430757012007E-4</c:v>
                </c:pt>
                <c:pt idx="589">
                  <c:v>1.9758961631621556E-4</c:v>
                </c:pt>
                <c:pt idx="590">
                  <c:v>1.9508884470585089E-4</c:v>
                </c:pt>
                <c:pt idx="591">
                  <c:v>2.6414400134477407E-4</c:v>
                </c:pt>
                <c:pt idx="592">
                  <c:v>1.6643346237172043E-4</c:v>
                </c:pt>
                <c:pt idx="593">
                  <c:v>2.9939416042559216E-4</c:v>
                </c:pt>
                <c:pt idx="594">
                  <c:v>3.5567372831139571E-4</c:v>
                </c:pt>
                <c:pt idx="595">
                  <c:v>2.7550414912063504E-4</c:v>
                </c:pt>
                <c:pt idx="596">
                  <c:v>3.1279494208130292E-4</c:v>
                </c:pt>
                <c:pt idx="597">
                  <c:v>3.2544899503247568E-4</c:v>
                </c:pt>
                <c:pt idx="598">
                  <c:v>4.1900343415816817E-4</c:v>
                </c:pt>
                <c:pt idx="599">
                  <c:v>3.9751176472656383E-4</c:v>
                </c:pt>
                <c:pt idx="600">
                  <c:v>2.8998230054906241E-4</c:v>
                </c:pt>
                <c:pt idx="601">
                  <c:v>3.364949541849632E-4</c:v>
                </c:pt>
                <c:pt idx="602">
                  <c:v>2.5860271178963442E-4</c:v>
                </c:pt>
                <c:pt idx="603">
                  <c:v>2.9764913982820694E-4</c:v>
                </c:pt>
                <c:pt idx="604">
                  <c:v>2.9909005555871205E-4</c:v>
                </c:pt>
                <c:pt idx="605">
                  <c:v>3.5289114224324158E-4</c:v>
                </c:pt>
                <c:pt idx="606">
                  <c:v>3.5006609825300995E-4</c:v>
                </c:pt>
                <c:pt idx="607">
                  <c:v>4.5594766432987844E-4</c:v>
                </c:pt>
                <c:pt idx="608">
                  <c:v>1.9499384510520247E-4</c:v>
                </c:pt>
                <c:pt idx="609">
                  <c:v>3.2246048804224572E-4</c:v>
                </c:pt>
                <c:pt idx="610">
                  <c:v>3.263013378181815E-4</c:v>
                </c:pt>
                <c:pt idx="611">
                  <c:v>3.512814562724784E-4</c:v>
                </c:pt>
                <c:pt idx="612">
                  <c:v>2.7210645390638317E-4</c:v>
                </c:pt>
                <c:pt idx="613">
                  <c:v>3.6442324460351643E-4</c:v>
                </c:pt>
                <c:pt idx="614">
                  <c:v>3.8808982109354064E-4</c:v>
                </c:pt>
                <c:pt idx="615">
                  <c:v>3.1004419945470697E-4</c:v>
                </c:pt>
                <c:pt idx="616">
                  <c:v>3.8841886998964133E-4</c:v>
                </c:pt>
                <c:pt idx="617">
                  <c:v>4.6355400107006247E-4</c:v>
                </c:pt>
                <c:pt idx="618">
                  <c:v>2.9857366108144447E-4</c:v>
                </c:pt>
                <c:pt idx="619">
                  <c:v>4.5099017120330432E-4</c:v>
                </c:pt>
                <c:pt idx="620">
                  <c:v>4.9427973782949696E-4</c:v>
                </c:pt>
                <c:pt idx="621">
                  <c:v>4.0404073169403136E-4</c:v>
                </c:pt>
                <c:pt idx="622">
                  <c:v>4.9738341193336221E-4</c:v>
                </c:pt>
                <c:pt idx="623">
                  <c:v>4.423712130215719E-4</c:v>
                </c:pt>
                <c:pt idx="624">
                  <c:v>3.8234207989229914E-4</c:v>
                </c:pt>
                <c:pt idx="625">
                  <c:v>3.6907822503528837E-4</c:v>
                </c:pt>
                <c:pt idx="626">
                  <c:v>5.1137913522218399E-4</c:v>
                </c:pt>
                <c:pt idx="627">
                  <c:v>5.1299731277736267E-4</c:v>
                </c:pt>
                <c:pt idx="628">
                  <c:v>6.2019878950681547E-4</c:v>
                </c:pt>
                <c:pt idx="629">
                  <c:v>3.9779570208045713E-4</c:v>
                </c:pt>
                <c:pt idx="630">
                  <c:v>4.5488250120975912E-4</c:v>
                </c:pt>
                <c:pt idx="631">
                  <c:v>5.0792730615728326E-4</c:v>
                </c:pt>
                <c:pt idx="632">
                  <c:v>5.0904978747220715E-4</c:v>
                </c:pt>
                <c:pt idx="633">
                  <c:v>5.1703824551108872E-4</c:v>
                </c:pt>
                <c:pt idx="634">
                  <c:v>5.5122589509191727E-4</c:v>
                </c:pt>
                <c:pt idx="635">
                  <c:v>5.5355046632566047E-4</c:v>
                </c:pt>
                <c:pt idx="636">
                  <c:v>5.2588700719606552E-4</c:v>
                </c:pt>
                <c:pt idx="637">
                  <c:v>6.1093234801340099E-4</c:v>
                </c:pt>
                <c:pt idx="638">
                  <c:v>5.4500050226730394E-4</c:v>
                </c:pt>
                <c:pt idx="639">
                  <c:v>5.3560668700765714E-4</c:v>
                </c:pt>
                <c:pt idx="640">
                  <c:v>4.8136669155365147E-4</c:v>
                </c:pt>
                <c:pt idx="641">
                  <c:v>6.4752046236368635E-4</c:v>
                </c:pt>
                <c:pt idx="642">
                  <c:v>5.3890779044918271E-4</c:v>
                </c:pt>
                <c:pt idx="643">
                  <c:v>6.9149094791519676E-4</c:v>
                </c:pt>
                <c:pt idx="644">
                  <c:v>6.3511744187679669E-4</c:v>
                </c:pt>
                <c:pt idx="645">
                  <c:v>5.6724845343591372E-4</c:v>
                </c:pt>
                <c:pt idx="646">
                  <c:v>7.9259387486224273E-4</c:v>
                </c:pt>
                <c:pt idx="647">
                  <c:v>6.1213709155235013E-4</c:v>
                </c:pt>
                <c:pt idx="648">
                  <c:v>4.4366724109298761E-4</c:v>
                </c:pt>
                <c:pt idx="649">
                  <c:v>7.1136656268772633E-4</c:v>
                </c:pt>
                <c:pt idx="650">
                  <c:v>8.0494382294653548E-4</c:v>
                </c:pt>
                <c:pt idx="651">
                  <c:v>9.383943792763762E-4</c:v>
                </c:pt>
                <c:pt idx="652">
                  <c:v>7.1837742707077346E-4</c:v>
                </c:pt>
                <c:pt idx="653">
                  <c:v>7.0429731866182262E-4</c:v>
                </c:pt>
                <c:pt idx="654">
                  <c:v>7.4635719771984571E-4</c:v>
                </c:pt>
                <c:pt idx="655">
                  <c:v>6.6148381148692403E-4</c:v>
                </c:pt>
                <c:pt idx="656">
                  <c:v>5.9677263100055505E-4</c:v>
                </c:pt>
                <c:pt idx="657">
                  <c:v>6.5466400775322558E-4</c:v>
                </c:pt>
                <c:pt idx="658">
                  <c:v>7.2156177122658586E-4</c:v>
                </c:pt>
                <c:pt idx="659">
                  <c:v>8.6774439693941704E-4</c:v>
                </c:pt>
                <c:pt idx="660">
                  <c:v>8.8335829778341749E-4</c:v>
                </c:pt>
                <c:pt idx="661">
                  <c:v>8.3030712414758172E-4</c:v>
                </c:pt>
                <c:pt idx="662">
                  <c:v>7.4560887684322979E-4</c:v>
                </c:pt>
                <c:pt idx="663">
                  <c:v>6.9961102551251858E-4</c:v>
                </c:pt>
                <c:pt idx="664">
                  <c:v>8.7321616164715476E-4</c:v>
                </c:pt>
                <c:pt idx="665">
                  <c:v>8.1343010012177553E-4</c:v>
                </c:pt>
                <c:pt idx="666">
                  <c:v>9.4831891856199185E-4</c:v>
                </c:pt>
                <c:pt idx="667">
                  <c:v>8.9719958038068232E-4</c:v>
                </c:pt>
                <c:pt idx="668">
                  <c:v>9.6274930482808199E-4</c:v>
                </c:pt>
                <c:pt idx="669">
                  <c:v>9.4574490703604338E-4</c:v>
                </c:pt>
                <c:pt idx="670">
                  <c:v>7.5198287239511448E-4</c:v>
                </c:pt>
                <c:pt idx="671">
                  <c:v>9.1889027132202486E-4</c:v>
                </c:pt>
                <c:pt idx="672">
                  <c:v>9.3506673963355234E-4</c:v>
                </c:pt>
                <c:pt idx="673">
                  <c:v>1.0253694326521341E-3</c:v>
                </c:pt>
                <c:pt idx="674">
                  <c:v>7.0654228129167051E-4</c:v>
                </c:pt>
                <c:pt idx="675">
                  <c:v>9.105366751532768E-4</c:v>
                </c:pt>
                <c:pt idx="676">
                  <c:v>1.151283707813219E-3</c:v>
                </c:pt>
                <c:pt idx="677">
                  <c:v>1.0522134538856333E-3</c:v>
                </c:pt>
                <c:pt idx="678">
                  <c:v>1.1304846332355037E-3</c:v>
                </c:pt>
                <c:pt idx="679">
                  <c:v>1.1147698948265692E-3</c:v>
                </c:pt>
                <c:pt idx="680">
                  <c:v>9.4389798742567212E-4</c:v>
                </c:pt>
                <c:pt idx="681">
                  <c:v>9.7118781684098492E-4</c:v>
                </c:pt>
                <c:pt idx="682">
                  <c:v>1.0178968383664942E-3</c:v>
                </c:pt>
                <c:pt idx="683">
                  <c:v>9.6988223573710175E-4</c:v>
                </c:pt>
                <c:pt idx="684">
                  <c:v>1.1035981540799271E-3</c:v>
                </c:pt>
                <c:pt idx="685">
                  <c:v>1.1751450600207736E-3</c:v>
                </c:pt>
                <c:pt idx="686">
                  <c:v>1.0778686533009624E-3</c:v>
                </c:pt>
                <c:pt idx="687">
                  <c:v>1.1303413377484921E-3</c:v>
                </c:pt>
                <c:pt idx="688">
                  <c:v>1.0238037967755264E-3</c:v>
                </c:pt>
                <c:pt idx="689">
                  <c:v>9.5873703119175825E-4</c:v>
                </c:pt>
                <c:pt idx="690">
                  <c:v>8.5509724340058178E-4</c:v>
                </c:pt>
                <c:pt idx="691">
                  <c:v>9.7919113515259368E-4</c:v>
                </c:pt>
                <c:pt idx="692">
                  <c:v>1.1994469131698824E-3</c:v>
                </c:pt>
                <c:pt idx="693">
                  <c:v>1.2749370986236766E-3</c:v>
                </c:pt>
                <c:pt idx="694">
                  <c:v>1.0339459329117889E-3</c:v>
                </c:pt>
                <c:pt idx="695">
                  <c:v>7.9024276742720124E-4</c:v>
                </c:pt>
                <c:pt idx="696">
                  <c:v>9.339416046984984E-4</c:v>
                </c:pt>
                <c:pt idx="697">
                  <c:v>1.0084446434639907E-3</c:v>
                </c:pt>
                <c:pt idx="698">
                  <c:v>9.3070949538034877E-4</c:v>
                </c:pt>
                <c:pt idx="699">
                  <c:v>1.0132901538210857E-3</c:v>
                </c:pt>
                <c:pt idx="700">
                  <c:v>1.0686075190478078E-3</c:v>
                </c:pt>
                <c:pt idx="701">
                  <c:v>1.0465877792103645E-3</c:v>
                </c:pt>
                <c:pt idx="702">
                  <c:v>9.7840035635390009E-4</c:v>
                </c:pt>
                <c:pt idx="703">
                  <c:v>1.0233739103144917E-3</c:v>
                </c:pt>
                <c:pt idx="704">
                  <c:v>1.0748169901516422E-3</c:v>
                </c:pt>
                <c:pt idx="705">
                  <c:v>1.2825742173573668E-3</c:v>
                </c:pt>
                <c:pt idx="706">
                  <c:v>1.0657203803465379E-3</c:v>
                </c:pt>
                <c:pt idx="707">
                  <c:v>9.0997941492600967E-4</c:v>
                </c:pt>
                <c:pt idx="708">
                  <c:v>1.1313284844367941E-3</c:v>
                </c:pt>
                <c:pt idx="709">
                  <c:v>1.0666173039504251E-3</c:v>
                </c:pt>
                <c:pt idx="710">
                  <c:v>9.708693824254037E-4</c:v>
                </c:pt>
                <c:pt idx="711">
                  <c:v>1.265559205084809E-3</c:v>
                </c:pt>
                <c:pt idx="712">
                  <c:v>9.5864680810734369E-4</c:v>
                </c:pt>
                <c:pt idx="713">
                  <c:v>1.1827397208323863E-3</c:v>
                </c:pt>
                <c:pt idx="714">
                  <c:v>1.1385304094691899E-3</c:v>
                </c:pt>
                <c:pt idx="715">
                  <c:v>1.1878399787219459E-3</c:v>
                </c:pt>
                <c:pt idx="716">
                  <c:v>1.3576504380709055E-3</c:v>
                </c:pt>
                <c:pt idx="717">
                  <c:v>1.2393838961240306E-3</c:v>
                </c:pt>
                <c:pt idx="718">
                  <c:v>1.2052477267737206E-3</c:v>
                </c:pt>
                <c:pt idx="719">
                  <c:v>1.102308494696823E-3</c:v>
                </c:pt>
                <c:pt idx="720">
                  <c:v>1.2611541956692686E-3</c:v>
                </c:pt>
                <c:pt idx="721">
                  <c:v>1.228286456741024E-3</c:v>
                </c:pt>
                <c:pt idx="722">
                  <c:v>1.5224455553744603E-3</c:v>
                </c:pt>
                <c:pt idx="723">
                  <c:v>1.3703135133305198E-3</c:v>
                </c:pt>
                <c:pt idx="724">
                  <c:v>1.4146395839794291E-3</c:v>
                </c:pt>
                <c:pt idx="725">
                  <c:v>1.2297300260916588E-3</c:v>
                </c:pt>
                <c:pt idx="726">
                  <c:v>1.4023480155379933E-3</c:v>
                </c:pt>
                <c:pt idx="727">
                  <c:v>1.1017246982682576E-3</c:v>
                </c:pt>
                <c:pt idx="728">
                  <c:v>1.4123574706677638E-3</c:v>
                </c:pt>
                <c:pt idx="729">
                  <c:v>1.1668869941767E-3</c:v>
                </c:pt>
                <c:pt idx="730">
                  <c:v>1.2420269017733548E-3</c:v>
                </c:pt>
                <c:pt idx="731">
                  <c:v>1.3769794070966873E-3</c:v>
                </c:pt>
                <c:pt idx="732">
                  <c:v>1.4926454013163154E-3</c:v>
                </c:pt>
                <c:pt idx="733">
                  <c:v>1.3698093255058493E-3</c:v>
                </c:pt>
                <c:pt idx="734">
                  <c:v>1.3770908591421408E-3</c:v>
                </c:pt>
                <c:pt idx="735">
                  <c:v>1.6637083693665613E-3</c:v>
                </c:pt>
                <c:pt idx="736">
                  <c:v>1.5258050384588425E-3</c:v>
                </c:pt>
                <c:pt idx="737">
                  <c:v>1.6265895309903074E-3</c:v>
                </c:pt>
                <c:pt idx="738">
                  <c:v>1.3934743098237958E-3</c:v>
                </c:pt>
                <c:pt idx="739">
                  <c:v>1.1715573656052249E-3</c:v>
                </c:pt>
                <c:pt idx="740">
                  <c:v>1.7990695321898897E-3</c:v>
                </c:pt>
                <c:pt idx="741">
                  <c:v>1.4004851742068429E-3</c:v>
                </c:pt>
                <c:pt idx="742">
                  <c:v>1.9543487677078251E-3</c:v>
                </c:pt>
                <c:pt idx="743">
                  <c:v>1.9482932065715216E-3</c:v>
                </c:pt>
                <c:pt idx="744">
                  <c:v>1.3255469417400561E-3</c:v>
                </c:pt>
                <c:pt idx="745">
                  <c:v>1.4029052757652603E-3</c:v>
                </c:pt>
                <c:pt idx="746">
                  <c:v>1.5165385969654283E-3</c:v>
                </c:pt>
                <c:pt idx="747">
                  <c:v>1.6729535818989366E-3</c:v>
                </c:pt>
                <c:pt idx="748">
                  <c:v>1.544544903815799E-3</c:v>
                </c:pt>
                <c:pt idx="749">
                  <c:v>1.5728112654388943E-3</c:v>
                </c:pt>
                <c:pt idx="750">
                  <c:v>1.3695439634928651E-3</c:v>
                </c:pt>
                <c:pt idx="751">
                  <c:v>1.5899430369971654E-3</c:v>
                </c:pt>
                <c:pt idx="752">
                  <c:v>1.6136876299190071E-3</c:v>
                </c:pt>
                <c:pt idx="753">
                  <c:v>1.3807581621615847E-3</c:v>
                </c:pt>
                <c:pt idx="754">
                  <c:v>1.4735181074204018E-3</c:v>
                </c:pt>
                <c:pt idx="755">
                  <c:v>1.5960092126139883E-3</c:v>
                </c:pt>
                <c:pt idx="756">
                  <c:v>1.4859264351475508E-3</c:v>
                </c:pt>
                <c:pt idx="757">
                  <c:v>1.4992210719980683E-3</c:v>
                </c:pt>
                <c:pt idx="758">
                  <c:v>1.464771775472437E-3</c:v>
                </c:pt>
                <c:pt idx="759">
                  <c:v>1.3840645728433701E-3</c:v>
                </c:pt>
                <c:pt idx="760">
                  <c:v>1.346966963428155E-3</c:v>
                </c:pt>
                <c:pt idx="761">
                  <c:v>1.6477707268667196E-3</c:v>
                </c:pt>
                <c:pt idx="762">
                  <c:v>1.6955889616065037E-3</c:v>
                </c:pt>
                <c:pt idx="763">
                  <c:v>1.3783964402460237E-3</c:v>
                </c:pt>
                <c:pt idx="764">
                  <c:v>1.3458152922918025E-3</c:v>
                </c:pt>
                <c:pt idx="765">
                  <c:v>1.8038354339430889E-3</c:v>
                </c:pt>
                <c:pt idx="766">
                  <c:v>1.4228870353429834E-3</c:v>
                </c:pt>
                <c:pt idx="767">
                  <c:v>1.5943533536529656E-3</c:v>
                </c:pt>
                <c:pt idx="768">
                  <c:v>1.6773957419962951E-3</c:v>
                </c:pt>
                <c:pt idx="769">
                  <c:v>1.3103470056363114E-3</c:v>
                </c:pt>
                <c:pt idx="770">
                  <c:v>1.7617543259240271E-3</c:v>
                </c:pt>
                <c:pt idx="771">
                  <c:v>1.377239461869412E-3</c:v>
                </c:pt>
                <c:pt idx="772">
                  <c:v>1.5354111433288767E-3</c:v>
                </c:pt>
                <c:pt idx="773">
                  <c:v>1.4501768647582965E-3</c:v>
                </c:pt>
                <c:pt idx="774">
                  <c:v>1.6283833781980815E-3</c:v>
                </c:pt>
                <c:pt idx="775">
                  <c:v>1.2168652757021765E-3</c:v>
                </c:pt>
                <c:pt idx="776">
                  <c:v>1.4575326997582235E-3</c:v>
                </c:pt>
                <c:pt idx="777">
                  <c:v>1.2448185101499505E-3</c:v>
                </c:pt>
                <c:pt idx="778">
                  <c:v>1.8266406453389659E-3</c:v>
                </c:pt>
                <c:pt idx="779">
                  <c:v>1.7650235859239948E-3</c:v>
                </c:pt>
                <c:pt idx="780">
                  <c:v>1.4959358902773214E-3</c:v>
                </c:pt>
                <c:pt idx="781">
                  <c:v>1.5602384132636948E-3</c:v>
                </c:pt>
                <c:pt idx="782">
                  <c:v>1.7087774536518271E-3</c:v>
                </c:pt>
                <c:pt idx="783">
                  <c:v>1.6433497957304001E-3</c:v>
                </c:pt>
                <c:pt idx="784">
                  <c:v>1.7229106344633747E-3</c:v>
                </c:pt>
                <c:pt idx="785">
                  <c:v>1.7861782455991088E-3</c:v>
                </c:pt>
                <c:pt idx="786">
                  <c:v>1.5739894727765449E-3</c:v>
                </c:pt>
                <c:pt idx="787">
                  <c:v>1.590797502678975E-3</c:v>
                </c:pt>
                <c:pt idx="788">
                  <c:v>1.5606417635234311E-3</c:v>
                </c:pt>
                <c:pt idx="789">
                  <c:v>1.6037365544320928E-3</c:v>
                </c:pt>
                <c:pt idx="790">
                  <c:v>1.7478068985215685E-3</c:v>
                </c:pt>
                <c:pt idx="791">
                  <c:v>1.71636680722318E-3</c:v>
                </c:pt>
                <c:pt idx="792">
                  <c:v>1.3765229844343542E-3</c:v>
                </c:pt>
                <c:pt idx="793">
                  <c:v>1.4661835013815138E-3</c:v>
                </c:pt>
                <c:pt idx="794">
                  <c:v>1.6459078855355694E-3</c:v>
                </c:pt>
                <c:pt idx="795">
                  <c:v>1.7527532464435974E-3</c:v>
                </c:pt>
                <c:pt idx="796">
                  <c:v>1.6227523962825531E-3</c:v>
                </c:pt>
                <c:pt idx="797">
                  <c:v>1.6777619415742136E-3</c:v>
                </c:pt>
                <c:pt idx="798">
                  <c:v>1.6988051492038744E-3</c:v>
                </c:pt>
                <c:pt idx="799">
                  <c:v>1.5136673799849376E-3</c:v>
                </c:pt>
                <c:pt idx="800">
                  <c:v>1.6005628247568E-3</c:v>
                </c:pt>
                <c:pt idx="801">
                  <c:v>1.7277189941386514E-3</c:v>
                </c:pt>
                <c:pt idx="802">
                  <c:v>1.615587621931975E-3</c:v>
                </c:pt>
                <c:pt idx="803">
                  <c:v>1.4440310805375787E-3</c:v>
                </c:pt>
                <c:pt idx="804">
                  <c:v>1.4976607433617201E-3</c:v>
                </c:pt>
                <c:pt idx="805">
                  <c:v>1.3518283955060285E-3</c:v>
                </c:pt>
                <c:pt idx="806">
                  <c:v>1.529467034238027E-3</c:v>
                </c:pt>
                <c:pt idx="807">
                  <c:v>1.6519156815095358E-3</c:v>
                </c:pt>
                <c:pt idx="808">
                  <c:v>1.5616607536532909E-3</c:v>
                </c:pt>
                <c:pt idx="809">
                  <c:v>1.4246331173884208E-3</c:v>
                </c:pt>
                <c:pt idx="810">
                  <c:v>1.5834416676790482E-3</c:v>
                </c:pt>
                <c:pt idx="811">
                  <c:v>1.8093071986508269E-3</c:v>
                </c:pt>
                <c:pt idx="812">
                  <c:v>1.5406122387833705E-3</c:v>
                </c:pt>
                <c:pt idx="813">
                  <c:v>1.4646178655049059E-3</c:v>
                </c:pt>
                <c:pt idx="814">
                  <c:v>1.5051598738486584E-3</c:v>
                </c:pt>
                <c:pt idx="815">
                  <c:v>1.721477679593259E-3</c:v>
                </c:pt>
                <c:pt idx="816">
                  <c:v>1.8085323415729122E-3</c:v>
                </c:pt>
                <c:pt idx="817">
                  <c:v>1.4280509801156594E-3</c:v>
                </c:pt>
                <c:pt idx="818">
                  <c:v>1.7229955503075295E-3</c:v>
                </c:pt>
                <c:pt idx="819">
                  <c:v>1.5363452176145819E-3</c:v>
                </c:pt>
                <c:pt idx="820">
                  <c:v>1.5284692730692057E-3</c:v>
                </c:pt>
                <c:pt idx="821">
                  <c:v>1.7496644326124593E-3</c:v>
                </c:pt>
                <c:pt idx="822">
                  <c:v>1.7066120996258745E-3</c:v>
                </c:pt>
                <c:pt idx="823">
                  <c:v>1.9072310886823199E-3</c:v>
                </c:pt>
                <c:pt idx="824">
                  <c:v>1.775447005794021E-3</c:v>
                </c:pt>
                <c:pt idx="825">
                  <c:v>2.0675203590054003E-3</c:v>
                </c:pt>
                <c:pt idx="826">
                  <c:v>1.9008889365719935E-3</c:v>
                </c:pt>
                <c:pt idx="827">
                  <c:v>1.9916427450126484E-3</c:v>
                </c:pt>
                <c:pt idx="828">
                  <c:v>2.0926607561155396E-3</c:v>
                </c:pt>
                <c:pt idx="829">
                  <c:v>2.0258956736486713E-3</c:v>
                </c:pt>
                <c:pt idx="830">
                  <c:v>1.8390436658258554E-3</c:v>
                </c:pt>
                <c:pt idx="831">
                  <c:v>1.695450973359752E-3</c:v>
                </c:pt>
                <c:pt idx="832">
                  <c:v>2.1675034582576518E-3</c:v>
                </c:pt>
                <c:pt idx="833">
                  <c:v>1.9548529555324951E-3</c:v>
                </c:pt>
                <c:pt idx="834">
                  <c:v>1.8262001443974118E-3</c:v>
                </c:pt>
                <c:pt idx="835">
                  <c:v>2.0644262379340022E-3</c:v>
                </c:pt>
                <c:pt idx="836">
                  <c:v>1.5809260357959563E-3</c:v>
                </c:pt>
                <c:pt idx="837">
                  <c:v>1.9039830576433909E-3</c:v>
                </c:pt>
                <c:pt idx="838">
                  <c:v>1.575990302354447E-3</c:v>
                </c:pt>
                <c:pt idx="839">
                  <c:v>1.70906404462585E-3</c:v>
                </c:pt>
                <c:pt idx="840">
                  <c:v>1.7804198899173478E-3</c:v>
                </c:pt>
                <c:pt idx="841">
                  <c:v>1.8433531449167217E-3</c:v>
                </c:pt>
                <c:pt idx="842">
                  <c:v>1.6358506652434618E-3</c:v>
                </c:pt>
                <c:pt idx="843">
                  <c:v>1.5718188115103329E-3</c:v>
                </c:pt>
                <c:pt idx="844">
                  <c:v>2.1231083934853665E-3</c:v>
                </c:pt>
                <c:pt idx="845">
                  <c:v>2.0763781429988183E-3</c:v>
                </c:pt>
                <c:pt idx="846">
                  <c:v>1.7063785810544482E-3</c:v>
                </c:pt>
                <c:pt idx="847">
                  <c:v>1.6674075158275635E-3</c:v>
                </c:pt>
                <c:pt idx="848">
                  <c:v>1.8020362794950548E-3</c:v>
                </c:pt>
                <c:pt idx="849">
                  <c:v>1.8768099875137913E-3</c:v>
                </c:pt>
                <c:pt idx="850">
                  <c:v>2.012643494720232E-3</c:v>
                </c:pt>
                <c:pt idx="851">
                  <c:v>2.0279920335512479E-3</c:v>
                </c:pt>
                <c:pt idx="852">
                  <c:v>1.7225178986841579E-3</c:v>
                </c:pt>
                <c:pt idx="853">
                  <c:v>1.8511070229361251E-3</c:v>
                </c:pt>
                <c:pt idx="854">
                  <c:v>2.2234789212765755E-3</c:v>
                </c:pt>
                <c:pt idx="855">
                  <c:v>1.8760510521566558E-3</c:v>
                </c:pt>
                <c:pt idx="856">
                  <c:v>1.8359813881960157E-3</c:v>
                </c:pt>
                <c:pt idx="857">
                  <c:v>2.0566245947522617E-3</c:v>
                </c:pt>
                <c:pt idx="858">
                  <c:v>1.7646733080668553E-3</c:v>
                </c:pt>
                <c:pt idx="859">
                  <c:v>1.2333867146305836E-3</c:v>
                </c:pt>
                <c:pt idx="860">
                  <c:v>9.1547240859478623E-4</c:v>
                </c:pt>
                <c:pt idx="861">
                  <c:v>3.0692778797421845E-4</c:v>
                </c:pt>
                <c:pt idx="862">
                  <c:v>8.1733622895290562E-5</c:v>
                </c:pt>
                <c:pt idx="863">
                  <c:v>6.418417152858209E-5</c:v>
                </c:pt>
                <c:pt idx="864">
                  <c:v>1.5834947400816452E-4</c:v>
                </c:pt>
                <c:pt idx="865">
                  <c:v>8.6106258145247038E-4</c:v>
                </c:pt>
                <c:pt idx="866">
                  <c:v>2.1862645525756465E-3</c:v>
                </c:pt>
                <c:pt idx="867">
                  <c:v>3.0528625856189717E-3</c:v>
                </c:pt>
                <c:pt idx="868">
                  <c:v>3.5006132173677623E-3</c:v>
                </c:pt>
                <c:pt idx="869">
                  <c:v>4.0938406118748464E-3</c:v>
                </c:pt>
                <c:pt idx="870">
                  <c:v>4.4884286179423484E-3</c:v>
                </c:pt>
                <c:pt idx="871">
                  <c:v>3.9518188625256101E-3</c:v>
                </c:pt>
                <c:pt idx="872">
                  <c:v>4.1974963213868019E-3</c:v>
                </c:pt>
                <c:pt idx="873">
                  <c:v>4.8127063050495108E-3</c:v>
                </c:pt>
                <c:pt idx="874">
                  <c:v>4.5338904380068309E-3</c:v>
                </c:pt>
                <c:pt idx="875">
                  <c:v>4.3881270842745157E-3</c:v>
                </c:pt>
                <c:pt idx="876">
                  <c:v>4.8247112825169245E-3</c:v>
                </c:pt>
                <c:pt idx="877">
                  <c:v>4.8277417167052056E-3</c:v>
                </c:pt>
                <c:pt idx="878">
                  <c:v>4.5430825781366101E-3</c:v>
                </c:pt>
                <c:pt idx="879">
                  <c:v>5.3917845970242679E-3</c:v>
                </c:pt>
                <c:pt idx="880">
                  <c:v>4.7386384599853127E-3</c:v>
                </c:pt>
                <c:pt idx="881">
                  <c:v>5.2891956428045101E-3</c:v>
                </c:pt>
                <c:pt idx="882">
                  <c:v>4.5823561560582966E-3</c:v>
                </c:pt>
                <c:pt idx="883">
                  <c:v>4.3256184084959166E-3</c:v>
                </c:pt>
                <c:pt idx="884">
                  <c:v>3.4263224682126573E-3</c:v>
                </c:pt>
                <c:pt idx="885">
                  <c:v>4.229180545737136E-3</c:v>
                </c:pt>
                <c:pt idx="886">
                  <c:v>5.4039381772189509E-3</c:v>
                </c:pt>
                <c:pt idx="887">
                  <c:v>5.4497396606600556E-3</c:v>
                </c:pt>
                <c:pt idx="888">
                  <c:v>5.8091459710460898E-3</c:v>
                </c:pt>
                <c:pt idx="889">
                  <c:v>5.7465205359817769E-3</c:v>
                </c:pt>
                <c:pt idx="890">
                  <c:v>6.2700267151973473E-3</c:v>
                </c:pt>
                <c:pt idx="891">
                  <c:v>5.8839780587076817E-3</c:v>
                </c:pt>
                <c:pt idx="892">
                  <c:v>6.0729158119525546E-3</c:v>
                </c:pt>
                <c:pt idx="893">
                  <c:v>6.2596245242883602E-3</c:v>
                </c:pt>
                <c:pt idx="894">
                  <c:v>5.6716353759175874E-3</c:v>
                </c:pt>
                <c:pt idx="895">
                  <c:v>6.2717781044830433E-3</c:v>
                </c:pt>
                <c:pt idx="896">
                  <c:v>6.4512158976630755E-3</c:v>
                </c:pt>
                <c:pt idx="897">
                  <c:v>5.6648951807877846E-3</c:v>
                </c:pt>
                <c:pt idx="898">
                  <c:v>7.139299597331554E-3</c:v>
                </c:pt>
                <c:pt idx="899">
                  <c:v>6.1618651587049171E-3</c:v>
                </c:pt>
                <c:pt idx="900">
                  <c:v>6.2329821781847289E-3</c:v>
                </c:pt>
                <c:pt idx="901">
                  <c:v>6.3493168846770771E-3</c:v>
                </c:pt>
                <c:pt idx="902">
                  <c:v>5.9368912440967659E-3</c:v>
                </c:pt>
                <c:pt idx="903">
                  <c:v>5.8006013142279916E-3</c:v>
                </c:pt>
                <c:pt idx="904">
                  <c:v>6.2539988496130919E-3</c:v>
                </c:pt>
                <c:pt idx="905">
                  <c:v>6.2949707444178776E-3</c:v>
                </c:pt>
                <c:pt idx="906">
                  <c:v>5.3601534450765315E-3</c:v>
                </c:pt>
                <c:pt idx="907">
                  <c:v>6.1253513457182667E-3</c:v>
                </c:pt>
                <c:pt idx="908">
                  <c:v>6.2696552083791697E-3</c:v>
                </c:pt>
                <c:pt idx="909">
                  <c:v>6.7592481223353361E-3</c:v>
                </c:pt>
                <c:pt idx="910">
                  <c:v>5.5864010973470067E-3</c:v>
                </c:pt>
                <c:pt idx="911">
                  <c:v>5.1815807320588275E-3</c:v>
                </c:pt>
                <c:pt idx="912">
                  <c:v>5.780911452864552E-3</c:v>
                </c:pt>
                <c:pt idx="913">
                  <c:v>6.772410078179361E-3</c:v>
                </c:pt>
                <c:pt idx="914">
                  <c:v>6.8602979768797841E-3</c:v>
                </c:pt>
                <c:pt idx="915">
                  <c:v>7.2129640921360155E-3</c:v>
                </c:pt>
                <c:pt idx="916">
                  <c:v>6.5902125200642909E-3</c:v>
                </c:pt>
                <c:pt idx="917">
                  <c:v>7.4101811401860009E-3</c:v>
                </c:pt>
                <c:pt idx="918">
                  <c:v>6.9049318674637566E-3</c:v>
                </c:pt>
                <c:pt idx="919">
                  <c:v>7.1641374817468916E-3</c:v>
                </c:pt>
                <c:pt idx="920">
                  <c:v>6.6477960768818994E-3</c:v>
                </c:pt>
                <c:pt idx="921">
                  <c:v>6.5032799246106101E-3</c:v>
                </c:pt>
                <c:pt idx="922">
                  <c:v>7.4175051317443693E-3</c:v>
                </c:pt>
                <c:pt idx="923">
                  <c:v>6.9152809859701478E-3</c:v>
                </c:pt>
                <c:pt idx="924">
                  <c:v>7.7526573541436316E-3</c:v>
                </c:pt>
                <c:pt idx="925">
                  <c:v>7.5908395986257612E-3</c:v>
                </c:pt>
                <c:pt idx="926">
                  <c:v>7.5613313427818993E-3</c:v>
                </c:pt>
                <c:pt idx="927">
                  <c:v>7.5796943940804181E-3</c:v>
                </c:pt>
                <c:pt idx="928">
                  <c:v>7.4498792973284635E-3</c:v>
                </c:pt>
                <c:pt idx="929">
                  <c:v>7.5925379155088622E-3</c:v>
                </c:pt>
                <c:pt idx="930">
                  <c:v>8.0058657869333198E-3</c:v>
                </c:pt>
                <c:pt idx="931">
                  <c:v>7.2281427992787212E-3</c:v>
                </c:pt>
                <c:pt idx="932">
                  <c:v>7.292041972005359E-3</c:v>
                </c:pt>
                <c:pt idx="933">
                  <c:v>7.6477332142096122E-3</c:v>
                </c:pt>
                <c:pt idx="934">
                  <c:v>7.6077696950541647E-3</c:v>
                </c:pt>
                <c:pt idx="935">
                  <c:v>7.2696984905120743E-3</c:v>
                </c:pt>
                <c:pt idx="936">
                  <c:v>7.4041308862899573E-3</c:v>
                </c:pt>
                <c:pt idx="937">
                  <c:v>7.7458640866112311E-3</c:v>
                </c:pt>
                <c:pt idx="938">
                  <c:v>8.3356046242677017E-3</c:v>
                </c:pt>
                <c:pt idx="939">
                  <c:v>7.1745396726558778E-3</c:v>
                </c:pt>
                <c:pt idx="940">
                  <c:v>7.429711784341651E-3</c:v>
                </c:pt>
                <c:pt idx="941">
                  <c:v>8.144703192126743E-3</c:v>
                </c:pt>
                <c:pt idx="942">
                  <c:v>7.8442072486232407E-3</c:v>
                </c:pt>
                <c:pt idx="943">
                  <c:v>7.9093801590122016E-3</c:v>
                </c:pt>
                <c:pt idx="944">
                  <c:v>7.8984472440772457E-3</c:v>
                </c:pt>
                <c:pt idx="945">
                  <c:v>5.3441786518948712E-3</c:v>
                </c:pt>
                <c:pt idx="946">
                  <c:v>6.9321049375933559E-3</c:v>
                </c:pt>
                <c:pt idx="947">
                  <c:v>9.0566462859488373E-3</c:v>
                </c:pt>
                <c:pt idx="948">
                  <c:v>8.9519344356252042E-3</c:v>
                </c:pt>
                <c:pt idx="949">
                  <c:v>8.4632437525131842E-3</c:v>
                </c:pt>
                <c:pt idx="950">
                  <c:v>4.5152089522927314E-3</c:v>
                </c:pt>
                <c:pt idx="951">
                  <c:v>3.7666439426248553E-4</c:v>
                </c:pt>
                <c:pt idx="952">
                  <c:v>5.114587438260793E-4</c:v>
                </c:pt>
                <c:pt idx="953">
                  <c:v>5.5750966755938724E-3</c:v>
                </c:pt>
                <c:pt idx="954">
                  <c:v>1.0387224491455077E-2</c:v>
                </c:pt>
                <c:pt idx="955">
                  <c:v>1.1852871961570362E-2</c:v>
                </c:pt>
                <c:pt idx="956">
                  <c:v>1.2610374363835553E-2</c:v>
                </c:pt>
                <c:pt idx="957">
                  <c:v>1.2506193237537889E-2</c:v>
                </c:pt>
                <c:pt idx="958">
                  <c:v>1.2847979510261759E-2</c:v>
                </c:pt>
                <c:pt idx="959">
                  <c:v>1.2721561047276005E-2</c:v>
                </c:pt>
                <c:pt idx="960">
                  <c:v>1.2480240832668014E-2</c:v>
                </c:pt>
                <c:pt idx="961">
                  <c:v>1.2451051011239736E-2</c:v>
                </c:pt>
                <c:pt idx="962">
                  <c:v>1.4178504643365401E-2</c:v>
                </c:pt>
                <c:pt idx="963">
                  <c:v>1.326417329142645E-2</c:v>
                </c:pt>
                <c:pt idx="964">
                  <c:v>1.3929542002783462E-2</c:v>
                </c:pt>
                <c:pt idx="965">
                  <c:v>1.3726327773240031E-2</c:v>
                </c:pt>
                <c:pt idx="966">
                  <c:v>1.4145228246937163E-2</c:v>
                </c:pt>
                <c:pt idx="967">
                  <c:v>1.370037536837016E-2</c:v>
                </c:pt>
                <c:pt idx="968">
                  <c:v>1.5065132201148789E-2</c:v>
                </c:pt>
                <c:pt idx="969">
                  <c:v>1.4033723129081127E-2</c:v>
                </c:pt>
                <c:pt idx="970">
                  <c:v>1.4756356962840172E-2</c:v>
                </c:pt>
                <c:pt idx="971">
                  <c:v>1.4620597756997367E-2</c:v>
                </c:pt>
                <c:pt idx="972">
                  <c:v>1.5021135179395977E-2</c:v>
                </c:pt>
                <c:pt idx="973">
                  <c:v>1.4734438060567663E-2</c:v>
                </c:pt>
                <c:pt idx="974">
                  <c:v>1.2629215066757444E-2</c:v>
                </c:pt>
                <c:pt idx="975">
                  <c:v>1.6020753882308111E-2</c:v>
                </c:pt>
                <c:pt idx="976">
                  <c:v>1.5366265013483454E-2</c:v>
                </c:pt>
                <c:pt idx="977">
                  <c:v>1.4854434762839196E-2</c:v>
                </c:pt>
                <c:pt idx="978">
                  <c:v>1.5926019643672688E-2</c:v>
                </c:pt>
                <c:pt idx="979">
                  <c:v>1.4954317024526513E-2</c:v>
                </c:pt>
                <c:pt idx="980">
                  <c:v>1.4535522695634576E-2</c:v>
                </c:pt>
                <c:pt idx="981">
                  <c:v>1.5397683875820804E-2</c:v>
                </c:pt>
                <c:pt idx="982">
                  <c:v>1.4428157225181102E-2</c:v>
                </c:pt>
                <c:pt idx="983">
                  <c:v>1.4803272966735809E-2</c:v>
                </c:pt>
                <c:pt idx="984">
                  <c:v>1.4374872532973839E-2</c:v>
                </c:pt>
                <c:pt idx="985">
                  <c:v>1.3658395097916031E-2</c:v>
                </c:pt>
                <c:pt idx="986">
                  <c:v>1.5655934186857193E-2</c:v>
                </c:pt>
                <c:pt idx="987">
                  <c:v>1.6759627871261795E-2</c:v>
                </c:pt>
                <c:pt idx="988">
                  <c:v>1.5166394345303626E-2</c:v>
                </c:pt>
                <c:pt idx="989">
                  <c:v>1.5139062057966231E-2</c:v>
                </c:pt>
                <c:pt idx="990">
                  <c:v>1.426480036998792E-2</c:v>
                </c:pt>
                <c:pt idx="991">
                  <c:v>1.4822485176475877E-2</c:v>
                </c:pt>
                <c:pt idx="992">
                  <c:v>1.3889790773238405E-2</c:v>
                </c:pt>
                <c:pt idx="993">
                  <c:v>1.8661583563125986E-2</c:v>
                </c:pt>
                <c:pt idx="994">
                  <c:v>1.5514337016728731E-2</c:v>
                </c:pt>
                <c:pt idx="995">
                  <c:v>8.2832221629045857E-4</c:v>
                </c:pt>
                <c:pt idx="996">
                  <c:v>2.8904928771140937E-3</c:v>
                </c:pt>
                <c:pt idx="997">
                  <c:v>1.4279607570312448E-2</c:v>
                </c:pt>
                <c:pt idx="998">
                  <c:v>1.9470513123507546E-2</c:v>
                </c:pt>
                <c:pt idx="999">
                  <c:v>2.1087151579010938E-2</c:v>
                </c:pt>
                <c:pt idx="1000">
                  <c:v>2.0454581612458791E-2</c:v>
                </c:pt>
                <c:pt idx="1001">
                  <c:v>2.0145859446552773E-2</c:v>
                </c:pt>
                <c:pt idx="1002">
                  <c:v>2.3697889207556389E-2</c:v>
                </c:pt>
                <c:pt idx="1003">
                  <c:v>2.3666576490024235E-2</c:v>
                </c:pt>
                <c:pt idx="1004">
                  <c:v>2.3609895164050772E-2</c:v>
                </c:pt>
                <c:pt idx="1005">
                  <c:v>2.4027362682877789E-2</c:v>
                </c:pt>
                <c:pt idx="1006">
                  <c:v>2.3808226732555293E-2</c:v>
                </c:pt>
                <c:pt idx="1007">
                  <c:v>2.3191100835158837E-2</c:v>
                </c:pt>
                <c:pt idx="1008">
                  <c:v>2.378360113775034E-2</c:v>
                </c:pt>
                <c:pt idx="1009">
                  <c:v>2.5109084392607277E-2</c:v>
                </c:pt>
                <c:pt idx="1010">
                  <c:v>2.4307797258199672E-2</c:v>
                </c:pt>
                <c:pt idx="1011">
                  <c:v>2.5341647660786785E-2</c:v>
                </c:pt>
                <c:pt idx="1012">
                  <c:v>2.4471684837418815E-2</c:v>
                </c:pt>
                <c:pt idx="1013">
                  <c:v>2.5930857474417281E-2</c:v>
                </c:pt>
                <c:pt idx="1014">
                  <c:v>2.4506181899106787E-2</c:v>
                </c:pt>
                <c:pt idx="1015">
                  <c:v>2.45245980228079E-2</c:v>
                </c:pt>
                <c:pt idx="1016">
                  <c:v>2.4816867743908892E-2</c:v>
                </c:pt>
                <c:pt idx="1017">
                  <c:v>2.5498954262083925E-2</c:v>
                </c:pt>
                <c:pt idx="1018">
                  <c:v>2.6335003820192483E-2</c:v>
                </c:pt>
                <c:pt idx="1019">
                  <c:v>2.5204137065658286E-2</c:v>
                </c:pt>
                <c:pt idx="1020">
                  <c:v>2.4820742029298463E-2</c:v>
                </c:pt>
                <c:pt idx="1021">
                  <c:v>2.4460221198457893E-2</c:v>
                </c:pt>
                <c:pt idx="1022">
                  <c:v>2.5229505674099591E-2</c:v>
                </c:pt>
                <c:pt idx="1023">
                  <c:v>2.7281231686092158E-2</c:v>
                </c:pt>
                <c:pt idx="1024">
                  <c:v>2.8788381775038202E-2</c:v>
                </c:pt>
                <c:pt idx="1025">
                  <c:v>2.7877977780891416E-2</c:v>
                </c:pt>
                <c:pt idx="1026">
                  <c:v>2.6959188347134323E-2</c:v>
                </c:pt>
                <c:pt idx="1027">
                  <c:v>2.5612900710459414E-2</c:v>
                </c:pt>
                <c:pt idx="1028">
                  <c:v>2.4728502193585092E-2</c:v>
                </c:pt>
                <c:pt idx="1029">
                  <c:v>2.5859368948119296E-2</c:v>
                </c:pt>
                <c:pt idx="1030">
                  <c:v>2.7843480719203447E-2</c:v>
                </c:pt>
                <c:pt idx="1031">
                  <c:v>2.646476584454184E-2</c:v>
                </c:pt>
                <c:pt idx="1032">
                  <c:v>2.7851547724398171E-2</c:v>
                </c:pt>
                <c:pt idx="1033">
                  <c:v>2.9465373342563928E-2</c:v>
                </c:pt>
                <c:pt idx="1034">
                  <c:v>2.8851060282505107E-2</c:v>
                </c:pt>
                <c:pt idx="1035">
                  <c:v>2.9865380040936574E-2</c:v>
                </c:pt>
                <c:pt idx="1036">
                  <c:v>2.9936868567234567E-2</c:v>
                </c:pt>
                <c:pt idx="1037">
                  <c:v>2.9392770295811405E-2</c:v>
                </c:pt>
                <c:pt idx="1038">
                  <c:v>2.8983582071789506E-2</c:v>
                </c:pt>
                <c:pt idx="1039">
                  <c:v>3.2774490716881655E-2</c:v>
                </c:pt>
                <c:pt idx="1040">
                  <c:v>3.2765521480842781E-2</c:v>
                </c:pt>
                <c:pt idx="1041">
                  <c:v>2.5224251506242496E-3</c:v>
                </c:pt>
                <c:pt idx="1042">
                  <c:v>2.1757562168614658E-2</c:v>
                </c:pt>
                <c:pt idx="1043">
                  <c:v>2.9861771117559985E-2</c:v>
                </c:pt>
                <c:pt idx="1044">
                  <c:v>3.2850968049023752E-2</c:v>
                </c:pt>
                <c:pt idx="1045">
                  <c:v>3.2891250002594775E-2</c:v>
                </c:pt>
                <c:pt idx="1046">
                  <c:v>3.04388273509958E-2</c:v>
                </c:pt>
                <c:pt idx="1047">
                  <c:v>3.3564844936354303E-2</c:v>
                </c:pt>
                <c:pt idx="1048">
                  <c:v>3.2022136337668358E-2</c:v>
                </c:pt>
                <c:pt idx="1049">
                  <c:v>3.3340348673369526E-2</c:v>
                </c:pt>
                <c:pt idx="1050">
                  <c:v>3.3761000536352351E-2</c:v>
                </c:pt>
                <c:pt idx="1051">
                  <c:v>3.3583844856483989E-2</c:v>
                </c:pt>
                <c:pt idx="1052">
                  <c:v>3.542450192334879E-2</c:v>
                </c:pt>
                <c:pt idx="1053">
                  <c:v>3.4597527746084294E-2</c:v>
                </c:pt>
                <c:pt idx="1054">
                  <c:v>3.4839909408744221E-2</c:v>
                </c:pt>
                <c:pt idx="1055">
                  <c:v>3.4884277937315203E-2</c:v>
                </c:pt>
                <c:pt idx="1056">
                  <c:v>2.8444419533807854E-2</c:v>
                </c:pt>
                <c:pt idx="1057">
                  <c:v>2.4513771252678139E-2</c:v>
                </c:pt>
                <c:pt idx="1058">
                  <c:v>3.8106834222997418E-2</c:v>
                </c:pt>
                <c:pt idx="1059">
                  <c:v>3.6087535448991542E-2</c:v>
                </c:pt>
                <c:pt idx="1060">
                  <c:v>3.501929412952165E-2</c:v>
                </c:pt>
                <c:pt idx="1061">
                  <c:v>3.6186409335029521E-2</c:v>
                </c:pt>
                <c:pt idx="1062">
                  <c:v>3.7033444880475629E-2</c:v>
                </c:pt>
                <c:pt idx="1063">
                  <c:v>3.6657904559700152E-2</c:v>
                </c:pt>
                <c:pt idx="1064">
                  <c:v>3.5524808764256878E-2</c:v>
                </c:pt>
                <c:pt idx="1065">
                  <c:v>3.5398974097699695E-2</c:v>
                </c:pt>
                <c:pt idx="1066">
                  <c:v>3.7902823907415034E-2</c:v>
                </c:pt>
                <c:pt idx="1067">
                  <c:v>3.6625477321713465E-2</c:v>
                </c:pt>
                <c:pt idx="1068">
                  <c:v>3.8719820472991315E-2</c:v>
                </c:pt>
                <c:pt idx="1069">
                  <c:v>3.8304316633060394E-2</c:v>
                </c:pt>
                <c:pt idx="1070">
                  <c:v>3.9293851579479108E-2</c:v>
                </c:pt>
                <c:pt idx="1071">
                  <c:v>3.8144409484036003E-2</c:v>
                </c:pt>
                <c:pt idx="1072">
                  <c:v>3.9819427582395962E-2</c:v>
                </c:pt>
                <c:pt idx="1073">
                  <c:v>4.245473773334376E-2</c:v>
                </c:pt>
                <c:pt idx="1074">
                  <c:v>6.5963158463629309E-2</c:v>
                </c:pt>
                <c:pt idx="1075">
                  <c:v>8.5123357249152921E-3</c:v>
                </c:pt>
                <c:pt idx="1076">
                  <c:v>2.2648594735813581E-2</c:v>
                </c:pt>
                <c:pt idx="1077">
                  <c:v>3.7130779666838296E-2</c:v>
                </c:pt>
                <c:pt idx="1078">
                  <c:v>3.9792626019084537E-2</c:v>
                </c:pt>
                <c:pt idx="1079">
                  <c:v>4.0975397583358483E-2</c:v>
                </c:pt>
                <c:pt idx="1080">
                  <c:v>4.2838291986911366E-2</c:v>
                </c:pt>
                <c:pt idx="1081">
                  <c:v>4.0916805650891536E-2</c:v>
                </c:pt>
                <c:pt idx="1082">
                  <c:v>4.208100187425657E-2</c:v>
                </c:pt>
                <c:pt idx="1083">
                  <c:v>4.4545153526829459E-2</c:v>
                </c:pt>
                <c:pt idx="1084">
                  <c:v>5.2730934758566175E-2</c:v>
                </c:pt>
                <c:pt idx="1085">
                  <c:v>2.641535543772415E-2</c:v>
                </c:pt>
                <c:pt idx="1086">
                  <c:v>2.7756335834139376E-2</c:v>
                </c:pt>
                <c:pt idx="1087">
                  <c:v>4.5025617987538964E-2</c:v>
                </c:pt>
                <c:pt idx="1088">
                  <c:v>4.5834865982336111E-2</c:v>
                </c:pt>
                <c:pt idx="1089">
                  <c:v>4.6556544512848408E-2</c:v>
                </c:pt>
                <c:pt idx="1090">
                  <c:v>4.7286820772581388E-2</c:v>
                </c:pt>
                <c:pt idx="1091">
                  <c:v>4.5346706023250048E-2</c:v>
                </c:pt>
                <c:pt idx="1092">
                  <c:v>4.680126136122259E-2</c:v>
                </c:pt>
                <c:pt idx="1093">
                  <c:v>4.8132529507962589E-2</c:v>
                </c:pt>
                <c:pt idx="1094">
                  <c:v>4.6048376257983331E-2</c:v>
                </c:pt>
                <c:pt idx="1095">
                  <c:v>4.650692181642032E-2</c:v>
                </c:pt>
                <c:pt idx="1096">
                  <c:v>4.7321052472256382E-2</c:v>
                </c:pt>
                <c:pt idx="1097">
                  <c:v>4.7690011815109845E-2</c:v>
                </c:pt>
                <c:pt idx="1098">
                  <c:v>4.7121341021284346E-2</c:v>
                </c:pt>
                <c:pt idx="1099">
                  <c:v>5.0883165989753398E-2</c:v>
                </c:pt>
                <c:pt idx="1100">
                  <c:v>4.8159861795299977E-2</c:v>
                </c:pt>
                <c:pt idx="1101">
                  <c:v>4.9655866679700671E-2</c:v>
                </c:pt>
                <c:pt idx="1102">
                  <c:v>4.577266512649257E-2</c:v>
                </c:pt>
                <c:pt idx="1103">
                  <c:v>4.7744835606992414E-2</c:v>
                </c:pt>
                <c:pt idx="1104">
                  <c:v>5.0359978244953404E-2</c:v>
                </c:pt>
                <c:pt idx="1105">
                  <c:v>5.14470071949426E-2</c:v>
                </c:pt>
                <c:pt idx="1106">
                  <c:v>5.2781459685838403E-2</c:v>
                </c:pt>
                <c:pt idx="1107">
                  <c:v>5.3214636635834089E-2</c:v>
                </c:pt>
                <c:pt idx="1108">
                  <c:v>5.0379668106316854E-2</c:v>
                </c:pt>
                <c:pt idx="1109">
                  <c:v>5.216815500142892E-2</c:v>
                </c:pt>
                <c:pt idx="1110">
                  <c:v>5.16963944147453E-2</c:v>
                </c:pt>
                <c:pt idx="1111">
                  <c:v>5.1049388754686807E-2</c:v>
                </c:pt>
                <c:pt idx="1112">
                  <c:v>3.875012481487413E-2</c:v>
                </c:pt>
                <c:pt idx="1113">
                  <c:v>5.011006030112472E-2</c:v>
                </c:pt>
                <c:pt idx="1114">
                  <c:v>5.0650337359560905E-2</c:v>
                </c:pt>
                <c:pt idx="1115">
                  <c:v>5.1671397313122175E-2</c:v>
                </c:pt>
                <c:pt idx="1116">
                  <c:v>5.1813419062471409E-2</c:v>
                </c:pt>
                <c:pt idx="1117">
                  <c:v>5.1818567085523314E-2</c:v>
                </c:pt>
                <c:pt idx="1118">
                  <c:v>5.0362791082291039E-2</c:v>
                </c:pt>
                <c:pt idx="1119">
                  <c:v>5.2207959303376579E-2</c:v>
                </c:pt>
                <c:pt idx="1120">
                  <c:v>5.2700895778696348E-2</c:v>
                </c:pt>
                <c:pt idx="1121">
                  <c:v>5.9890614158494934E-2</c:v>
                </c:pt>
                <c:pt idx="1122">
                  <c:v>9.8203050869152639E-2</c:v>
                </c:pt>
                <c:pt idx="1123">
                  <c:v>1.0701572332036365E-2</c:v>
                </c:pt>
                <c:pt idx="1124">
                  <c:v>4.1973424114192713E-2</c:v>
                </c:pt>
                <c:pt idx="1125">
                  <c:v>5.1980597130651576E-2</c:v>
                </c:pt>
                <c:pt idx="1126">
                  <c:v>5.3546869876090523E-2</c:v>
                </c:pt>
                <c:pt idx="1127">
                  <c:v>5.4648122229975678E-2</c:v>
                </c:pt>
                <c:pt idx="1128">
                  <c:v>5.5747782411782909E-2</c:v>
                </c:pt>
                <c:pt idx="1129">
                  <c:v>6.7522956375951446E-2</c:v>
                </c:pt>
                <c:pt idx="1130">
                  <c:v>4.6548902086874455E-2</c:v>
                </c:pt>
                <c:pt idx="1131">
                  <c:v>4.3352882002490677E-2</c:v>
                </c:pt>
                <c:pt idx="1132">
                  <c:v>5.568144190853682E-2</c:v>
                </c:pt>
                <c:pt idx="1133">
                  <c:v>5.9465504213693968E-2</c:v>
                </c:pt>
                <c:pt idx="1134">
                  <c:v>5.836000606760107E-2</c:v>
                </c:pt>
                <c:pt idx="1135">
                  <c:v>5.9362543752656038E-2</c:v>
                </c:pt>
                <c:pt idx="1136">
                  <c:v>5.7304395979949241E-2</c:v>
                </c:pt>
                <c:pt idx="1137">
                  <c:v>5.9395979366292061E-2</c:v>
                </c:pt>
                <c:pt idx="1138">
                  <c:v>5.991927325589725E-2</c:v>
                </c:pt>
                <c:pt idx="1139">
                  <c:v>6.3805765298066364E-2</c:v>
                </c:pt>
                <c:pt idx="1140">
                  <c:v>5.1995138968963107E-2</c:v>
                </c:pt>
                <c:pt idx="1141">
                  <c:v>4.8864716374189064E-2</c:v>
                </c:pt>
                <c:pt idx="1142">
                  <c:v>6.0304578898750558E-2</c:v>
                </c:pt>
                <c:pt idx="1143">
                  <c:v>6.2847808431192781E-2</c:v>
                </c:pt>
                <c:pt idx="1144">
                  <c:v>6.3135991577293812E-2</c:v>
                </c:pt>
                <c:pt idx="1145">
                  <c:v>6.3392331281836703E-2</c:v>
                </c:pt>
                <c:pt idx="1146">
                  <c:v>6.224066014548453E-2</c:v>
                </c:pt>
                <c:pt idx="1147">
                  <c:v>6.280588123314125E-2</c:v>
                </c:pt>
                <c:pt idx="1148">
                  <c:v>6.1583623801335231E-2</c:v>
                </c:pt>
                <c:pt idx="1149">
                  <c:v>6.3096187275346161E-2</c:v>
                </c:pt>
                <c:pt idx="1150">
                  <c:v>6.6218967444146251E-2</c:v>
                </c:pt>
                <c:pt idx="1151">
                  <c:v>5.8379642856561914E-2</c:v>
                </c:pt>
                <c:pt idx="1152">
                  <c:v>5.2143104827403197E-2</c:v>
                </c:pt>
                <c:pt idx="1153">
                  <c:v>6.6514050002584868E-2</c:v>
                </c:pt>
                <c:pt idx="1154">
                  <c:v>6.7329242106472856E-2</c:v>
                </c:pt>
                <c:pt idx="1155">
                  <c:v>7.0206827775275399E-2</c:v>
                </c:pt>
                <c:pt idx="1156">
                  <c:v>5.2149845022532997E-2</c:v>
                </c:pt>
                <c:pt idx="1157">
                  <c:v>6.8852950785029121E-2</c:v>
                </c:pt>
                <c:pt idx="1158">
                  <c:v>6.8981385999313569E-2</c:v>
                </c:pt>
                <c:pt idx="1159">
                  <c:v>6.7028852307774556E-2</c:v>
                </c:pt>
                <c:pt idx="1160">
                  <c:v>6.7494297278549137E-2</c:v>
                </c:pt>
                <c:pt idx="1161">
                  <c:v>6.6481675837000778E-2</c:v>
                </c:pt>
                <c:pt idx="1162">
                  <c:v>6.8716554710355149E-2</c:v>
                </c:pt>
                <c:pt idx="1163">
                  <c:v>6.8553091710356784E-2</c:v>
                </c:pt>
                <c:pt idx="1164">
                  <c:v>6.7956557905167927E-2</c:v>
                </c:pt>
                <c:pt idx="1165">
                  <c:v>6.670935644414136E-2</c:v>
                </c:pt>
                <c:pt idx="1166">
                  <c:v>6.9050910846715469E-2</c:v>
                </c:pt>
                <c:pt idx="1167">
                  <c:v>6.6912623746087391E-2</c:v>
                </c:pt>
                <c:pt idx="1168">
                  <c:v>6.9093368768792976E-2</c:v>
                </c:pt>
                <c:pt idx="1169">
                  <c:v>8.6623183346540608E-2</c:v>
                </c:pt>
                <c:pt idx="1170">
                  <c:v>5.0049504689761694E-2</c:v>
                </c:pt>
                <c:pt idx="1171">
                  <c:v>6.6621786979856518E-2</c:v>
                </c:pt>
                <c:pt idx="1172">
                  <c:v>6.987618670709686E-2</c:v>
                </c:pt>
                <c:pt idx="1173">
                  <c:v>7.24141089992794E-2</c:v>
                </c:pt>
                <c:pt idx="1174">
                  <c:v>7.1521961911625936E-2</c:v>
                </c:pt>
                <c:pt idx="1175">
                  <c:v>7.3070083895376767E-2</c:v>
                </c:pt>
                <c:pt idx="1176">
                  <c:v>7.087076353176229E-2</c:v>
                </c:pt>
                <c:pt idx="1177">
                  <c:v>7.2594555168108768E-2</c:v>
                </c:pt>
                <c:pt idx="1178">
                  <c:v>7.3703237658357484E-2</c:v>
                </c:pt>
                <c:pt idx="1179">
                  <c:v>7.2234724278501972E-2</c:v>
                </c:pt>
                <c:pt idx="1180">
                  <c:v>7.0310849684365281E-2</c:v>
                </c:pt>
                <c:pt idx="1181">
                  <c:v>6.9996130336965806E-2</c:v>
                </c:pt>
                <c:pt idx="1182">
                  <c:v>7.9837876674530198E-2</c:v>
                </c:pt>
                <c:pt idx="1183">
                  <c:v>5.9666117895510157E-2</c:v>
                </c:pt>
                <c:pt idx="1184">
                  <c:v>7.5932809291452172E-2</c:v>
                </c:pt>
                <c:pt idx="1185">
                  <c:v>7.5483286041456654E-2</c:v>
                </c:pt>
                <c:pt idx="1186">
                  <c:v>7.5416945538210559E-2</c:v>
                </c:pt>
                <c:pt idx="1187">
                  <c:v>6.9399596531776922E-2</c:v>
                </c:pt>
                <c:pt idx="1188">
                  <c:v>7.4594854021984985E-2</c:v>
                </c:pt>
                <c:pt idx="1189">
                  <c:v>7.6038954096645933E-2</c:v>
                </c:pt>
                <c:pt idx="1190">
                  <c:v>7.7769114421304034E-2</c:v>
                </c:pt>
                <c:pt idx="1191">
                  <c:v>7.6218338817423362E-2</c:v>
                </c:pt>
                <c:pt idx="1192">
                  <c:v>7.2666733635640524E-2</c:v>
                </c:pt>
                <c:pt idx="1193">
                  <c:v>7.7051044814168315E-2</c:v>
                </c:pt>
                <c:pt idx="1194">
                  <c:v>7.7761684284940472E-2</c:v>
                </c:pt>
                <c:pt idx="1195">
                  <c:v>7.550663789859928E-2</c:v>
                </c:pt>
                <c:pt idx="1196">
                  <c:v>7.9246119385575048E-2</c:v>
                </c:pt>
                <c:pt idx="1197">
                  <c:v>7.7363641265463912E-2</c:v>
                </c:pt>
                <c:pt idx="1198">
                  <c:v>7.6257081671319088E-2</c:v>
                </c:pt>
                <c:pt idx="1199">
                  <c:v>7.7729840843382358E-2</c:v>
                </c:pt>
                <c:pt idx="1200">
                  <c:v>8.7114633794587656E-2</c:v>
                </c:pt>
                <c:pt idx="1201">
                  <c:v>6.44198129961122E-2</c:v>
                </c:pt>
                <c:pt idx="1202">
                  <c:v>8.0279969788162167E-2</c:v>
                </c:pt>
                <c:pt idx="1203">
                  <c:v>8.6186928197194285E-2</c:v>
                </c:pt>
                <c:pt idx="1204">
                  <c:v>6.1689768606528979E-2</c:v>
                </c:pt>
                <c:pt idx="1205">
                  <c:v>7.8575284216750571E-2</c:v>
                </c:pt>
                <c:pt idx="1206">
                  <c:v>8.3788055599815572E-2</c:v>
                </c:pt>
                <c:pt idx="1207">
                  <c:v>8.1112675784907121E-2</c:v>
                </c:pt>
                <c:pt idx="1208">
                  <c:v>8.1958119158275347E-2</c:v>
                </c:pt>
                <c:pt idx="1209">
                  <c:v>8.9697667628977545E-2</c:v>
                </c:pt>
                <c:pt idx="1210">
                  <c:v>6.7556391989587489E-2</c:v>
                </c:pt>
                <c:pt idx="1211">
                  <c:v>9.6931966826957497E-2</c:v>
                </c:pt>
                <c:pt idx="1212">
                  <c:v>6.3945345716896154E-2</c:v>
                </c:pt>
                <c:pt idx="1213">
                  <c:v>8.2184738317364003E-2</c:v>
                </c:pt>
                <c:pt idx="1214">
                  <c:v>8.6251145804336515E-2</c:v>
                </c:pt>
                <c:pt idx="1215">
                  <c:v>7.2707068661614152E-2</c:v>
                </c:pt>
                <c:pt idx="1216">
                  <c:v>7.962983285635046E-2</c:v>
                </c:pt>
                <c:pt idx="1217">
                  <c:v>8.4586264534872571E-2</c:v>
                </c:pt>
                <c:pt idx="1218">
                  <c:v>8.4782632424480989E-2</c:v>
                </c:pt>
                <c:pt idx="1219">
                  <c:v>0.10050214734964925</c:v>
                </c:pt>
                <c:pt idx="1220">
                  <c:v>7.1104812827214509E-2</c:v>
                </c:pt>
                <c:pt idx="1221">
                  <c:v>8.4316126005654482E-2</c:v>
                </c:pt>
                <c:pt idx="1222">
                  <c:v>8.542162415174738E-2</c:v>
                </c:pt>
                <c:pt idx="1223">
                  <c:v>9.4525664093215209E-2</c:v>
                </c:pt>
                <c:pt idx="1224">
                  <c:v>7.4100749953808068E-2</c:v>
                </c:pt>
                <c:pt idx="1225">
                  <c:v>7.9980641437515806E-2</c:v>
                </c:pt>
                <c:pt idx="1226">
                  <c:v>8.6661395476410358E-2</c:v>
                </c:pt>
                <c:pt idx="1227">
                  <c:v>8.6353044817322519E-2</c:v>
                </c:pt>
                <c:pt idx="1228">
                  <c:v>8.7466503823804928E-2</c:v>
                </c:pt>
                <c:pt idx="1229">
                  <c:v>8.6773908969915742E-2</c:v>
                </c:pt>
                <c:pt idx="1230">
                  <c:v>8.9233814830280866E-2</c:v>
                </c:pt>
                <c:pt idx="1231">
                  <c:v>8.7490917128999493E-2</c:v>
                </c:pt>
                <c:pt idx="1232">
                  <c:v>8.9965152538065779E-2</c:v>
                </c:pt>
                <c:pt idx="1233">
                  <c:v>8.9720488762094194E-2</c:v>
                </c:pt>
                <c:pt idx="1234">
                  <c:v>8.5019866064089039E-2</c:v>
                </c:pt>
                <c:pt idx="1235">
                  <c:v>9.0848808041303741E-2</c:v>
                </c:pt>
                <c:pt idx="1236">
                  <c:v>9.8320340878891743E-2</c:v>
                </c:pt>
                <c:pt idx="1237">
                  <c:v>7.7872605606367953E-2</c:v>
                </c:pt>
                <c:pt idx="1238">
                  <c:v>9.1557324615972019E-2</c:v>
                </c:pt>
                <c:pt idx="1239">
                  <c:v>0.10893853646644841</c:v>
                </c:pt>
                <c:pt idx="1240">
                  <c:v>6.4487214947410235E-2</c:v>
                </c:pt>
                <c:pt idx="1241">
                  <c:v>8.716770619718453E-2</c:v>
                </c:pt>
                <c:pt idx="1242">
                  <c:v>9.2249388745835256E-2</c:v>
                </c:pt>
                <c:pt idx="1243">
                  <c:v>9.1579084301036756E-2</c:v>
                </c:pt>
                <c:pt idx="1244">
                  <c:v>8.9283702888721922E-2</c:v>
                </c:pt>
                <c:pt idx="1245">
                  <c:v>8.9448227336772226E-2</c:v>
                </c:pt>
                <c:pt idx="1246">
                  <c:v>0.1002803047067943</c:v>
                </c:pt>
                <c:pt idx="1247">
                  <c:v>8.5336177583566389E-2</c:v>
                </c:pt>
                <c:pt idx="1248">
                  <c:v>0.10973303033332363</c:v>
                </c:pt>
                <c:pt idx="1249">
                  <c:v>7.6234791262228402E-2</c:v>
                </c:pt>
                <c:pt idx="1250">
                  <c:v>9.7092245482800058E-2</c:v>
                </c:pt>
                <c:pt idx="1251">
                  <c:v>0.11704322306701712</c:v>
                </c:pt>
                <c:pt idx="1252">
                  <c:v>7.2794638125898994E-2</c:v>
                </c:pt>
                <c:pt idx="1253">
                  <c:v>9.3555500573744357E-2</c:v>
                </c:pt>
                <c:pt idx="1254">
                  <c:v>9.1501598593245304E-2</c:v>
                </c:pt>
                <c:pt idx="1255">
                  <c:v>9.7801292781494298E-2</c:v>
                </c:pt>
                <c:pt idx="1256">
                  <c:v>9.1466040083505409E-2</c:v>
                </c:pt>
                <c:pt idx="1257">
                  <c:v>9.1876820479605201E-2</c:v>
                </c:pt>
                <c:pt idx="1258">
                  <c:v>9.6136411512030354E-2</c:v>
                </c:pt>
                <c:pt idx="1259">
                  <c:v>9.7876124869155895E-2</c:v>
                </c:pt>
                <c:pt idx="1260">
                  <c:v>8.9580908343264418E-2</c:v>
                </c:pt>
                <c:pt idx="1261">
                  <c:v>0.10482489454116468</c:v>
                </c:pt>
                <c:pt idx="1262">
                  <c:v>9.5768619762033991E-2</c:v>
                </c:pt>
                <c:pt idx="1263">
                  <c:v>9.7166016122409701E-2</c:v>
                </c:pt>
                <c:pt idx="1264">
                  <c:v>9.8587825787979991E-2</c:v>
                </c:pt>
                <c:pt idx="1265">
                  <c:v>9.3518349891926519E-2</c:v>
                </c:pt>
                <c:pt idx="1266">
                  <c:v>9.131425301207835E-2</c:v>
                </c:pt>
                <c:pt idx="1267">
                  <c:v>9.7530623528250246E-2</c:v>
                </c:pt>
                <c:pt idx="1268">
                  <c:v>0.10736600117750301</c:v>
                </c:pt>
                <c:pt idx="1269">
                  <c:v>9.3975303278285641E-2</c:v>
                </c:pt>
                <c:pt idx="1270">
                  <c:v>0.10405003746325031</c:v>
                </c:pt>
                <c:pt idx="1271">
                  <c:v>9.0047945486116901E-2</c:v>
                </c:pt>
                <c:pt idx="1272">
                  <c:v>0.10399749578467941</c:v>
                </c:pt>
                <c:pt idx="1273">
                  <c:v>0.1027322497067699</c:v>
                </c:pt>
                <c:pt idx="1274">
                  <c:v>0.10247909434638283</c:v>
                </c:pt>
                <c:pt idx="1275">
                  <c:v>0.10262716634962811</c:v>
                </c:pt>
                <c:pt idx="1276">
                  <c:v>0.10059237043406394</c:v>
                </c:pt>
                <c:pt idx="1277">
                  <c:v>0.11308136821316042</c:v>
                </c:pt>
                <c:pt idx="1278">
                  <c:v>9.7954141300973324E-2</c:v>
                </c:pt>
                <c:pt idx="1279">
                  <c:v>9.3101200807515119E-2</c:v>
                </c:pt>
                <c:pt idx="1280">
                  <c:v>0.10096440797626802</c:v>
                </c:pt>
                <c:pt idx="1281">
                  <c:v>0.10511838492752539</c:v>
                </c:pt>
                <c:pt idx="1282">
                  <c:v>0.10025270705744393</c:v>
                </c:pt>
                <c:pt idx="1283">
                  <c:v>0.10461950434311476</c:v>
                </c:pt>
                <c:pt idx="1284">
                  <c:v>0.11623068458325897</c:v>
                </c:pt>
                <c:pt idx="1285">
                  <c:v>9.2363494411418542E-2</c:v>
                </c:pt>
                <c:pt idx="1286">
                  <c:v>9.9847233901603827E-2</c:v>
                </c:pt>
                <c:pt idx="1287">
                  <c:v>0.10414503706389872</c:v>
                </c:pt>
                <c:pt idx="1288">
                  <c:v>0.12708452163834574</c:v>
                </c:pt>
                <c:pt idx="1289">
                  <c:v>9.0792020570525087E-2</c:v>
                </c:pt>
                <c:pt idx="1290">
                  <c:v>0.10302202502494885</c:v>
                </c:pt>
                <c:pt idx="1291">
                  <c:v>0.11458119431054811</c:v>
                </c:pt>
                <c:pt idx="1292">
                  <c:v>9.7004145294489239E-2</c:v>
                </c:pt>
                <c:pt idx="1293">
                  <c:v>0.10464763271649112</c:v>
                </c:pt>
                <c:pt idx="1294">
                  <c:v>0.10046287377172756</c:v>
                </c:pt>
                <c:pt idx="1295">
                  <c:v>0.11166221216772002</c:v>
                </c:pt>
                <c:pt idx="1296">
                  <c:v>0.11184425050862729</c:v>
                </c:pt>
                <c:pt idx="1297">
                  <c:v>0.10125949053470665</c:v>
                </c:pt>
                <c:pt idx="1298">
                  <c:v>0.10304590760611744</c:v>
                </c:pt>
                <c:pt idx="1299">
                  <c:v>0.10689843331062454</c:v>
                </c:pt>
                <c:pt idx="1300">
                  <c:v>0.11084808151188394</c:v>
                </c:pt>
                <c:pt idx="1301">
                  <c:v>0.10850493493723196</c:v>
                </c:pt>
                <c:pt idx="1302">
                  <c:v>0.10765843011581179</c:v>
                </c:pt>
                <c:pt idx="1303">
                  <c:v>0.10452025895025861</c:v>
                </c:pt>
                <c:pt idx="1304">
                  <c:v>0.14344515118688425</c:v>
                </c:pt>
                <c:pt idx="1305">
                  <c:v>8.2648591116060668E-2</c:v>
                </c:pt>
                <c:pt idx="1306">
                  <c:v>0.11392734231055461</c:v>
                </c:pt>
                <c:pt idx="1307">
                  <c:v>0.10196694566132299</c:v>
                </c:pt>
                <c:pt idx="1308">
                  <c:v>0.11083003689500101</c:v>
                </c:pt>
                <c:pt idx="1309">
                  <c:v>0.10918107734631613</c:v>
                </c:pt>
                <c:pt idx="1310">
                  <c:v>0.10967836575864884</c:v>
                </c:pt>
                <c:pt idx="1311">
                  <c:v>0.12566165052472356</c:v>
                </c:pt>
                <c:pt idx="1312">
                  <c:v>0.10860471105411408</c:v>
                </c:pt>
                <c:pt idx="1313">
                  <c:v>0.10333568292429639</c:v>
                </c:pt>
                <c:pt idx="1314">
                  <c:v>0.10589430345349168</c:v>
                </c:pt>
                <c:pt idx="1315">
                  <c:v>0.13036917263506631</c:v>
                </c:pt>
                <c:pt idx="1316">
                  <c:v>9.4249687599711474E-2</c:v>
                </c:pt>
                <c:pt idx="1317">
                  <c:v>0.11128699028136012</c:v>
                </c:pt>
                <c:pt idx="1318">
                  <c:v>0.11717006610922365</c:v>
                </c:pt>
                <c:pt idx="1319">
                  <c:v>0.10626050303141012</c:v>
                </c:pt>
                <c:pt idx="1320">
                  <c:v>0.11540222437872176</c:v>
                </c:pt>
                <c:pt idx="1321">
                  <c:v>0.11661015226182664</c:v>
                </c:pt>
                <c:pt idx="1322">
                  <c:v>0.10499260333337081</c:v>
                </c:pt>
                <c:pt idx="1323">
                  <c:v>0.11121799615798417</c:v>
                </c:pt>
                <c:pt idx="1324">
                  <c:v>0.13670814040123702</c:v>
                </c:pt>
                <c:pt idx="1325">
                  <c:v>0.11251402422939984</c:v>
                </c:pt>
                <c:pt idx="1326">
                  <c:v>0.10919275327488745</c:v>
                </c:pt>
                <c:pt idx="1327">
                  <c:v>0.10666013822296459</c:v>
                </c:pt>
                <c:pt idx="1328">
                  <c:v>0.12312797402474877</c:v>
                </c:pt>
                <c:pt idx="1329">
                  <c:v>0.10709957771646671</c:v>
                </c:pt>
                <c:pt idx="1330">
                  <c:v>0.11435775949561526</c:v>
                </c:pt>
                <c:pt idx="1331">
                  <c:v>0.11451803815145783</c:v>
                </c:pt>
                <c:pt idx="1332">
                  <c:v>0.11693601681377143</c:v>
                </c:pt>
                <c:pt idx="1333">
                  <c:v>0.12468511831694108</c:v>
                </c:pt>
                <c:pt idx="1334">
                  <c:v>0.11942511249556485</c:v>
                </c:pt>
                <c:pt idx="1335">
                  <c:v>0.10641547444699299</c:v>
                </c:pt>
                <c:pt idx="1336">
                  <c:v>0.11507582910275098</c:v>
                </c:pt>
                <c:pt idx="1337">
                  <c:v>0.12431732656694472</c:v>
                </c:pt>
                <c:pt idx="1338">
                  <c:v>0.11442144637873151</c:v>
                </c:pt>
                <c:pt idx="1339">
                  <c:v>0.12027533238516679</c:v>
                </c:pt>
                <c:pt idx="1340">
                  <c:v>0.12174968372930794</c:v>
                </c:pt>
                <c:pt idx="1341">
                  <c:v>0.11788017485596984</c:v>
                </c:pt>
                <c:pt idx="1342">
                  <c:v>0.11736961834298787</c:v>
                </c:pt>
                <c:pt idx="1343">
                  <c:v>0.11498825963846614</c:v>
                </c:pt>
                <c:pt idx="1344">
                  <c:v>0.12221459797605655</c:v>
                </c:pt>
                <c:pt idx="1345">
                  <c:v>0.11675822426507189</c:v>
                </c:pt>
                <c:pt idx="1346">
                  <c:v>0.11514376177807498</c:v>
                </c:pt>
                <c:pt idx="1347">
                  <c:v>0.12946853396299737</c:v>
                </c:pt>
                <c:pt idx="1348">
                  <c:v>0.12651983127471503</c:v>
                </c:pt>
                <c:pt idx="1349">
                  <c:v>0.10612941419699584</c:v>
                </c:pt>
                <c:pt idx="1350">
                  <c:v>0.12545466815459574</c:v>
                </c:pt>
                <c:pt idx="1351">
                  <c:v>0.11806592826505889</c:v>
                </c:pt>
                <c:pt idx="1352">
                  <c:v>0.1190928792553084</c:v>
                </c:pt>
                <c:pt idx="1353">
                  <c:v>0.12844423659287768</c:v>
                </c:pt>
                <c:pt idx="1354">
                  <c:v>0.11956893870660236</c:v>
                </c:pt>
                <c:pt idx="1355">
                  <c:v>0.12462036998577289</c:v>
                </c:pt>
                <c:pt idx="1356">
                  <c:v>0.12218063163839457</c:v>
                </c:pt>
                <c:pt idx="1357">
                  <c:v>0.12194339799878653</c:v>
                </c:pt>
                <c:pt idx="1358">
                  <c:v>0.12185423636242379</c:v>
                </c:pt>
                <c:pt idx="1359">
                  <c:v>0.1161367464306625</c:v>
                </c:pt>
                <c:pt idx="1360">
                  <c:v>0.12451051011239735</c:v>
                </c:pt>
                <c:pt idx="1361">
                  <c:v>0.12667267979419403</c:v>
                </c:pt>
                <c:pt idx="1362">
                  <c:v>0.12086708967412192</c:v>
                </c:pt>
                <c:pt idx="1363">
                  <c:v>0.12301705270332129</c:v>
                </c:pt>
                <c:pt idx="1364">
                  <c:v>0.12547218204745272</c:v>
                </c:pt>
                <c:pt idx="1365">
                  <c:v>0.12708133729418997</c:v>
                </c:pt>
                <c:pt idx="1366">
                  <c:v>0.11798101242090388</c:v>
                </c:pt>
                <c:pt idx="1367">
                  <c:v>0.1212784007942477</c:v>
                </c:pt>
                <c:pt idx="1368">
                  <c:v>0.12597212407991529</c:v>
                </c:pt>
                <c:pt idx="1369">
                  <c:v>0.1281486233104131</c:v>
                </c:pt>
                <c:pt idx="1370">
                  <c:v>0.12438472851824277</c:v>
                </c:pt>
                <c:pt idx="1371">
                  <c:v>0.12734988365133015</c:v>
                </c:pt>
                <c:pt idx="1372">
                  <c:v>0.13072528845649134</c:v>
                </c:pt>
                <c:pt idx="1373">
                  <c:v>0.12013575196633698</c:v>
                </c:pt>
                <c:pt idx="1374">
                  <c:v>0.12508528423252149</c:v>
                </c:pt>
                <c:pt idx="1375">
                  <c:v>0.12746823510912117</c:v>
                </c:pt>
                <c:pt idx="1376">
                  <c:v>0.12379244050526163</c:v>
                </c:pt>
                <c:pt idx="1377">
                  <c:v>0.12474190578771974</c:v>
                </c:pt>
                <c:pt idx="1378">
                  <c:v>0.1254923495604395</c:v>
                </c:pt>
                <c:pt idx="1379">
                  <c:v>0.12575771157342391</c:v>
                </c:pt>
                <c:pt idx="1380">
                  <c:v>0.1293931711513098</c:v>
                </c:pt>
                <c:pt idx="1381">
                  <c:v>0.1254711205994008</c:v>
                </c:pt>
                <c:pt idx="1382">
                  <c:v>0.12965216447598255</c:v>
                </c:pt>
                <c:pt idx="1383">
                  <c:v>0.12773306639807958</c:v>
                </c:pt>
                <c:pt idx="1384">
                  <c:v>0.13062126654740147</c:v>
                </c:pt>
                <c:pt idx="1385">
                  <c:v>0.12437146041759355</c:v>
                </c:pt>
                <c:pt idx="1386">
                  <c:v>0.1396780720505581</c:v>
                </c:pt>
                <c:pt idx="1387">
                  <c:v>0.11939486122608463</c:v>
                </c:pt>
                <c:pt idx="1388">
                  <c:v>0.12861937552144737</c:v>
                </c:pt>
                <c:pt idx="1389">
                  <c:v>0.12877169331690039</c:v>
                </c:pt>
                <c:pt idx="1390">
                  <c:v>0.12414749487863473</c:v>
                </c:pt>
                <c:pt idx="1391">
                  <c:v>0.13262103467725173</c:v>
                </c:pt>
                <c:pt idx="1392">
                  <c:v>0.12468671048901897</c:v>
                </c:pt>
                <c:pt idx="1393">
                  <c:v>0.14331193945636611</c:v>
                </c:pt>
                <c:pt idx="1394">
                  <c:v>0.12005720481049363</c:v>
                </c:pt>
                <c:pt idx="1395">
                  <c:v>0.12901211130066426</c:v>
                </c:pt>
                <c:pt idx="1396">
                  <c:v>0.13098693540129394</c:v>
                </c:pt>
                <c:pt idx="1397">
                  <c:v>0.13372547137529267</c:v>
                </c:pt>
                <c:pt idx="1398">
                  <c:v>0.12650390955393595</c:v>
                </c:pt>
                <c:pt idx="1399">
                  <c:v>0.13690291611876754</c:v>
                </c:pt>
                <c:pt idx="1400">
                  <c:v>0.13888463963173484</c:v>
                </c:pt>
                <c:pt idx="1401">
                  <c:v>0.1285307446091106</c:v>
                </c:pt>
                <c:pt idx="1402">
                  <c:v>0.13179575881687033</c:v>
                </c:pt>
                <c:pt idx="1403">
                  <c:v>0.12916124475196145</c:v>
                </c:pt>
                <c:pt idx="1404">
                  <c:v>0.13010274917403</c:v>
                </c:pt>
                <c:pt idx="1405">
                  <c:v>0.13610948369994427</c:v>
                </c:pt>
                <c:pt idx="1406">
                  <c:v>0.13217416504738602</c:v>
                </c:pt>
                <c:pt idx="1407">
                  <c:v>0.12877646983313412</c:v>
                </c:pt>
                <c:pt idx="1408">
                  <c:v>0.13292248592400197</c:v>
                </c:pt>
                <c:pt idx="1409">
                  <c:v>0.13532348141748457</c:v>
                </c:pt>
                <c:pt idx="1410">
                  <c:v>0.1348675894791774</c:v>
                </c:pt>
                <c:pt idx="1411">
                  <c:v>0.13631062810578642</c:v>
                </c:pt>
                <c:pt idx="1412">
                  <c:v>0.127827535274702</c:v>
                </c:pt>
                <c:pt idx="1413">
                  <c:v>0.13673520732656141</c:v>
                </c:pt>
                <c:pt idx="1414">
                  <c:v>0.13828120641420838</c:v>
                </c:pt>
                <c:pt idx="1415">
                  <c:v>0.14036111387197989</c:v>
                </c:pt>
                <c:pt idx="1416">
                  <c:v>0.13321544558633672</c:v>
                </c:pt>
                <c:pt idx="1417">
                  <c:v>0.1310723819694749</c:v>
                </c:pt>
                <c:pt idx="1418">
                  <c:v>0.1364162421869542</c:v>
                </c:pt>
                <c:pt idx="1419">
                  <c:v>0.13363365611880007</c:v>
                </c:pt>
                <c:pt idx="1420">
                  <c:v>0.13417605607334013</c:v>
                </c:pt>
                <c:pt idx="1421">
                  <c:v>0.13742355638824288</c:v>
                </c:pt>
                <c:pt idx="1422">
                  <c:v>0.1357268316772208</c:v>
                </c:pt>
                <c:pt idx="1423">
                  <c:v>0.13419303924217113</c:v>
                </c:pt>
                <c:pt idx="1424">
                  <c:v>0.13456613823242716</c:v>
                </c:pt>
                <c:pt idx="1425">
                  <c:v>0.13612009818046364</c:v>
                </c:pt>
                <c:pt idx="1426">
                  <c:v>0.14260607650182769</c:v>
                </c:pt>
                <c:pt idx="1427">
                  <c:v>0.13744053955707386</c:v>
                </c:pt>
                <c:pt idx="1428">
                  <c:v>0.13868880246615237</c:v>
                </c:pt>
                <c:pt idx="1429">
                  <c:v>0.13584995965124555</c:v>
                </c:pt>
                <c:pt idx="1430">
                  <c:v>0.13772819197914893</c:v>
                </c:pt>
                <c:pt idx="1431">
                  <c:v>0.14166987932001882</c:v>
                </c:pt>
                <c:pt idx="1432">
                  <c:v>0.13512180628761644</c:v>
                </c:pt>
                <c:pt idx="1433">
                  <c:v>0.14128032788495773</c:v>
                </c:pt>
                <c:pt idx="1434">
                  <c:v>0.13373767802788994</c:v>
                </c:pt>
                <c:pt idx="1435">
                  <c:v>0.13612115962851556</c:v>
                </c:pt>
                <c:pt idx="1436">
                  <c:v>0.13829182089472775</c:v>
                </c:pt>
                <c:pt idx="1437">
                  <c:v>0.1422897649823503</c:v>
                </c:pt>
                <c:pt idx="1438">
                  <c:v>0.13715447930707672</c:v>
                </c:pt>
                <c:pt idx="1439">
                  <c:v>0.14064027470963944</c:v>
                </c:pt>
                <c:pt idx="1440">
                  <c:v>0.13842237900511606</c:v>
                </c:pt>
                <c:pt idx="1441">
                  <c:v>0.13884271243368332</c:v>
                </c:pt>
                <c:pt idx="1442">
                  <c:v>0.1395422066999101</c:v>
                </c:pt>
                <c:pt idx="1443">
                  <c:v>0.13889737700835808</c:v>
                </c:pt>
                <c:pt idx="1444">
                  <c:v>0.13972796010899916</c:v>
                </c:pt>
                <c:pt idx="1445">
                  <c:v>0.13938511238822338</c:v>
                </c:pt>
                <c:pt idx="1446">
                  <c:v>0.14437232606025166</c:v>
                </c:pt>
                <c:pt idx="1447">
                  <c:v>0.13636263906033136</c:v>
                </c:pt>
                <c:pt idx="1448">
                  <c:v>0.14264853442390515</c:v>
                </c:pt>
                <c:pt idx="1449">
                  <c:v>0.14293512539792827</c:v>
                </c:pt>
                <c:pt idx="1450">
                  <c:v>0.14124954589145156</c:v>
                </c:pt>
                <c:pt idx="1451">
                  <c:v>0.13810659820966467</c:v>
                </c:pt>
                <c:pt idx="1452">
                  <c:v>0.14336660403104087</c:v>
                </c:pt>
                <c:pt idx="1453">
                  <c:v>0.13871905373563259</c:v>
                </c:pt>
                <c:pt idx="1454">
                  <c:v>0.14397056797259331</c:v>
                </c:pt>
                <c:pt idx="1455">
                  <c:v>0.13730095913824411</c:v>
                </c:pt>
                <c:pt idx="1456">
                  <c:v>0.14070449231678164</c:v>
                </c:pt>
                <c:pt idx="1457">
                  <c:v>0.14370839030376475</c:v>
                </c:pt>
                <c:pt idx="1458">
                  <c:v>0.14143423785248868</c:v>
                </c:pt>
                <c:pt idx="1459">
                  <c:v>0.14330450932000252</c:v>
                </c:pt>
                <c:pt idx="1460">
                  <c:v>0.14156426523885102</c:v>
                </c:pt>
                <c:pt idx="1461">
                  <c:v>0.14563544924205726</c:v>
                </c:pt>
                <c:pt idx="1462">
                  <c:v>0.14273132737195629</c:v>
                </c:pt>
                <c:pt idx="1463">
                  <c:v>0.14387556837194493</c:v>
                </c:pt>
                <c:pt idx="1464">
                  <c:v>0.14272867375182646</c:v>
                </c:pt>
                <c:pt idx="1465">
                  <c:v>0.14507128960245247</c:v>
                </c:pt>
                <c:pt idx="1466">
                  <c:v>0.14368716134272599</c:v>
                </c:pt>
                <c:pt idx="1467">
                  <c:v>0.14703602994658879</c:v>
                </c:pt>
                <c:pt idx="1468">
                  <c:v>0.13909799069017426</c:v>
                </c:pt>
                <c:pt idx="1469">
                  <c:v>0.14403266268363166</c:v>
                </c:pt>
                <c:pt idx="1470">
                  <c:v>0.14634715016088135</c:v>
                </c:pt>
                <c:pt idx="1471">
                  <c:v>0.14150482414794255</c:v>
                </c:pt>
                <c:pt idx="1472">
                  <c:v>0.15180989256017763</c:v>
                </c:pt>
                <c:pt idx="1473">
                  <c:v>0.14556751656673328</c:v>
                </c:pt>
                <c:pt idx="1474">
                  <c:v>0.1460897490082865</c:v>
                </c:pt>
                <c:pt idx="1475">
                  <c:v>0.14709653248554921</c:v>
                </c:pt>
                <c:pt idx="1476">
                  <c:v>0.14794144513489146</c:v>
                </c:pt>
                <c:pt idx="1477">
                  <c:v>0.14331565452454786</c:v>
                </c:pt>
                <c:pt idx="1478">
                  <c:v>0.14342657584597535</c:v>
                </c:pt>
                <c:pt idx="1479">
                  <c:v>0.14733641974528708</c:v>
                </c:pt>
                <c:pt idx="1480">
                  <c:v>0.14788094259593104</c:v>
                </c:pt>
                <c:pt idx="1481">
                  <c:v>0.1476707758816474</c:v>
                </c:pt>
                <c:pt idx="1482">
                  <c:v>0.14829703023229052</c:v>
                </c:pt>
                <c:pt idx="1483">
                  <c:v>0.14839149910891297</c:v>
                </c:pt>
                <c:pt idx="1484">
                  <c:v>0.1526680733101691</c:v>
                </c:pt>
                <c:pt idx="1485">
                  <c:v>0.15217184634588835</c:v>
                </c:pt>
                <c:pt idx="1486">
                  <c:v>0.15194947297900743</c:v>
                </c:pt>
                <c:pt idx="1487">
                  <c:v>0.15365575072249693</c:v>
                </c:pt>
                <c:pt idx="1488">
                  <c:v>0.15179874735563231</c:v>
                </c:pt>
                <c:pt idx="1489">
                  <c:v>0.15351670102769313</c:v>
                </c:pt>
                <c:pt idx="1490">
                  <c:v>0.15162997711537424</c:v>
                </c:pt>
                <c:pt idx="1491">
                  <c:v>0.15580093723546262</c:v>
                </c:pt>
                <c:pt idx="1492">
                  <c:v>0.15880058943023798</c:v>
                </c:pt>
                <c:pt idx="1493">
                  <c:v>0.15990237250814907</c:v>
                </c:pt>
                <c:pt idx="1494">
                  <c:v>0.15939075454711521</c:v>
                </c:pt>
                <c:pt idx="1495">
                  <c:v>0.15650149294974133</c:v>
                </c:pt>
                <c:pt idx="1496">
                  <c:v>0.15553610594650419</c:v>
                </c:pt>
                <c:pt idx="1497">
                  <c:v>0.15543686055364805</c:v>
                </c:pt>
                <c:pt idx="1498">
                  <c:v>0.1537889624530151</c:v>
                </c:pt>
                <c:pt idx="1499">
                  <c:v>0.15541987738481705</c:v>
                </c:pt>
                <c:pt idx="1500">
                  <c:v>0.14962861681344611</c:v>
                </c:pt>
                <c:pt idx="1501">
                  <c:v>0.14675739983295519</c:v>
                </c:pt>
                <c:pt idx="1502">
                  <c:v>0.13949391081354695</c:v>
                </c:pt>
                <c:pt idx="1503">
                  <c:v>0.13265128594673192</c:v>
                </c:pt>
                <c:pt idx="1504">
                  <c:v>0.11830953059297854</c:v>
                </c:pt>
                <c:pt idx="1505">
                  <c:v>9.6758420070465714E-2</c:v>
                </c:pt>
                <c:pt idx="1506">
                  <c:v>6.9455322554503651E-2</c:v>
                </c:pt>
                <c:pt idx="1507">
                  <c:v>3.4746501980173712E-2</c:v>
                </c:pt>
                <c:pt idx="1508">
                  <c:v>9.1570592716621237E-3</c:v>
                </c:pt>
                <c:pt idx="1509">
                  <c:v>1.4908993192708784E-2</c:v>
                </c:pt>
                <c:pt idx="1510">
                  <c:v>4.4235104550858516E-2</c:v>
                </c:pt>
                <c:pt idx="1511">
                  <c:v>7.2413578275253437E-2</c:v>
                </c:pt>
                <c:pt idx="1512">
                  <c:v>9.3038575372450791E-2</c:v>
                </c:pt>
                <c:pt idx="1513">
                  <c:v>0.10779588763853772</c:v>
                </c:pt>
                <c:pt idx="1514">
                  <c:v>0.11849316110596372</c:v>
                </c:pt>
                <c:pt idx="1515">
                  <c:v>0.12817144444352976</c:v>
                </c:pt>
                <c:pt idx="1516">
                  <c:v>0.13170712790453354</c:v>
                </c:pt>
                <c:pt idx="1517">
                  <c:v>0.13346064008633426</c:v>
                </c:pt>
                <c:pt idx="1518">
                  <c:v>0.1372452331155174</c:v>
                </c:pt>
                <c:pt idx="1519">
                  <c:v>0.13724470239149142</c:v>
                </c:pt>
                <c:pt idx="1520">
                  <c:v>0.13748352820317736</c:v>
                </c:pt>
                <c:pt idx="1521">
                  <c:v>0.14113862457002407</c:v>
                </c:pt>
                <c:pt idx="1522">
                  <c:v>0.14212205619014417</c:v>
                </c:pt>
                <c:pt idx="1523">
                  <c:v>0.1424426135018293</c:v>
                </c:pt>
                <c:pt idx="1524">
                  <c:v>0.1435804858135063</c:v>
                </c:pt>
                <c:pt idx="1525">
                  <c:v>0.14546402538166936</c:v>
                </c:pt>
                <c:pt idx="1526">
                  <c:v>0.14468279961544336</c:v>
                </c:pt>
                <c:pt idx="1527">
                  <c:v>0.14744256455048085</c:v>
                </c:pt>
                <c:pt idx="1528">
                  <c:v>0.1482747398231998</c:v>
                </c:pt>
                <c:pt idx="1529">
                  <c:v>0.14851993432319741</c:v>
                </c:pt>
                <c:pt idx="1530">
                  <c:v>0.151548776339401</c:v>
                </c:pt>
                <c:pt idx="1531">
                  <c:v>0.15130941980368912</c:v>
                </c:pt>
                <c:pt idx="1532">
                  <c:v>0.15095648832641992</c:v>
                </c:pt>
                <c:pt idx="1533">
                  <c:v>0.14846633119657454</c:v>
                </c:pt>
                <c:pt idx="1534">
                  <c:v>0.15002931345305248</c:v>
                </c:pt>
                <c:pt idx="1535">
                  <c:v>0.14962437102123835</c:v>
                </c:pt>
                <c:pt idx="1536">
                  <c:v>0.14907507165436071</c:v>
                </c:pt>
                <c:pt idx="1537">
                  <c:v>0.15280712300497293</c:v>
                </c:pt>
                <c:pt idx="1538">
                  <c:v>0.15200572972576012</c:v>
                </c:pt>
                <c:pt idx="1539">
                  <c:v>0.15227003029069253</c:v>
                </c:pt>
                <c:pt idx="1540">
                  <c:v>0.15041249619980193</c:v>
                </c:pt>
                <c:pt idx="1541">
                  <c:v>0.14746750857970137</c:v>
                </c:pt>
                <c:pt idx="1542">
                  <c:v>0.14724672738489838</c:v>
                </c:pt>
                <c:pt idx="1543">
                  <c:v>0.1408477878037932</c:v>
                </c:pt>
                <c:pt idx="1544">
                  <c:v>0.13399667135256269</c:v>
                </c:pt>
                <c:pt idx="1545">
                  <c:v>0.13066584736558284</c:v>
                </c:pt>
                <c:pt idx="1546">
                  <c:v>0.12439162793058034</c:v>
                </c:pt>
                <c:pt idx="1547">
                  <c:v>0.11637185717416665</c:v>
                </c:pt>
                <c:pt idx="1548">
                  <c:v>0.10828786881061073</c:v>
                </c:pt>
                <c:pt idx="1549">
                  <c:v>9.7960509989284919E-2</c:v>
                </c:pt>
                <c:pt idx="1550">
                  <c:v>8.3909060677736444E-2</c:v>
                </c:pt>
                <c:pt idx="1551">
                  <c:v>6.5952543983109929E-2</c:v>
                </c:pt>
                <c:pt idx="1552">
                  <c:v>4.6620019106354264E-2</c:v>
                </c:pt>
                <c:pt idx="1553">
                  <c:v>2.9845637107170534E-2</c:v>
                </c:pt>
                <c:pt idx="1554">
                  <c:v>1.8146356678715527E-2</c:v>
                </c:pt>
                <c:pt idx="1555">
                  <c:v>1.7820279837160332E-2</c:v>
                </c:pt>
                <c:pt idx="1556">
                  <c:v>3.1609126900659479E-2</c:v>
                </c:pt>
                <c:pt idx="1557">
                  <c:v>5.430580523322584E-2</c:v>
                </c:pt>
                <c:pt idx="1558">
                  <c:v>7.9251957349860708E-2</c:v>
                </c:pt>
                <c:pt idx="1559">
                  <c:v>0.10084711796652893</c:v>
                </c:pt>
                <c:pt idx="1560">
                  <c:v>0.11625191354429772</c:v>
                </c:pt>
                <c:pt idx="1561">
                  <c:v>0.12737323550847277</c:v>
                </c:pt>
                <c:pt idx="1562">
                  <c:v>0.13555965360904065</c:v>
                </c:pt>
                <c:pt idx="1563">
                  <c:v>0.14275202560896907</c:v>
                </c:pt>
                <c:pt idx="1564">
                  <c:v>0.14797063495631974</c:v>
                </c:pt>
                <c:pt idx="1565">
                  <c:v>0.14999269349526068</c:v>
                </c:pt>
                <c:pt idx="1566">
                  <c:v>0.15051598738486585</c:v>
                </c:pt>
                <c:pt idx="1567">
                  <c:v>0.15452136160885196</c:v>
                </c:pt>
                <c:pt idx="1568">
                  <c:v>0.15310326701146346</c:v>
                </c:pt>
                <c:pt idx="1569">
                  <c:v>0.15658057082961069</c:v>
                </c:pt>
                <c:pt idx="1570">
                  <c:v>0.15451499292054033</c:v>
                </c:pt>
                <c:pt idx="1571">
                  <c:v>0.15866472407958995</c:v>
                </c:pt>
                <c:pt idx="1572">
                  <c:v>0.15904843755036535</c:v>
                </c:pt>
                <c:pt idx="1573">
                  <c:v>0.16045857128736429</c:v>
                </c:pt>
                <c:pt idx="1574">
                  <c:v>0.15572079790754131</c:v>
                </c:pt>
                <c:pt idx="1575">
                  <c:v>0.15997348952762885</c:v>
                </c:pt>
                <c:pt idx="1576">
                  <c:v>0.1596624852484112</c:v>
                </c:pt>
                <c:pt idx="1577">
                  <c:v>0.16202367643994614</c:v>
                </c:pt>
                <c:pt idx="1578">
                  <c:v>0.16128703149190152</c:v>
                </c:pt>
                <c:pt idx="1579">
                  <c:v>0.15720841735233174</c:v>
                </c:pt>
                <c:pt idx="1580">
                  <c:v>0.16138043892047202</c:v>
                </c:pt>
                <c:pt idx="1581">
                  <c:v>0.15867799218023915</c:v>
                </c:pt>
                <c:pt idx="1582">
                  <c:v>0.16080407262826996</c:v>
                </c:pt>
                <c:pt idx="1583">
                  <c:v>0.15969910520620303</c:v>
                </c:pt>
                <c:pt idx="1584">
                  <c:v>0.15877352250491353</c:v>
                </c:pt>
                <c:pt idx="1585">
                  <c:v>0.15535512905364887</c:v>
                </c:pt>
                <c:pt idx="1586">
                  <c:v>0.15765740987830126</c:v>
                </c:pt>
                <c:pt idx="1587">
                  <c:v>0.1558380879172804</c:v>
                </c:pt>
                <c:pt idx="1588">
                  <c:v>0.15145536891083053</c:v>
                </c:pt>
                <c:pt idx="1589">
                  <c:v>0.14999853145954634</c:v>
                </c:pt>
                <c:pt idx="1590">
                  <c:v>0.14644533410568555</c:v>
                </c:pt>
                <c:pt idx="1591">
                  <c:v>0.14622083784270079</c:v>
                </c:pt>
                <c:pt idx="1592">
                  <c:v>0.14055535886548443</c:v>
                </c:pt>
                <c:pt idx="1593">
                  <c:v>0.13331787532334868</c:v>
                </c:pt>
                <c:pt idx="1594">
                  <c:v>0.12943615979741327</c:v>
                </c:pt>
                <c:pt idx="1595">
                  <c:v>0.12564625952797046</c:v>
                </c:pt>
                <c:pt idx="1596">
                  <c:v>0.11518993476833425</c:v>
                </c:pt>
                <c:pt idx="1597">
                  <c:v>0.10873579988852834</c:v>
                </c:pt>
                <c:pt idx="1598">
                  <c:v>9.9383381102907134E-2</c:v>
                </c:pt>
                <c:pt idx="1599">
                  <c:v>9.1902295232851705E-2</c:v>
                </c:pt>
                <c:pt idx="1600">
                  <c:v>8.2109906229702406E-2</c:v>
                </c:pt>
                <c:pt idx="1601">
                  <c:v>7.3152876843427889E-2</c:v>
                </c:pt>
                <c:pt idx="1602">
                  <c:v>6.5680282557787975E-2</c:v>
                </c:pt>
                <c:pt idx="1603">
                  <c:v>5.5216527661788202E-2</c:v>
                </c:pt>
                <c:pt idx="1604">
                  <c:v>4.7403845420307504E-2</c:v>
                </c:pt>
                <c:pt idx="1605">
                  <c:v>4.0170395380769088E-2</c:v>
                </c:pt>
                <c:pt idx="1606">
                  <c:v>3.4427324550956116E-2</c:v>
                </c:pt>
                <c:pt idx="1607">
                  <c:v>3.1625473200659317E-2</c:v>
                </c:pt>
                <c:pt idx="1608">
                  <c:v>2.890147906497214E-2</c:v>
                </c:pt>
                <c:pt idx="1609">
                  <c:v>2.8330154651016789E-2</c:v>
                </c:pt>
                <c:pt idx="1610">
                  <c:v>2.9039042732503236E-2</c:v>
                </c:pt>
                <c:pt idx="1611">
                  <c:v>3.0909897996445661E-2</c:v>
                </c:pt>
                <c:pt idx="1612">
                  <c:v>3.3645674205509346E-2</c:v>
                </c:pt>
                <c:pt idx="1613">
                  <c:v>3.8115431952218115E-2</c:v>
                </c:pt>
                <c:pt idx="1614">
                  <c:v>4.24728354226293E-2</c:v>
                </c:pt>
                <c:pt idx="1615">
                  <c:v>4.663917824369173E-2</c:v>
                </c:pt>
                <c:pt idx="1616">
                  <c:v>5.0704524282612309E-2</c:v>
                </c:pt>
                <c:pt idx="1617">
                  <c:v>5.5608732716979102E-2</c:v>
                </c:pt>
                <c:pt idx="1618">
                  <c:v>6.1108625798093202E-2</c:v>
                </c:pt>
                <c:pt idx="1619">
                  <c:v>6.5340619181167972E-2</c:v>
                </c:pt>
                <c:pt idx="1620">
                  <c:v>6.7835022103221065E-2</c:v>
                </c:pt>
                <c:pt idx="1621">
                  <c:v>7.290396727524856E-2</c:v>
                </c:pt>
                <c:pt idx="1622">
                  <c:v>7.6368002992746556E-2</c:v>
                </c:pt>
                <c:pt idx="1623">
                  <c:v>8.0422203827121799E-2</c:v>
                </c:pt>
                <c:pt idx="1624">
                  <c:v>8.2777026330345102E-2</c:v>
                </c:pt>
                <c:pt idx="1625">
                  <c:v>8.8078959349772876E-2</c:v>
                </c:pt>
                <c:pt idx="1626">
                  <c:v>8.707270659653614E-2</c:v>
                </c:pt>
                <c:pt idx="1627">
                  <c:v>9.086738338221266E-2</c:v>
                </c:pt>
                <c:pt idx="1628">
                  <c:v>9.4213598365945589E-2</c:v>
                </c:pt>
                <c:pt idx="1629">
                  <c:v>9.2414974641937514E-2</c:v>
                </c:pt>
                <c:pt idx="1630">
                  <c:v>9.5832306645150259E-2</c:v>
                </c:pt>
                <c:pt idx="1631">
                  <c:v>9.6616716755532059E-2</c:v>
                </c:pt>
                <c:pt idx="1632">
                  <c:v>9.626537745034075E-2</c:v>
                </c:pt>
                <c:pt idx="1633">
                  <c:v>9.9644497323683759E-2</c:v>
                </c:pt>
                <c:pt idx="1634">
                  <c:v>0.10030524873601485</c:v>
                </c:pt>
                <c:pt idx="1635">
                  <c:v>9.8784724401614385E-2</c:v>
                </c:pt>
                <c:pt idx="1636">
                  <c:v>0.10194837032041407</c:v>
                </c:pt>
                <c:pt idx="1637">
                  <c:v>0.10293817062884579</c:v>
                </c:pt>
                <c:pt idx="1638">
                  <c:v>0.10209113508339968</c:v>
                </c:pt>
                <c:pt idx="1639">
                  <c:v>0.10252367516456419</c:v>
                </c:pt>
                <c:pt idx="1640">
                  <c:v>0.10223602274248914</c:v>
                </c:pt>
                <c:pt idx="1641">
                  <c:v>0.10394866917429028</c:v>
                </c:pt>
                <c:pt idx="1642">
                  <c:v>0.10293551700871593</c:v>
                </c:pt>
                <c:pt idx="1643">
                  <c:v>0.10142879149899067</c:v>
                </c:pt>
                <c:pt idx="1644">
                  <c:v>0.10162675156067702</c:v>
                </c:pt>
                <c:pt idx="1645">
                  <c:v>0.10059077826198602</c:v>
                </c:pt>
                <c:pt idx="1646">
                  <c:v>0.10069692306717978</c:v>
                </c:pt>
                <c:pt idx="1647">
                  <c:v>0.10047454970029887</c:v>
                </c:pt>
                <c:pt idx="1648">
                  <c:v>0.10008977478147155</c:v>
                </c:pt>
                <c:pt idx="1649">
                  <c:v>9.8278413680840213E-2</c:v>
                </c:pt>
                <c:pt idx="1650">
                  <c:v>9.8787908745770203E-2</c:v>
                </c:pt>
                <c:pt idx="1651">
                  <c:v>9.5728815460086367E-2</c:v>
                </c:pt>
                <c:pt idx="1652">
                  <c:v>9.4115414421141366E-2</c:v>
                </c:pt>
                <c:pt idx="1653">
                  <c:v>9.122349920363769E-2</c:v>
                </c:pt>
                <c:pt idx="1654">
                  <c:v>8.9505545531576858E-2</c:v>
                </c:pt>
                <c:pt idx="1655">
                  <c:v>8.9066636762100693E-2</c:v>
                </c:pt>
                <c:pt idx="1656">
                  <c:v>8.4134618388773161E-2</c:v>
                </c:pt>
                <c:pt idx="1657">
                  <c:v>8.5182798340061427E-2</c:v>
                </c:pt>
                <c:pt idx="1658">
                  <c:v>8.1947504677755967E-2</c:v>
                </c:pt>
                <c:pt idx="1659">
                  <c:v>7.6025155271970749E-2</c:v>
                </c:pt>
                <c:pt idx="1660">
                  <c:v>7.7414060047930944E-2</c:v>
                </c:pt>
                <c:pt idx="1661">
                  <c:v>7.5837278966777819E-2</c:v>
                </c:pt>
                <c:pt idx="1662">
                  <c:v>7.0676518538257738E-2</c:v>
                </c:pt>
                <c:pt idx="1663">
                  <c:v>7.0230179632418024E-2</c:v>
                </c:pt>
                <c:pt idx="1664">
                  <c:v>6.7042120408423764E-2</c:v>
                </c:pt>
                <c:pt idx="1665">
                  <c:v>6.5800226187656907E-2</c:v>
                </c:pt>
                <c:pt idx="1666">
                  <c:v>5.9568995398757874E-2</c:v>
                </c:pt>
                <c:pt idx="1667">
                  <c:v>5.6868140830602924E-2</c:v>
                </c:pt>
                <c:pt idx="1668">
                  <c:v>5.6213758106583474E-2</c:v>
                </c:pt>
                <c:pt idx="1669">
                  <c:v>5.3821784921542333E-2</c:v>
                </c:pt>
                <c:pt idx="1670">
                  <c:v>4.9913639339113705E-2</c:v>
                </c:pt>
                <c:pt idx="1671">
                  <c:v>4.8966774604382854E-2</c:v>
                </c:pt>
                <c:pt idx="1672">
                  <c:v>4.5638126585909496E-2</c:v>
                </c:pt>
                <c:pt idx="1673">
                  <c:v>4.3090120537233552E-2</c:v>
                </c:pt>
                <c:pt idx="1674">
                  <c:v>4.1130634360954342E-2</c:v>
                </c:pt>
                <c:pt idx="1675">
                  <c:v>3.765768247982007E-2</c:v>
                </c:pt>
                <c:pt idx="1676">
                  <c:v>3.4550877104201634E-2</c:v>
                </c:pt>
                <c:pt idx="1677">
                  <c:v>3.3619881017847263E-2</c:v>
                </c:pt>
                <c:pt idx="1678">
                  <c:v>3.2357606994483201E-2</c:v>
                </c:pt>
                <c:pt idx="1679">
                  <c:v>2.8779200249388941E-2</c:v>
                </c:pt>
                <c:pt idx="1680">
                  <c:v>2.802604978413669E-2</c:v>
                </c:pt>
                <c:pt idx="1681">
                  <c:v>2.5348918579942557E-2</c:v>
                </c:pt>
                <c:pt idx="1682">
                  <c:v>2.4061169803331992E-2</c:v>
                </c:pt>
                <c:pt idx="1683">
                  <c:v>2.2901697023798077E-2</c:v>
                </c:pt>
                <c:pt idx="1684">
                  <c:v>2.1224131450113471E-2</c:v>
                </c:pt>
                <c:pt idx="1685">
                  <c:v>2.0731619554014473E-2</c:v>
                </c:pt>
                <c:pt idx="1686">
                  <c:v>1.9866910898503599E-2</c:v>
                </c:pt>
                <c:pt idx="1687">
                  <c:v>1.7392516272229524E-2</c:v>
                </c:pt>
                <c:pt idx="1688">
                  <c:v>1.6927761242688695E-2</c:v>
                </c:pt>
                <c:pt idx="1689">
                  <c:v>1.9018070891369192E-2</c:v>
                </c:pt>
                <c:pt idx="1690">
                  <c:v>2.1583007036473534E-2</c:v>
                </c:pt>
                <c:pt idx="1691">
                  <c:v>2.3066539906263971E-2</c:v>
                </c:pt>
                <c:pt idx="1692">
                  <c:v>2.615248782766183E-2</c:v>
                </c:pt>
                <c:pt idx="1693">
                  <c:v>2.8269227532835575E-2</c:v>
                </c:pt>
                <c:pt idx="1694">
                  <c:v>2.9280362947111227E-2</c:v>
                </c:pt>
                <c:pt idx="1695">
                  <c:v>3.0630047217552341E-2</c:v>
                </c:pt>
                <c:pt idx="1696">
                  <c:v>3.1398217172739502E-2</c:v>
                </c:pt>
                <c:pt idx="1697">
                  <c:v>3.2287816785068313E-2</c:v>
                </c:pt>
                <c:pt idx="1698">
                  <c:v>3.260688806948072E-2</c:v>
                </c:pt>
                <c:pt idx="1699">
                  <c:v>3.3223589387656405E-2</c:v>
                </c:pt>
                <c:pt idx="1700">
                  <c:v>3.4112499058751453E-2</c:v>
                </c:pt>
                <c:pt idx="1701">
                  <c:v>3.5223941313935199E-2</c:v>
                </c:pt>
                <c:pt idx="1702">
                  <c:v>3.5276429920103505E-2</c:v>
                </c:pt>
                <c:pt idx="1703">
                  <c:v>3.6248557118470463E-2</c:v>
                </c:pt>
                <c:pt idx="1704">
                  <c:v>3.5132975215884155E-2</c:v>
                </c:pt>
                <c:pt idx="1705">
                  <c:v>3.6901931466840579E-2</c:v>
                </c:pt>
                <c:pt idx="1706">
                  <c:v>3.6545337993792178E-2</c:v>
                </c:pt>
                <c:pt idx="1707">
                  <c:v>3.7701785646378071E-2</c:v>
                </c:pt>
                <c:pt idx="1708">
                  <c:v>3.9009011994741688E-2</c:v>
                </c:pt>
                <c:pt idx="1709">
                  <c:v>3.9028808000910319E-2</c:v>
                </c:pt>
                <c:pt idx="1710">
                  <c:v>4.0829819983035261E-2</c:v>
                </c:pt>
                <c:pt idx="1711">
                  <c:v>4.0142267007392742E-2</c:v>
                </c:pt>
                <c:pt idx="1712">
                  <c:v>4.1436649834327918E-2</c:v>
                </c:pt>
                <c:pt idx="1713">
                  <c:v>4.1919980204777656E-2</c:v>
                </c:pt>
                <c:pt idx="1714">
                  <c:v>4.0700960189530046E-2</c:v>
                </c:pt>
                <c:pt idx="1715">
                  <c:v>3.7392479684043488E-2</c:v>
                </c:pt>
                <c:pt idx="1716">
                  <c:v>4.3545694041125113E-2</c:v>
                </c:pt>
                <c:pt idx="1717">
                  <c:v>4.4588513679751106E-2</c:v>
                </c:pt>
                <c:pt idx="1718">
                  <c:v>4.5811461052790887E-2</c:v>
                </c:pt>
                <c:pt idx="1719">
                  <c:v>4.8572871232308856E-2</c:v>
                </c:pt>
                <c:pt idx="1720">
                  <c:v>4.9678953174830315E-2</c:v>
                </c:pt>
                <c:pt idx="1721">
                  <c:v>4.4851222072605633E-2</c:v>
                </c:pt>
                <c:pt idx="1722">
                  <c:v>3.5357949130492304E-2</c:v>
                </c:pt>
                <c:pt idx="1723">
                  <c:v>4.5069827298902153E-2</c:v>
                </c:pt>
                <c:pt idx="1724">
                  <c:v>5.22788109608434E-2</c:v>
                </c:pt>
                <c:pt idx="1725">
                  <c:v>5.7237524752677175E-2</c:v>
                </c:pt>
                <c:pt idx="1726">
                  <c:v>6.1437674694193832E-2</c:v>
                </c:pt>
                <c:pt idx="1727">
                  <c:v>6.4453248609748229E-2</c:v>
                </c:pt>
                <c:pt idx="1728">
                  <c:v>7.0154816820730451E-2</c:v>
                </c:pt>
                <c:pt idx="1729">
                  <c:v>7.4928679434319315E-2</c:v>
                </c:pt>
                <c:pt idx="1730">
                  <c:v>7.941966614206683E-2</c:v>
                </c:pt>
                <c:pt idx="1731">
                  <c:v>8.5223664090061019E-2</c:v>
                </c:pt>
                <c:pt idx="1732">
                  <c:v>8.989032045040421E-2</c:v>
                </c:pt>
                <c:pt idx="1733">
                  <c:v>9.3496059482835861E-2</c:v>
                </c:pt>
                <c:pt idx="1734">
                  <c:v>7.3558880723293973E-2</c:v>
                </c:pt>
                <c:pt idx="1735">
                  <c:v>6.8483566862954884E-2</c:v>
                </c:pt>
                <c:pt idx="1736">
                  <c:v>7.2034641320711745E-2</c:v>
                </c:pt>
                <c:pt idx="1737">
                  <c:v>7.7681544957019205E-2</c:v>
                </c:pt>
                <c:pt idx="1738">
                  <c:v>7.9479107232975327E-2</c:v>
                </c:pt>
                <c:pt idx="1739">
                  <c:v>8.2329625976453463E-2</c:v>
                </c:pt>
                <c:pt idx="1740">
                  <c:v>8.5784108661484018E-2</c:v>
                </c:pt>
                <c:pt idx="1741">
                  <c:v>8.6202849917973362E-2</c:v>
                </c:pt>
                <c:pt idx="1742">
                  <c:v>8.7362481914715046E-2</c:v>
                </c:pt>
                <c:pt idx="1743">
                  <c:v>9.2689358963363361E-2</c:v>
                </c:pt>
                <c:pt idx="1744">
                  <c:v>9.2055674476356694E-2</c:v>
                </c:pt>
                <c:pt idx="1745">
                  <c:v>9.4311251586723835E-2</c:v>
                </c:pt>
                <c:pt idx="1746">
                  <c:v>9.5044712190612654E-2</c:v>
                </c:pt>
                <c:pt idx="1747">
                  <c:v>9.2355002827003055E-2</c:v>
                </c:pt>
                <c:pt idx="1748">
                  <c:v>9.1290370430909748E-2</c:v>
                </c:pt>
                <c:pt idx="1749">
                  <c:v>6.4707465418187254E-2</c:v>
                </c:pt>
                <c:pt idx="1750">
                  <c:v>7.3505277596671137E-2</c:v>
                </c:pt>
                <c:pt idx="1751">
                  <c:v>8.073214665828754E-2</c:v>
                </c:pt>
                <c:pt idx="1752">
                  <c:v>8.2756328093332332E-2</c:v>
                </c:pt>
                <c:pt idx="1753">
                  <c:v>8.6589217008878602E-2</c:v>
                </c:pt>
                <c:pt idx="1754">
                  <c:v>8.9210462973138241E-2</c:v>
                </c:pt>
                <c:pt idx="1755">
                  <c:v>9.4649322791265922E-2</c:v>
                </c:pt>
                <c:pt idx="1756">
                  <c:v>9.9861032726278998E-2</c:v>
                </c:pt>
                <c:pt idx="1757">
                  <c:v>9.9693323934072889E-2</c:v>
                </c:pt>
                <c:pt idx="1758">
                  <c:v>0.10022776302822342</c:v>
                </c:pt>
                <c:pt idx="1759">
                  <c:v>0.10250191547949948</c:v>
                </c:pt>
                <c:pt idx="1760">
                  <c:v>0.1006236831515961</c:v>
                </c:pt>
                <c:pt idx="1761">
                  <c:v>0.10433662843727344</c:v>
                </c:pt>
                <c:pt idx="1762">
                  <c:v>0.10161295273600184</c:v>
                </c:pt>
                <c:pt idx="1763">
                  <c:v>9.976497167757864E-2</c:v>
                </c:pt>
                <c:pt idx="1764">
                  <c:v>0.10053823658341512</c:v>
                </c:pt>
                <c:pt idx="1765">
                  <c:v>9.8501317771747074E-2</c:v>
                </c:pt>
                <c:pt idx="1766">
                  <c:v>9.4716194018537994E-2</c:v>
                </c:pt>
                <c:pt idx="1767">
                  <c:v>9.0232106723128064E-2</c:v>
                </c:pt>
                <c:pt idx="1768">
                  <c:v>9.309854718738525E-2</c:v>
                </c:pt>
                <c:pt idx="1769">
                  <c:v>9.3944521284779439E-2</c:v>
                </c:pt>
                <c:pt idx="1770">
                  <c:v>9.3589466911406335E-2</c:v>
                </c:pt>
                <c:pt idx="1771">
                  <c:v>9.0082442547804897E-2</c:v>
                </c:pt>
                <c:pt idx="1772">
                  <c:v>8.394196556734651E-2</c:v>
                </c:pt>
                <c:pt idx="1773">
                  <c:v>8.2617278398528518E-2</c:v>
                </c:pt>
                <c:pt idx="1774">
                  <c:v>8.8997642638724783E-2</c:v>
                </c:pt>
                <c:pt idx="1775">
                  <c:v>8.9820264878976319E-2</c:v>
                </c:pt>
                <c:pt idx="1776">
                  <c:v>8.7094466281600849E-2</c:v>
                </c:pt>
                <c:pt idx="1777">
                  <c:v>6.8233595846723602E-2</c:v>
                </c:pt>
                <c:pt idx="1778">
                  <c:v>7.9897848489464685E-2</c:v>
                </c:pt>
                <c:pt idx="1779">
                  <c:v>8.054851614530234E-2</c:v>
                </c:pt>
                <c:pt idx="1780">
                  <c:v>7.9885641836867388E-2</c:v>
                </c:pt>
                <c:pt idx="1781">
                  <c:v>7.5388817164834213E-2</c:v>
                </c:pt>
                <c:pt idx="1782">
                  <c:v>7.0696155327218582E-2</c:v>
                </c:pt>
                <c:pt idx="1783">
                  <c:v>6.8993061927884874E-2</c:v>
                </c:pt>
                <c:pt idx="1784">
                  <c:v>6.8897000879184531E-2</c:v>
                </c:pt>
                <c:pt idx="1785">
                  <c:v>7.2891229898625301E-2</c:v>
                </c:pt>
                <c:pt idx="1786">
                  <c:v>7.1788916096688221E-2</c:v>
                </c:pt>
                <c:pt idx="1787">
                  <c:v>7.7572746531695602E-2</c:v>
                </c:pt>
                <c:pt idx="1788">
                  <c:v>7.7815287411563322E-2</c:v>
                </c:pt>
                <c:pt idx="1789">
                  <c:v>8.3888893164749623E-2</c:v>
                </c:pt>
                <c:pt idx="1790">
                  <c:v>8.4913721258895278E-2</c:v>
                </c:pt>
                <c:pt idx="1791">
                  <c:v>7.7470316794683636E-2</c:v>
                </c:pt>
                <c:pt idx="1792">
                  <c:v>7.4825188249255409E-2</c:v>
                </c:pt>
                <c:pt idx="1793">
                  <c:v>7.5896189333660338E-2</c:v>
                </c:pt>
                <c:pt idx="1794">
                  <c:v>7.431728535640332E-2</c:v>
                </c:pt>
                <c:pt idx="1795">
                  <c:v>7.3710137070695084E-2</c:v>
                </c:pt>
                <c:pt idx="1796">
                  <c:v>7.2176344635645401E-2</c:v>
                </c:pt>
                <c:pt idx="1797">
                  <c:v>6.3347219739629368E-2</c:v>
                </c:pt>
                <c:pt idx="1798">
                  <c:v>6.6156342009081923E-2</c:v>
                </c:pt>
                <c:pt idx="1799">
                  <c:v>7.9239750697263425E-2</c:v>
                </c:pt>
                <c:pt idx="1800">
                  <c:v>7.5024209758993696E-2</c:v>
                </c:pt>
                <c:pt idx="1801">
                  <c:v>7.2965531262260935E-2</c:v>
                </c:pt>
                <c:pt idx="1802">
                  <c:v>6.4620957401954351E-2</c:v>
                </c:pt>
                <c:pt idx="1803">
                  <c:v>6.1919041385747477E-2</c:v>
                </c:pt>
                <c:pt idx="1804">
                  <c:v>6.2682222535090537E-2</c:v>
                </c:pt>
                <c:pt idx="1805">
                  <c:v>5.6932358437745148E-2</c:v>
                </c:pt>
                <c:pt idx="1806">
                  <c:v>5.5133203989711103E-2</c:v>
                </c:pt>
                <c:pt idx="1807">
                  <c:v>5.7654143113062641E-2</c:v>
                </c:pt>
                <c:pt idx="1808">
                  <c:v>5.600412211632582E-2</c:v>
                </c:pt>
                <c:pt idx="1809">
                  <c:v>5.7725790856568419E-2</c:v>
                </c:pt>
                <c:pt idx="1810">
                  <c:v>5.9040394268893001E-2</c:v>
                </c:pt>
                <c:pt idx="1811">
                  <c:v>5.9480895210447055E-2</c:v>
                </c:pt>
                <c:pt idx="1812">
                  <c:v>6.2987388850022558E-2</c:v>
                </c:pt>
                <c:pt idx="1813">
                  <c:v>6.4572130791565235E-2</c:v>
                </c:pt>
                <c:pt idx="1814">
                  <c:v>6.6007208557784719E-2</c:v>
                </c:pt>
                <c:pt idx="1815">
                  <c:v>6.6647261733103022E-2</c:v>
                </c:pt>
                <c:pt idx="1816">
                  <c:v>6.6735361921413827E-2</c:v>
                </c:pt>
                <c:pt idx="1817">
                  <c:v>6.5178748353247509E-2</c:v>
                </c:pt>
                <c:pt idx="1818">
                  <c:v>6.5599612505840718E-2</c:v>
                </c:pt>
                <c:pt idx="1819">
                  <c:v>6.5971119324018848E-2</c:v>
                </c:pt>
                <c:pt idx="1820">
                  <c:v>6.6474245700637202E-2</c:v>
                </c:pt>
                <c:pt idx="1821">
                  <c:v>6.4031323009103081E-2</c:v>
                </c:pt>
                <c:pt idx="1822">
                  <c:v>6.0798152242901492E-2</c:v>
                </c:pt>
                <c:pt idx="1823">
                  <c:v>5.9192712064346037E-2</c:v>
                </c:pt>
                <c:pt idx="1824">
                  <c:v>5.8746903882532286E-2</c:v>
                </c:pt>
                <c:pt idx="1825">
                  <c:v>5.6618169814371656E-2</c:v>
                </c:pt>
                <c:pt idx="1826">
                  <c:v>5.5828452463730152E-2</c:v>
                </c:pt>
                <c:pt idx="1827">
                  <c:v>5.7229563892287651E-2</c:v>
                </c:pt>
                <c:pt idx="1828">
                  <c:v>5.2573999664087233E-2</c:v>
                </c:pt>
                <c:pt idx="1829">
                  <c:v>5.465608309036521E-2</c:v>
                </c:pt>
                <c:pt idx="1830">
                  <c:v>5.8136571252668238E-2</c:v>
                </c:pt>
                <c:pt idx="1831">
                  <c:v>5.6724845343591374E-2</c:v>
                </c:pt>
                <c:pt idx="1832">
                  <c:v>5.9947401629273596E-2</c:v>
                </c:pt>
                <c:pt idx="1833">
                  <c:v>6.0799744414979387E-2</c:v>
                </c:pt>
                <c:pt idx="1834">
                  <c:v>5.9635866626029946E-2</c:v>
                </c:pt>
                <c:pt idx="1835">
                  <c:v>5.987097736953409E-2</c:v>
                </c:pt>
                <c:pt idx="1836">
                  <c:v>6.1043346742899039E-2</c:v>
                </c:pt>
                <c:pt idx="1837">
                  <c:v>6.2251274626003911E-2</c:v>
                </c:pt>
                <c:pt idx="1838">
                  <c:v>6.1476948272115514E-2</c:v>
                </c:pt>
                <c:pt idx="1839">
                  <c:v>5.8080314505915547E-2</c:v>
                </c:pt>
                <c:pt idx="1840">
                  <c:v>5.4072286661799585E-2</c:v>
                </c:pt>
                <c:pt idx="1841">
                  <c:v>4.8905529051786058E-2</c:v>
                </c:pt>
                <c:pt idx="1842">
                  <c:v>4.6319470090448164E-2</c:v>
                </c:pt>
                <c:pt idx="1843">
                  <c:v>4.4755797892736447E-2</c:v>
                </c:pt>
                <c:pt idx="1844">
                  <c:v>4.8495544741725211E-2</c:v>
                </c:pt>
                <c:pt idx="1845">
                  <c:v>5.0175445501124079E-2</c:v>
                </c:pt>
                <c:pt idx="1846">
                  <c:v>5.0190730353071977E-2</c:v>
                </c:pt>
                <c:pt idx="1847">
                  <c:v>5.1015422417024815E-2</c:v>
                </c:pt>
                <c:pt idx="1848">
                  <c:v>5.0032415376125496E-2</c:v>
                </c:pt>
                <c:pt idx="1849">
                  <c:v>5.224181949623339E-2</c:v>
                </c:pt>
                <c:pt idx="1850">
                  <c:v>5.4293598580628558E-2</c:v>
                </c:pt>
                <c:pt idx="1851">
                  <c:v>5.0610267695600272E-2</c:v>
                </c:pt>
                <c:pt idx="1852">
                  <c:v>4.2333414221007303E-2</c:v>
                </c:pt>
                <c:pt idx="1853">
                  <c:v>4.3399532644373316E-2</c:v>
                </c:pt>
                <c:pt idx="1854">
                  <c:v>4.858481252289315E-2</c:v>
                </c:pt>
                <c:pt idx="1855">
                  <c:v>4.7686721326148838E-2</c:v>
                </c:pt>
                <c:pt idx="1856">
                  <c:v>4.9144089501459015E-2</c:v>
                </c:pt>
                <c:pt idx="1857">
                  <c:v>4.9383339892365721E-2</c:v>
                </c:pt>
                <c:pt idx="1858">
                  <c:v>4.4342682310922379E-2</c:v>
                </c:pt>
                <c:pt idx="1859">
                  <c:v>4.1336979862250996E-2</c:v>
                </c:pt>
                <c:pt idx="1860">
                  <c:v>4.1185033573616144E-2</c:v>
                </c:pt>
                <c:pt idx="1861">
                  <c:v>3.805715845416674E-2</c:v>
                </c:pt>
                <c:pt idx="1862">
                  <c:v>3.6906973345087281E-2</c:v>
                </c:pt>
                <c:pt idx="1863">
                  <c:v>3.7917949542155147E-2</c:v>
                </c:pt>
                <c:pt idx="1864">
                  <c:v>3.83822269200726E-2</c:v>
                </c:pt>
                <c:pt idx="1865">
                  <c:v>3.6606265111973395E-2</c:v>
                </c:pt>
                <c:pt idx="1866">
                  <c:v>3.7492892669756778E-2</c:v>
                </c:pt>
                <c:pt idx="1867">
                  <c:v>3.7958443785336561E-2</c:v>
                </c:pt>
                <c:pt idx="1868">
                  <c:v>3.770098956033912E-2</c:v>
                </c:pt>
                <c:pt idx="1869">
                  <c:v>3.671538197171257E-2</c:v>
                </c:pt>
                <c:pt idx="1870">
                  <c:v>3.4820325692185967E-2</c:v>
                </c:pt>
                <c:pt idx="1871">
                  <c:v>3.5978312444447172E-2</c:v>
                </c:pt>
                <c:pt idx="1872">
                  <c:v>3.5628777600944156E-2</c:v>
                </c:pt>
                <c:pt idx="1873">
                  <c:v>3.5503792092828515E-2</c:v>
                </c:pt>
                <c:pt idx="1874">
                  <c:v>3.619134506847102E-2</c:v>
                </c:pt>
                <c:pt idx="1875">
                  <c:v>3.4590203754525921E-2</c:v>
                </c:pt>
                <c:pt idx="1876">
                  <c:v>3.286041493668599E-2</c:v>
                </c:pt>
                <c:pt idx="1877">
                  <c:v>3.3359879317525182E-2</c:v>
                </c:pt>
                <c:pt idx="1878">
                  <c:v>3.13744938087787E-2</c:v>
                </c:pt>
                <c:pt idx="1879">
                  <c:v>3.2681189433116348E-2</c:v>
                </c:pt>
                <c:pt idx="1880">
                  <c:v>3.2258255456821851E-2</c:v>
                </c:pt>
                <c:pt idx="1881">
                  <c:v>3.0918654942874147E-2</c:v>
                </c:pt>
                <c:pt idx="1882">
                  <c:v>2.9759606742561003E-2</c:v>
                </c:pt>
                <c:pt idx="1883">
                  <c:v>3.0131378922752108E-2</c:v>
                </c:pt>
                <c:pt idx="1884">
                  <c:v>2.9449770056200454E-2</c:v>
                </c:pt>
                <c:pt idx="1885">
                  <c:v>2.5470878961110176E-2</c:v>
                </c:pt>
                <c:pt idx="1886">
                  <c:v>2.8555340855235322E-2</c:v>
                </c:pt>
                <c:pt idx="1887">
                  <c:v>2.8587502731209032E-2</c:v>
                </c:pt>
                <c:pt idx="1888">
                  <c:v>2.7136025592587109E-2</c:v>
                </c:pt>
                <c:pt idx="1889">
                  <c:v>2.3241148110807686E-2</c:v>
                </c:pt>
                <c:pt idx="1890">
                  <c:v>2.1605775097187595E-2</c:v>
                </c:pt>
                <c:pt idx="1891">
                  <c:v>2.5774612321172084E-2</c:v>
                </c:pt>
                <c:pt idx="1892">
                  <c:v>2.5407510512409505E-2</c:v>
                </c:pt>
                <c:pt idx="1893">
                  <c:v>2.308076331015993E-2</c:v>
                </c:pt>
                <c:pt idx="1894">
                  <c:v>2.2858814522499805E-2</c:v>
                </c:pt>
                <c:pt idx="1895">
                  <c:v>2.2128007538740842E-2</c:v>
                </c:pt>
                <c:pt idx="1896">
                  <c:v>2.1025322229985582E-2</c:v>
                </c:pt>
                <c:pt idx="1897">
                  <c:v>2.1711707612770956E-2</c:v>
                </c:pt>
                <c:pt idx="1898">
                  <c:v>2.0232898186811645E-2</c:v>
                </c:pt>
                <c:pt idx="1899">
                  <c:v>1.8922699783902607E-2</c:v>
                </c:pt>
                <c:pt idx="1900">
                  <c:v>1.9055805369615569E-2</c:v>
                </c:pt>
                <c:pt idx="1901">
                  <c:v>1.9206796355003677E-2</c:v>
                </c:pt>
                <c:pt idx="1902">
                  <c:v>1.6077063701463393E-2</c:v>
                </c:pt>
                <c:pt idx="1903">
                  <c:v>1.5973041792373518E-2</c:v>
                </c:pt>
                <c:pt idx="1904">
                  <c:v>1.5488490756664055E-2</c:v>
                </c:pt>
                <c:pt idx="1905">
                  <c:v>1.5616554464130312E-2</c:v>
                </c:pt>
                <c:pt idx="1906">
                  <c:v>1.3533568807008182E-2</c:v>
                </c:pt>
                <c:pt idx="1907">
                  <c:v>1.3363524829087798E-2</c:v>
                </c:pt>
                <c:pt idx="1908">
                  <c:v>1.4130367974210037E-2</c:v>
                </c:pt>
                <c:pt idx="1909">
                  <c:v>1.3663755410578316E-2</c:v>
                </c:pt>
                <c:pt idx="1910">
                  <c:v>1.357507142583894E-2</c:v>
                </c:pt>
                <c:pt idx="1911">
                  <c:v>1.2868359312858959E-2</c:v>
                </c:pt>
                <c:pt idx="1912">
                  <c:v>1.3308170313179258E-2</c:v>
                </c:pt>
                <c:pt idx="1913">
                  <c:v>1.1554445841768136E-2</c:v>
                </c:pt>
                <c:pt idx="1914">
                  <c:v>1.3298723425517016E-2</c:v>
                </c:pt>
                <c:pt idx="1915">
                  <c:v>1.2294275133968569E-2</c:v>
                </c:pt>
                <c:pt idx="1916">
                  <c:v>1.1504929290145254E-2</c:v>
                </c:pt>
                <c:pt idx="1917">
                  <c:v>1.1059811049565268E-2</c:v>
                </c:pt>
                <c:pt idx="1918">
                  <c:v>1.0457014700869967E-2</c:v>
                </c:pt>
                <c:pt idx="1919">
                  <c:v>9.5375353258791169E-3</c:v>
                </c:pt>
                <c:pt idx="1920">
                  <c:v>1.0422199204766419E-2</c:v>
                </c:pt>
                <c:pt idx="1921">
                  <c:v>9.1712296031554886E-3</c:v>
                </c:pt>
                <c:pt idx="1922">
                  <c:v>9.2020115966616762E-3</c:v>
                </c:pt>
                <c:pt idx="1923">
                  <c:v>8.9106971788074328E-3</c:v>
                </c:pt>
                <c:pt idx="1924">
                  <c:v>8.6575418184203414E-3</c:v>
                </c:pt>
                <c:pt idx="1925">
                  <c:v>7.9343241882327328E-3</c:v>
                </c:pt>
                <c:pt idx="1926">
                  <c:v>7.4313039564195575E-3</c:v>
                </c:pt>
                <c:pt idx="1927">
                  <c:v>6.6225866856483842E-3</c:v>
                </c:pt>
                <c:pt idx="1928">
                  <c:v>6.8901777395418244E-3</c:v>
                </c:pt>
                <c:pt idx="1929">
                  <c:v>6.2507083606520844E-3</c:v>
                </c:pt>
                <c:pt idx="1930">
                  <c:v>6.6390391304534148E-3</c:v>
                </c:pt>
                <c:pt idx="1931">
                  <c:v>6.1474294651985666E-3</c:v>
                </c:pt>
                <c:pt idx="1932">
                  <c:v>6.0403824291606709E-3</c:v>
                </c:pt>
                <c:pt idx="1933">
                  <c:v>6.0319969895503657E-3</c:v>
                </c:pt>
                <c:pt idx="1934">
                  <c:v>5.6352277077361315E-3</c:v>
                </c:pt>
                <c:pt idx="1935">
                  <c:v>5.2329760467336398E-3</c:v>
                </c:pt>
                <c:pt idx="1936">
                  <c:v>5.0650815011184279E-3</c:v>
                </c:pt>
                <c:pt idx="1937">
                  <c:v>5.4132258476734052E-3</c:v>
                </c:pt>
                <c:pt idx="1938">
                  <c:v>4.0225431462262056E-3</c:v>
                </c:pt>
                <c:pt idx="1939">
                  <c:v>4.5680319145974006E-3</c:v>
                </c:pt>
                <c:pt idx="1940">
                  <c:v>3.8891297405781824E-3</c:v>
                </c:pt>
                <c:pt idx="1941">
                  <c:v>3.5002788612314025E-3</c:v>
                </c:pt>
                <c:pt idx="1942">
                  <c:v>4.2891788968729026E-3</c:v>
                </c:pt>
                <c:pt idx="1943">
                  <c:v>3.6384581686326246E-3</c:v>
                </c:pt>
                <c:pt idx="1944">
                  <c:v>3.0857303245472156E-3</c:v>
                </c:pt>
                <c:pt idx="1945">
                  <c:v>3.1655883687347328E-3</c:v>
                </c:pt>
                <c:pt idx="1946">
                  <c:v>2.8184895485109142E-3</c:v>
                </c:pt>
                <c:pt idx="1947">
                  <c:v>2.510250341468527E-3</c:v>
                </c:pt>
                <c:pt idx="1948">
                  <c:v>2.475270320916927E-3</c:v>
                </c:pt>
                <c:pt idx="1949">
                  <c:v>1.6783881959248565E-3</c:v>
                </c:pt>
                <c:pt idx="1950">
                  <c:v>2.7313234344858075E-3</c:v>
                </c:pt>
                <c:pt idx="1951">
                  <c:v>2.1162089811477725E-3</c:v>
                </c:pt>
                <c:pt idx="1952">
                  <c:v>2.3524077089051624E-3</c:v>
                </c:pt>
                <c:pt idx="1953">
                  <c:v>1.9116944777407168E-3</c:v>
                </c:pt>
                <c:pt idx="1954">
                  <c:v>1.8844683352085203E-3</c:v>
                </c:pt>
                <c:pt idx="1955">
                  <c:v>1.9013029013122487E-3</c:v>
                </c:pt>
                <c:pt idx="1956">
                  <c:v>1.7077637707622268E-3</c:v>
                </c:pt>
                <c:pt idx="1957">
                  <c:v>1.7285150801776047E-3</c:v>
                </c:pt>
                <c:pt idx="1958">
                  <c:v>1.4683329336866874E-3</c:v>
                </c:pt>
                <c:pt idx="1959">
                  <c:v>1.3823131835576732E-3</c:v>
                </c:pt>
                <c:pt idx="1960">
                  <c:v>9.6773280343192842E-4</c:v>
                </c:pt>
                <c:pt idx="1961">
                  <c:v>8.9653086810796169E-4</c:v>
                </c:pt>
                <c:pt idx="1962">
                  <c:v>1.0332825278793281E-3</c:v>
                </c:pt>
                <c:pt idx="1963">
                  <c:v>7.1509755259028661E-4</c:v>
                </c:pt>
                <c:pt idx="1964">
                  <c:v>8.6154554031610199E-4</c:v>
                </c:pt>
                <c:pt idx="1965">
                  <c:v>3.5419725407115073E-4</c:v>
                </c:pt>
                <c:pt idx="1966">
                  <c:v>9.6826352745789715E-4</c:v>
                </c:pt>
                <c:pt idx="1967">
                  <c:v>5.9221901885774322E-4</c:v>
                </c:pt>
                <c:pt idx="1968">
                  <c:v>5.6740236340344476E-4</c:v>
                </c:pt>
                <c:pt idx="1969">
                  <c:v>6.3902357070792673E-4</c:v>
                </c:pt>
                <c:pt idx="1970">
                  <c:v>5.3135558755964749E-4</c:v>
                </c:pt>
                <c:pt idx="1971">
                  <c:v>4.3381434955087786E-4</c:v>
                </c:pt>
                <c:pt idx="1972">
                  <c:v>5.5734514311133691E-4</c:v>
                </c:pt>
                <c:pt idx="1973">
                  <c:v>2.2229800406921646E-4</c:v>
                </c:pt>
                <c:pt idx="1974">
                  <c:v>4.1308214620043484E-4</c:v>
                </c:pt>
                <c:pt idx="1975">
                  <c:v>3.8894322532729842E-4</c:v>
                </c:pt>
                <c:pt idx="1976">
                  <c:v>2.4975129648452767E-4</c:v>
                </c:pt>
                <c:pt idx="1977">
                  <c:v>2.1823053513419203E-4</c:v>
                </c:pt>
                <c:pt idx="1978">
                  <c:v>2.1695626674784105E-4</c:v>
                </c:pt>
                <c:pt idx="1979">
                  <c:v>3.0072946207492949E-4</c:v>
                </c:pt>
                <c:pt idx="1980">
                  <c:v>1.3354980172269702E-4</c:v>
                </c:pt>
                <c:pt idx="1981">
                  <c:v>1.9536959771558835E-4</c:v>
                </c:pt>
                <c:pt idx="1982">
                  <c:v>1.9268360342016052E-4</c:v>
                </c:pt>
                <c:pt idx="1983">
                  <c:v>1.6414391892369124E-4</c:v>
                </c:pt>
                <c:pt idx="1984">
                  <c:v>1.1017724634305946E-4</c:v>
                </c:pt>
                <c:pt idx="1985">
                  <c:v>1.0938328320021021E-4</c:v>
                </c:pt>
                <c:pt idx="1986">
                  <c:v>1.6443528641394811E-4</c:v>
                </c:pt>
                <c:pt idx="1987">
                  <c:v>1.3773986790772025E-4</c:v>
                </c:pt>
                <c:pt idx="1988">
                  <c:v>5.592557496048244E-5</c:v>
                </c:pt>
                <c:pt idx="1989">
                  <c:v>1.9612641017661977E-4</c:v>
                </c:pt>
                <c:pt idx="1990">
                  <c:v>1.9555216678052156E-4</c:v>
                </c:pt>
                <c:pt idx="1991">
                  <c:v>2.6950325255900646E-4</c:v>
                </c:pt>
                <c:pt idx="1992">
                  <c:v>1.0981104676514103E-4</c:v>
                </c:pt>
                <c:pt idx="1993">
                  <c:v>2.948251572860272E-5</c:v>
                </c:pt>
                <c:pt idx="1994">
                  <c:v>2.6953297310446073E-5</c:v>
                </c:pt>
                <c:pt idx="1995">
                  <c:v>1.375079415083719E-4</c:v>
                </c:pt>
                <c:pt idx="1996">
                  <c:v>8.1717170450485517E-5</c:v>
                </c:pt>
                <c:pt idx="1997">
                  <c:v>0</c:v>
                </c:pt>
                <c:pt idx="1998">
                  <c:v>2.6226417684479274E-5</c:v>
                </c:pt>
                <c:pt idx="1999">
                  <c:v>1.0919063037878356E-4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8-41BA-8345-226026EA9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761960"/>
        <c:axId val="570762288"/>
      </c:scatterChart>
      <c:valAx>
        <c:axId val="57076196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762288"/>
        <c:crosses val="autoZero"/>
        <c:crossBetween val="midCat"/>
      </c:valAx>
      <c:valAx>
        <c:axId val="57076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761960"/>
        <c:crossesAt val="1.0000000000000006E-1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'NE270 Homework '!$R$2</c:f>
              <c:strCache>
                <c:ptCount val="1"/>
                <c:pt idx="0">
                  <c:v>Normalised flux to lethargy 1:1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'!$Q$3:$Q$2002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'!$R$3:$R$2002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1.1943096782369989E-3</c:v>
                </c:pt>
                <c:pt idx="179">
                  <c:v>2.8110557462192009E-5</c:v>
                </c:pt>
                <c:pt idx="180">
                  <c:v>2.7879565558140378E-5</c:v>
                </c:pt>
                <c:pt idx="181">
                  <c:v>2.649499495648505E-5</c:v>
                </c:pt>
                <c:pt idx="182">
                  <c:v>3.2405080301182064E-5</c:v>
                </c:pt>
                <c:pt idx="183">
                  <c:v>3.6238375496855819E-5</c:v>
                </c:pt>
                <c:pt idx="184">
                  <c:v>2.6914370522679551E-5</c:v>
                </c:pt>
                <c:pt idx="185">
                  <c:v>2.699869933479063E-5</c:v>
                </c:pt>
                <c:pt idx="186">
                  <c:v>3.4775361017735764E-5</c:v>
                </c:pt>
                <c:pt idx="187">
                  <c:v>2.9275149864301443E-5</c:v>
                </c:pt>
                <c:pt idx="188">
                  <c:v>3.5229388657210999E-5</c:v>
                </c:pt>
                <c:pt idx="189">
                  <c:v>3.3910045487613519E-5</c:v>
                </c:pt>
                <c:pt idx="190">
                  <c:v>2.7665307909591491E-5</c:v>
                </c:pt>
                <c:pt idx="191">
                  <c:v>4.2052953941286684E-5</c:v>
                </c:pt>
                <c:pt idx="192">
                  <c:v>2.0314695769004035E-5</c:v>
                </c:pt>
                <c:pt idx="193">
                  <c:v>3.9829500700322879E-5</c:v>
                </c:pt>
                <c:pt idx="194">
                  <c:v>3.8624897317964258E-5</c:v>
                </c:pt>
                <c:pt idx="195">
                  <c:v>3.6685827790357486E-5</c:v>
                </c:pt>
                <c:pt idx="196">
                  <c:v>4.3006379107454814E-5</c:v>
                </c:pt>
                <c:pt idx="197">
                  <c:v>3.5035744718289266E-5</c:v>
                </c:pt>
                <c:pt idx="198">
                  <c:v>4.9885177297708525E-5</c:v>
                </c:pt>
                <c:pt idx="199">
                  <c:v>3.7294704827510367E-5</c:v>
                </c:pt>
                <c:pt idx="200">
                  <c:v>4.7586107578048623E-5</c:v>
                </c:pt>
                <c:pt idx="201">
                  <c:v>3.6054265809595774E-5</c:v>
                </c:pt>
                <c:pt idx="202">
                  <c:v>2.7944595729819013E-5</c:v>
                </c:pt>
                <c:pt idx="203">
                  <c:v>4.0539309298170117E-5</c:v>
                </c:pt>
                <c:pt idx="204">
                  <c:v>3.8988185183004178E-5</c:v>
                </c:pt>
                <c:pt idx="205">
                  <c:v>4.949032777199544E-5</c:v>
                </c:pt>
                <c:pt idx="206">
                  <c:v>6.9547763129783422E-5</c:v>
                </c:pt>
                <c:pt idx="207">
                  <c:v>4.3686598648420978E-5</c:v>
                </c:pt>
                <c:pt idx="208">
                  <c:v>6.0034881342516256E-5</c:v>
                </c:pt>
                <c:pt idx="209">
                  <c:v>5.1308082166389778E-5</c:v>
                </c:pt>
                <c:pt idx="210">
                  <c:v>4.4723201941154803E-5</c:v>
                </c:pt>
                <c:pt idx="211">
                  <c:v>6.0550388466844407E-5</c:v>
                </c:pt>
                <c:pt idx="212">
                  <c:v>5.1981397594083676E-5</c:v>
                </c:pt>
                <c:pt idx="213">
                  <c:v>6.8008145870071234E-5</c:v>
                </c:pt>
                <c:pt idx="214">
                  <c:v>5.9989840222597279E-5</c:v>
                </c:pt>
                <c:pt idx="215">
                  <c:v>6.1319703945752479E-5</c:v>
                </c:pt>
                <c:pt idx="216">
                  <c:v>4.1516405709843108E-5</c:v>
                </c:pt>
                <c:pt idx="217">
                  <c:v>6.9513900098019525E-5</c:v>
                </c:pt>
                <c:pt idx="218">
                  <c:v>7.7072260294642025E-5</c:v>
                </c:pt>
                <c:pt idx="219">
                  <c:v>6.4642555033497741E-5</c:v>
                </c:pt>
                <c:pt idx="220">
                  <c:v>7.3012970457856556E-5</c:v>
                </c:pt>
                <c:pt idx="221">
                  <c:v>7.1104805056325574E-5</c:v>
                </c:pt>
                <c:pt idx="222">
                  <c:v>8.5349305806176089E-5</c:v>
                </c:pt>
                <c:pt idx="223">
                  <c:v>9.3385364887778698E-5</c:v>
                </c:pt>
                <c:pt idx="224">
                  <c:v>6.7054391936604427E-5</c:v>
                </c:pt>
                <c:pt idx="225">
                  <c:v>7.3049463628009883E-5</c:v>
                </c:pt>
                <c:pt idx="226">
                  <c:v>1.0716367360810285E-4</c:v>
                </c:pt>
                <c:pt idx="227">
                  <c:v>5.9123209623280319E-5</c:v>
                </c:pt>
                <c:pt idx="228">
                  <c:v>9.6101311542163154E-5</c:v>
                </c:pt>
                <c:pt idx="229">
                  <c:v>1.0608959084331967E-4</c:v>
                </c:pt>
                <c:pt idx="230">
                  <c:v>7.7108753464795351E-5</c:v>
                </c:pt>
                <c:pt idx="231">
                  <c:v>9.2830734454907784E-5</c:v>
                </c:pt>
                <c:pt idx="232">
                  <c:v>8.5447278461182332E-5</c:v>
                </c:pt>
                <c:pt idx="233">
                  <c:v>1.056575906128559E-4</c:v>
                </c:pt>
                <c:pt idx="234">
                  <c:v>8.8253964890002082E-5</c:v>
                </c:pt>
                <c:pt idx="235">
                  <c:v>1.1551008901965812E-4</c:v>
                </c:pt>
                <c:pt idx="236">
                  <c:v>1.1671140472902995E-4</c:v>
                </c:pt>
                <c:pt idx="237">
                  <c:v>1.027680548247691E-4</c:v>
                </c:pt>
                <c:pt idx="238">
                  <c:v>1.1718318580263384E-4</c:v>
                </c:pt>
                <c:pt idx="239">
                  <c:v>1.0972181195912154E-4</c:v>
                </c:pt>
                <c:pt idx="240">
                  <c:v>1.3132609745719265E-4</c:v>
                </c:pt>
                <c:pt idx="241">
                  <c:v>1.0868751003747846E-4</c:v>
                </c:pt>
                <c:pt idx="242">
                  <c:v>1.222537638501549E-4</c:v>
                </c:pt>
                <c:pt idx="243">
                  <c:v>1.4946649069638533E-4</c:v>
                </c:pt>
                <c:pt idx="244">
                  <c:v>1.3326056424261789E-4</c:v>
                </c:pt>
                <c:pt idx="245">
                  <c:v>1.4481377588548489E-4</c:v>
                </c:pt>
                <c:pt idx="246">
                  <c:v>1.5759854982920208E-4</c:v>
                </c:pt>
                <c:pt idx="247">
                  <c:v>1.4350462450214642E-4</c:v>
                </c:pt>
                <c:pt idx="248">
                  <c:v>1.4619295470344186E-4</c:v>
                </c:pt>
                <c:pt idx="249">
                  <c:v>1.591552629884456E-4</c:v>
                </c:pt>
                <c:pt idx="250">
                  <c:v>1.4688402356526442E-4</c:v>
                </c:pt>
                <c:pt idx="251">
                  <c:v>2.1250104487204575E-4</c:v>
                </c:pt>
                <c:pt idx="252">
                  <c:v>1.4920742206502653E-4</c:v>
                </c:pt>
                <c:pt idx="253">
                  <c:v>1.9080108809005911E-4</c:v>
                </c:pt>
                <c:pt idx="254">
                  <c:v>1.8405642695766631E-4</c:v>
                </c:pt>
                <c:pt idx="255">
                  <c:v>1.9208097918381516E-4</c:v>
                </c:pt>
                <c:pt idx="256">
                  <c:v>1.8815845654328002E-4</c:v>
                </c:pt>
                <c:pt idx="257">
                  <c:v>2.0964438581382681E-4</c:v>
                </c:pt>
                <c:pt idx="258">
                  <c:v>1.7850190344649024E-4</c:v>
                </c:pt>
                <c:pt idx="259">
                  <c:v>1.2373518929800095E-4</c:v>
                </c:pt>
                <c:pt idx="260">
                  <c:v>1.9323002089269712E-4</c:v>
                </c:pt>
                <c:pt idx="261">
                  <c:v>2.1947913078650038E-4</c:v>
                </c:pt>
                <c:pt idx="262">
                  <c:v>1.8534815367417479E-4</c:v>
                </c:pt>
                <c:pt idx="263">
                  <c:v>2.2390236602292312E-4</c:v>
                </c:pt>
                <c:pt idx="264">
                  <c:v>2.0557030144860078E-4</c:v>
                </c:pt>
                <c:pt idx="265">
                  <c:v>1.6420249855776046E-4</c:v>
                </c:pt>
                <c:pt idx="266">
                  <c:v>1.9620996768792052E-4</c:v>
                </c:pt>
                <c:pt idx="267">
                  <c:v>2.2556625732153584E-4</c:v>
                </c:pt>
                <c:pt idx="268">
                  <c:v>2.1821403422118488E-4</c:v>
                </c:pt>
                <c:pt idx="269">
                  <c:v>2.666230463478262E-4</c:v>
                </c:pt>
                <c:pt idx="270">
                  <c:v>2.8145242412202603E-4</c:v>
                </c:pt>
                <c:pt idx="271">
                  <c:v>2.5729986329189658E-4</c:v>
                </c:pt>
                <c:pt idx="272">
                  <c:v>2.1589063572142276E-4</c:v>
                </c:pt>
                <c:pt idx="273">
                  <c:v>2.5050753090119542E-4</c:v>
                </c:pt>
                <c:pt idx="274">
                  <c:v>2.8406349400813196E-4</c:v>
                </c:pt>
                <c:pt idx="275">
                  <c:v>3.1634745643648087E-4</c:v>
                </c:pt>
                <c:pt idx="276">
                  <c:v>3.0587720427546137E-4</c:v>
                </c:pt>
                <c:pt idx="277">
                  <c:v>3.4532401984012232E-4</c:v>
                </c:pt>
                <c:pt idx="278">
                  <c:v>2.6321109932213901E-4</c:v>
                </c:pt>
                <c:pt idx="279">
                  <c:v>3.3665113850097917E-4</c:v>
                </c:pt>
                <c:pt idx="280">
                  <c:v>3.0441714870202945E-4</c:v>
                </c:pt>
                <c:pt idx="281">
                  <c:v>3.1630373038575663E-4</c:v>
                </c:pt>
                <c:pt idx="282">
                  <c:v>4.005898027480059E-4</c:v>
                </c:pt>
                <c:pt idx="283">
                  <c:v>3.5235964003184572E-4</c:v>
                </c:pt>
                <c:pt idx="284">
                  <c:v>3.5973717821419498E-4</c:v>
                </c:pt>
                <c:pt idx="285">
                  <c:v>3.6549389361405845E-4</c:v>
                </c:pt>
                <c:pt idx="286">
                  <c:v>4.1065994510653341E-4</c:v>
                </c:pt>
                <c:pt idx="287">
                  <c:v>3.758895155982778E-4</c:v>
                </c:pt>
                <c:pt idx="288">
                  <c:v>4.0525172304326933E-4</c:v>
                </c:pt>
                <c:pt idx="289">
                  <c:v>4.4169557810179932E-4</c:v>
                </c:pt>
                <c:pt idx="290">
                  <c:v>4.0496240782043213E-4</c:v>
                </c:pt>
                <c:pt idx="291">
                  <c:v>4.5606928440003057E-4</c:v>
                </c:pt>
                <c:pt idx="292">
                  <c:v>4.5354106387319163E-4</c:v>
                </c:pt>
                <c:pt idx="293">
                  <c:v>4.3756626083039528E-4</c:v>
                </c:pt>
                <c:pt idx="294">
                  <c:v>4.5329448839918262E-4</c:v>
                </c:pt>
                <c:pt idx="295">
                  <c:v>4.3007036642052181E-4</c:v>
                </c:pt>
                <c:pt idx="296">
                  <c:v>5.2715206204734472E-4</c:v>
                </c:pt>
                <c:pt idx="297">
                  <c:v>4.9392026349690519E-4</c:v>
                </c:pt>
                <c:pt idx="298">
                  <c:v>4.5401777645627571E-4</c:v>
                </c:pt>
                <c:pt idx="299">
                  <c:v>5.2462384152050573E-4</c:v>
                </c:pt>
                <c:pt idx="300">
                  <c:v>5.6416139685960202E-4</c:v>
                </c:pt>
                <c:pt idx="301">
                  <c:v>5.1630602886393545E-4</c:v>
                </c:pt>
                <c:pt idx="302">
                  <c:v>5.9089675358815091E-4</c:v>
                </c:pt>
                <c:pt idx="303">
                  <c:v>6.3214718655336304E-4</c:v>
                </c:pt>
                <c:pt idx="304">
                  <c:v>6.6390281993273527E-4</c:v>
                </c:pt>
                <c:pt idx="305">
                  <c:v>5.7676304741795519E-4</c:v>
                </c:pt>
                <c:pt idx="306">
                  <c:v>6.4754335915048495E-4</c:v>
                </c:pt>
                <c:pt idx="307">
                  <c:v>6.8626228391587126E-4</c:v>
                </c:pt>
                <c:pt idx="308">
                  <c:v>6.3477074959681875E-4</c:v>
                </c:pt>
                <c:pt idx="309">
                  <c:v>6.226918390433645E-4</c:v>
                </c:pt>
                <c:pt idx="310">
                  <c:v>6.3913020397729785E-4</c:v>
                </c:pt>
                <c:pt idx="311">
                  <c:v>7.7762671621867216E-4</c:v>
                </c:pt>
                <c:pt idx="312">
                  <c:v>8.4344921708712781E-4</c:v>
                </c:pt>
                <c:pt idx="313">
                  <c:v>7.3364422700144031E-4</c:v>
                </c:pt>
                <c:pt idx="314">
                  <c:v>8.3667332306136034E-4</c:v>
                </c:pt>
                <c:pt idx="315">
                  <c:v>8.7049690274942145E-4</c:v>
                </c:pt>
                <c:pt idx="316">
                  <c:v>7.8833795480962314E-4</c:v>
                </c:pt>
                <c:pt idx="317">
                  <c:v>7.7789959307657556E-4</c:v>
                </c:pt>
                <c:pt idx="318">
                  <c:v>8.8359170425579266E-4</c:v>
                </c:pt>
                <c:pt idx="319">
                  <c:v>8.7946238698438867E-4</c:v>
                </c:pt>
                <c:pt idx="320">
                  <c:v>9.6898243474160216E-4</c:v>
                </c:pt>
                <c:pt idx="321">
                  <c:v>9.7279942307926161E-4</c:v>
                </c:pt>
                <c:pt idx="322">
                  <c:v>9.2876104342125439E-4</c:v>
                </c:pt>
                <c:pt idx="323">
                  <c:v>1.0407293223322473E-3</c:v>
                </c:pt>
                <c:pt idx="324">
                  <c:v>1.0908104449399683E-3</c:v>
                </c:pt>
                <c:pt idx="325">
                  <c:v>1.0424553506503101E-3</c:v>
                </c:pt>
                <c:pt idx="326">
                  <c:v>1.1304532058146416E-3</c:v>
                </c:pt>
                <c:pt idx="327">
                  <c:v>1.1602296600559685E-3</c:v>
                </c:pt>
                <c:pt idx="328">
                  <c:v>1.0931019530117585E-3</c:v>
                </c:pt>
                <c:pt idx="329">
                  <c:v>1.1632050041090103E-3</c:v>
                </c:pt>
                <c:pt idx="330">
                  <c:v>1.2372072353685909E-3</c:v>
                </c:pt>
                <c:pt idx="331">
                  <c:v>1.2763765713331668E-3</c:v>
                </c:pt>
                <c:pt idx="332">
                  <c:v>1.151865819977583E-3</c:v>
                </c:pt>
                <c:pt idx="333">
                  <c:v>1.2497562831591557E-3</c:v>
                </c:pt>
                <c:pt idx="334">
                  <c:v>1.2769782154897489E-3</c:v>
                </c:pt>
                <c:pt idx="335">
                  <c:v>1.2342812064103507E-3</c:v>
                </c:pt>
                <c:pt idx="336">
                  <c:v>1.3005541184779961E-3</c:v>
                </c:pt>
                <c:pt idx="337">
                  <c:v>1.4892040821328004E-3</c:v>
                </c:pt>
                <c:pt idx="338">
                  <c:v>1.4187952774477777E-3</c:v>
                </c:pt>
                <c:pt idx="339">
                  <c:v>1.4162276048450973E-3</c:v>
                </c:pt>
                <c:pt idx="340">
                  <c:v>1.5201509479574233E-3</c:v>
                </c:pt>
                <c:pt idx="341">
                  <c:v>1.4917586040435339E-3</c:v>
                </c:pt>
                <c:pt idx="342">
                  <c:v>1.4676731117423349E-3</c:v>
                </c:pt>
                <c:pt idx="343">
                  <c:v>1.6810825406606297E-3</c:v>
                </c:pt>
                <c:pt idx="344">
                  <c:v>1.7449587391209073E-3</c:v>
                </c:pt>
                <c:pt idx="345">
                  <c:v>1.646792111408445E-3</c:v>
                </c:pt>
                <c:pt idx="346">
                  <c:v>1.7117992693761776E-3</c:v>
                </c:pt>
                <c:pt idx="347">
                  <c:v>1.8144108309667757E-3</c:v>
                </c:pt>
                <c:pt idx="348">
                  <c:v>1.7193576295727998E-3</c:v>
                </c:pt>
                <c:pt idx="349">
                  <c:v>1.7885236938688174E-3</c:v>
                </c:pt>
                <c:pt idx="350">
                  <c:v>2.0108558672732512E-3</c:v>
                </c:pt>
                <c:pt idx="351">
                  <c:v>1.9178081464012154E-3</c:v>
                </c:pt>
                <c:pt idx="352">
                  <c:v>2.0477698595688914E-3</c:v>
                </c:pt>
                <c:pt idx="353">
                  <c:v>2.1036537249982915E-3</c:v>
                </c:pt>
                <c:pt idx="354">
                  <c:v>2.0473753388104772E-3</c:v>
                </c:pt>
                <c:pt idx="355">
                  <c:v>2.1702586920376017E-3</c:v>
                </c:pt>
                <c:pt idx="356">
                  <c:v>2.211426933178144E-3</c:v>
                </c:pt>
                <c:pt idx="357">
                  <c:v>2.2827497109534937E-3</c:v>
                </c:pt>
                <c:pt idx="358">
                  <c:v>2.3763333225223756E-3</c:v>
                </c:pt>
                <c:pt idx="359">
                  <c:v>2.4365634916403071E-3</c:v>
                </c:pt>
                <c:pt idx="360">
                  <c:v>2.389585932332113E-3</c:v>
                </c:pt>
                <c:pt idx="361">
                  <c:v>2.3988374441169307E-3</c:v>
                </c:pt>
                <c:pt idx="362">
                  <c:v>2.5395925877002268E-3</c:v>
                </c:pt>
                <c:pt idx="363">
                  <c:v>2.5471640985887962E-3</c:v>
                </c:pt>
                <c:pt idx="364">
                  <c:v>2.7268978931034357E-3</c:v>
                </c:pt>
                <c:pt idx="365">
                  <c:v>2.7785702494367613E-3</c:v>
                </c:pt>
                <c:pt idx="366">
                  <c:v>2.9297769054450534E-3</c:v>
                </c:pt>
                <c:pt idx="367">
                  <c:v>3.1008443939665228E-3</c:v>
                </c:pt>
                <c:pt idx="368">
                  <c:v>3.2008751322624932E-3</c:v>
                </c:pt>
                <c:pt idx="369">
                  <c:v>3.149945790024181E-3</c:v>
                </c:pt>
                <c:pt idx="370">
                  <c:v>2.9787730959671345E-3</c:v>
                </c:pt>
                <c:pt idx="371">
                  <c:v>3.2992455957001365E-3</c:v>
                </c:pt>
                <c:pt idx="372">
                  <c:v>3.3349168476067715E-3</c:v>
                </c:pt>
                <c:pt idx="373">
                  <c:v>3.3197935518675531E-3</c:v>
                </c:pt>
                <c:pt idx="374">
                  <c:v>3.6667416821631479E-3</c:v>
                </c:pt>
                <c:pt idx="375">
                  <c:v>3.7209225329853921E-3</c:v>
                </c:pt>
                <c:pt idx="376">
                  <c:v>3.5412183275276344E-3</c:v>
                </c:pt>
                <c:pt idx="377">
                  <c:v>3.5189279046772205E-3</c:v>
                </c:pt>
                <c:pt idx="378">
                  <c:v>3.6000676739911153E-3</c:v>
                </c:pt>
                <c:pt idx="379">
                  <c:v>3.9230157914831674E-3</c:v>
                </c:pt>
                <c:pt idx="380">
                  <c:v>4.0733282004390527E-3</c:v>
                </c:pt>
                <c:pt idx="381">
                  <c:v>4.1964515537942131E-3</c:v>
                </c:pt>
                <c:pt idx="382">
                  <c:v>4.2194323879718512E-3</c:v>
                </c:pt>
                <c:pt idx="383">
                  <c:v>4.0223692691438596E-3</c:v>
                </c:pt>
                <c:pt idx="384">
                  <c:v>4.5648681886935249E-3</c:v>
                </c:pt>
                <c:pt idx="385">
                  <c:v>4.5602654465120235E-3</c:v>
                </c:pt>
                <c:pt idx="386">
                  <c:v>4.7711696686143865E-3</c:v>
                </c:pt>
                <c:pt idx="387">
                  <c:v>4.6249010974322487E-3</c:v>
                </c:pt>
                <c:pt idx="388">
                  <c:v>4.7476956834887306E-3</c:v>
                </c:pt>
                <c:pt idx="389">
                  <c:v>4.990457456833056E-3</c:v>
                </c:pt>
                <c:pt idx="390">
                  <c:v>5.1123643711831045E-3</c:v>
                </c:pt>
                <c:pt idx="391">
                  <c:v>5.4887042979805721E-3</c:v>
                </c:pt>
                <c:pt idx="392">
                  <c:v>5.3806056101750278E-3</c:v>
                </c:pt>
                <c:pt idx="393">
                  <c:v>5.5775043453536802E-3</c:v>
                </c:pt>
                <c:pt idx="394">
                  <c:v>5.6891208432550862E-3</c:v>
                </c:pt>
                <c:pt idx="395">
                  <c:v>6.0614826857385415E-3</c:v>
                </c:pt>
                <c:pt idx="396">
                  <c:v>6.0001347078051043E-3</c:v>
                </c:pt>
                <c:pt idx="397">
                  <c:v>6.0659539210005725E-3</c:v>
                </c:pt>
                <c:pt idx="398">
                  <c:v>6.3351814618885305E-3</c:v>
                </c:pt>
                <c:pt idx="399">
                  <c:v>6.436639050260767E-3</c:v>
                </c:pt>
                <c:pt idx="400">
                  <c:v>6.521000739101712E-3</c:v>
                </c:pt>
                <c:pt idx="401">
                  <c:v>6.7085953597277584E-3</c:v>
                </c:pt>
                <c:pt idx="402">
                  <c:v>6.6773624663532842E-3</c:v>
                </c:pt>
                <c:pt idx="403">
                  <c:v>6.9780859144546598E-3</c:v>
                </c:pt>
                <c:pt idx="404">
                  <c:v>7.2596093523132005E-3</c:v>
                </c:pt>
                <c:pt idx="405">
                  <c:v>7.0971654300360726E-3</c:v>
                </c:pt>
                <c:pt idx="406">
                  <c:v>7.3965080554829954E-3</c:v>
                </c:pt>
                <c:pt idx="407">
                  <c:v>7.2503052377605936E-3</c:v>
                </c:pt>
                <c:pt idx="408">
                  <c:v>7.7678178426106807E-3</c:v>
                </c:pt>
                <c:pt idx="409">
                  <c:v>7.7654178413303259E-3</c:v>
                </c:pt>
                <c:pt idx="410">
                  <c:v>7.9583056154650996E-3</c:v>
                </c:pt>
                <c:pt idx="411">
                  <c:v>8.5770456715783452E-3</c:v>
                </c:pt>
                <c:pt idx="412">
                  <c:v>8.6230730933933592E-3</c:v>
                </c:pt>
                <c:pt idx="413">
                  <c:v>9.0756212800245407E-3</c:v>
                </c:pt>
                <c:pt idx="414">
                  <c:v>9.1107336275234232E-3</c:v>
                </c:pt>
                <c:pt idx="415">
                  <c:v>9.202525457314507E-3</c:v>
                </c:pt>
                <c:pt idx="416">
                  <c:v>9.6745366680274641E-3</c:v>
                </c:pt>
                <c:pt idx="417">
                  <c:v>9.5550297549577695E-3</c:v>
                </c:pt>
                <c:pt idx="418">
                  <c:v>9.9781203916273434E-3</c:v>
                </c:pt>
                <c:pt idx="419">
                  <c:v>1.0386679513695318E-2</c:v>
                </c:pt>
                <c:pt idx="420">
                  <c:v>1.0583841262712916E-2</c:v>
                </c:pt>
                <c:pt idx="421">
                  <c:v>1.0796027677280126E-2</c:v>
                </c:pt>
                <c:pt idx="422">
                  <c:v>1.0661463221930949E-2</c:v>
                </c:pt>
                <c:pt idx="423">
                  <c:v>1.0624937175047748E-2</c:v>
                </c:pt>
                <c:pt idx="424">
                  <c:v>1.1129134704301349E-2</c:v>
                </c:pt>
                <c:pt idx="425">
                  <c:v>1.1740017221976175E-2</c:v>
                </c:pt>
                <c:pt idx="426">
                  <c:v>1.1622417159238816E-2</c:v>
                </c:pt>
                <c:pt idx="427">
                  <c:v>1.2066154382265411E-2</c:v>
                </c:pt>
                <c:pt idx="428">
                  <c:v>1.2314439446227539E-2</c:v>
                </c:pt>
                <c:pt idx="429">
                  <c:v>1.2548620393076351E-2</c:v>
                </c:pt>
                <c:pt idx="430">
                  <c:v>1.2808017791733819E-2</c:v>
                </c:pt>
                <c:pt idx="431">
                  <c:v>1.3000741182219253E-2</c:v>
                </c:pt>
                <c:pt idx="432">
                  <c:v>1.3243437202103841E-2</c:v>
                </c:pt>
                <c:pt idx="433">
                  <c:v>1.3975043071853476E-2</c:v>
                </c:pt>
                <c:pt idx="434">
                  <c:v>1.4075843125628351E-2</c:v>
                </c:pt>
                <c:pt idx="435">
                  <c:v>1.4337870662675251E-2</c:v>
                </c:pt>
                <c:pt idx="436">
                  <c:v>1.4434561125216645E-2</c:v>
                </c:pt>
                <c:pt idx="437">
                  <c:v>1.5249377998261848E-2</c:v>
                </c:pt>
                <c:pt idx="438">
                  <c:v>1.486347094307283E-2</c:v>
                </c:pt>
                <c:pt idx="439">
                  <c:v>1.5702616596220253E-2</c:v>
                </c:pt>
                <c:pt idx="440">
                  <c:v>1.6736425366915313E-2</c:v>
                </c:pt>
                <c:pt idx="441">
                  <c:v>1.6286079921185283E-2</c:v>
                </c:pt>
                <c:pt idx="442">
                  <c:v>1.729661196713389E-2</c:v>
                </c:pt>
                <c:pt idx="443">
                  <c:v>1.7468557264342835E-2</c:v>
                </c:pt>
                <c:pt idx="444">
                  <c:v>1.7895395848217345E-2</c:v>
                </c:pt>
                <c:pt idx="445">
                  <c:v>1.8184546687405233E-2</c:v>
                </c:pt>
                <c:pt idx="446">
                  <c:v>1.8584459229517961E-2</c:v>
                </c:pt>
                <c:pt idx="447">
                  <c:v>1.9339177440364699E-2</c:v>
                </c:pt>
                <c:pt idx="448">
                  <c:v>1.9687276256205668E-2</c:v>
                </c:pt>
                <c:pt idx="449">
                  <c:v>1.9802377687473074E-2</c:v>
                </c:pt>
                <c:pt idx="450">
                  <c:v>1.9922542135140123E-2</c:v>
                </c:pt>
                <c:pt idx="451">
                  <c:v>2.0885402922780329E-2</c:v>
                </c:pt>
                <c:pt idx="452">
                  <c:v>2.1114487976499622E-2</c:v>
                </c:pt>
                <c:pt idx="453">
                  <c:v>2.1160088000826353E-2</c:v>
                </c:pt>
                <c:pt idx="454">
                  <c:v>2.2115387140596951E-2</c:v>
                </c:pt>
                <c:pt idx="455">
                  <c:v>2.2668472367164069E-2</c:v>
                </c:pt>
                <c:pt idx="456">
                  <c:v>2.2972976639200247E-2</c:v>
                </c:pt>
                <c:pt idx="457">
                  <c:v>2.4100944364236876E-2</c:v>
                </c:pt>
                <c:pt idx="458">
                  <c:v>2.4482248677244391E-2</c:v>
                </c:pt>
                <c:pt idx="459">
                  <c:v>2.4780835137904356E-2</c:v>
                </c:pt>
                <c:pt idx="460">
                  <c:v>2.4965273592463089E-2</c:v>
                </c:pt>
                <c:pt idx="461">
                  <c:v>2.5812934318646286E-2</c:v>
                </c:pt>
                <c:pt idx="462">
                  <c:v>2.5963542618170982E-2</c:v>
                </c:pt>
                <c:pt idx="463">
                  <c:v>2.7084869243774307E-2</c:v>
                </c:pt>
                <c:pt idx="464">
                  <c:v>2.7658732563617918E-2</c:v>
                </c:pt>
                <c:pt idx="465">
                  <c:v>2.7651433929587254E-2</c:v>
                </c:pt>
                <c:pt idx="466">
                  <c:v>2.7974513553998773E-2</c:v>
                </c:pt>
                <c:pt idx="467">
                  <c:v>2.8883916778873826E-2</c:v>
                </c:pt>
                <c:pt idx="468">
                  <c:v>2.9420333503397934E-2</c:v>
                </c:pt>
                <c:pt idx="469">
                  <c:v>3.0730306804983076E-2</c:v>
                </c:pt>
                <c:pt idx="470">
                  <c:v>3.1110854953203634E-2</c:v>
                </c:pt>
                <c:pt idx="471">
                  <c:v>3.0958043912777788E-2</c:v>
                </c:pt>
                <c:pt idx="472">
                  <c:v>3.2942154560303534E-2</c:v>
                </c:pt>
                <c:pt idx="473">
                  <c:v>3.286479561492444E-2</c:v>
                </c:pt>
                <c:pt idx="474">
                  <c:v>3.3533935697925128E-2</c:v>
                </c:pt>
                <c:pt idx="475">
                  <c:v>3.4495251279261542E-2</c:v>
                </c:pt>
                <c:pt idx="476">
                  <c:v>3.5159361222592452E-2</c:v>
                </c:pt>
                <c:pt idx="477">
                  <c:v>3.5708731378684494E-2</c:v>
                </c:pt>
                <c:pt idx="478">
                  <c:v>3.6972184107506599E-2</c:v>
                </c:pt>
                <c:pt idx="479">
                  <c:v>3.6818649779023667E-2</c:v>
                </c:pt>
                <c:pt idx="480">
                  <c:v>3.7424896677787124E-2</c:v>
                </c:pt>
                <c:pt idx="481">
                  <c:v>3.8062047702626375E-2</c:v>
                </c:pt>
                <c:pt idx="482">
                  <c:v>3.8775472740759077E-2</c:v>
                </c:pt>
                <c:pt idx="483">
                  <c:v>3.9964624060079813E-2</c:v>
                </c:pt>
                <c:pt idx="484">
                  <c:v>4.0496240782043218E-2</c:v>
                </c:pt>
                <c:pt idx="485">
                  <c:v>4.1202432939604988E-2</c:v>
                </c:pt>
                <c:pt idx="486">
                  <c:v>4.3167475083807368E-2</c:v>
                </c:pt>
                <c:pt idx="487">
                  <c:v>4.407717419925123E-2</c:v>
                </c:pt>
                <c:pt idx="488">
                  <c:v>4.3655036987747822E-2</c:v>
                </c:pt>
                <c:pt idx="489">
                  <c:v>4.4922434924154077E-2</c:v>
                </c:pt>
                <c:pt idx="490">
                  <c:v>4.5823586089832294E-2</c:v>
                </c:pt>
                <c:pt idx="491">
                  <c:v>4.6498216586720917E-2</c:v>
                </c:pt>
                <c:pt idx="492">
                  <c:v>4.7250436166097698E-2</c:v>
                </c:pt>
                <c:pt idx="493">
                  <c:v>4.8375477862176088E-2</c:v>
                </c:pt>
                <c:pt idx="494">
                  <c:v>4.9660300465412317E-2</c:v>
                </c:pt>
                <c:pt idx="495">
                  <c:v>4.9507094904228062E-2</c:v>
                </c:pt>
                <c:pt idx="496">
                  <c:v>5.0944465534051173E-2</c:v>
                </c:pt>
                <c:pt idx="497">
                  <c:v>5.2791808985326601E-2</c:v>
                </c:pt>
                <c:pt idx="498">
                  <c:v>5.3557179256650524E-2</c:v>
                </c:pt>
                <c:pt idx="499">
                  <c:v>5.4206165904242209E-2</c:v>
                </c:pt>
                <c:pt idx="500">
                  <c:v>5.4403097516150724E-2</c:v>
                </c:pt>
                <c:pt idx="501">
                  <c:v>5.5599152948743714E-2</c:v>
                </c:pt>
                <c:pt idx="502">
                  <c:v>5.652331782532944E-2</c:v>
                </c:pt>
                <c:pt idx="503">
                  <c:v>5.7559263583465914E-2</c:v>
                </c:pt>
                <c:pt idx="504">
                  <c:v>5.8479812019766174E-2</c:v>
                </c:pt>
                <c:pt idx="505">
                  <c:v>5.9939867593198123E-2</c:v>
                </c:pt>
                <c:pt idx="506">
                  <c:v>6.0911703728092258E-2</c:v>
                </c:pt>
                <c:pt idx="507">
                  <c:v>6.1106333968910027E-2</c:v>
                </c:pt>
                <c:pt idx="508">
                  <c:v>6.1672471257234698E-2</c:v>
                </c:pt>
                <c:pt idx="509">
                  <c:v>6.336069133594964E-2</c:v>
                </c:pt>
                <c:pt idx="510">
                  <c:v>6.5136692283411776E-2</c:v>
                </c:pt>
                <c:pt idx="511">
                  <c:v>6.6496145063448045E-2</c:v>
                </c:pt>
                <c:pt idx="512">
                  <c:v>6.6927816526613143E-2</c:v>
                </c:pt>
                <c:pt idx="513">
                  <c:v>6.8530557107671641E-2</c:v>
                </c:pt>
                <c:pt idx="514">
                  <c:v>6.9947872932275362E-2</c:v>
                </c:pt>
                <c:pt idx="515">
                  <c:v>7.1588750519980565E-2</c:v>
                </c:pt>
                <c:pt idx="516">
                  <c:v>7.2603655171001619E-2</c:v>
                </c:pt>
                <c:pt idx="517">
                  <c:v>7.4220532745903275E-2</c:v>
                </c:pt>
                <c:pt idx="518">
                  <c:v>7.2921901916122564E-2</c:v>
                </c:pt>
                <c:pt idx="519">
                  <c:v>7.4285957438340336E-2</c:v>
                </c:pt>
                <c:pt idx="520">
                  <c:v>7.6257903695814963E-2</c:v>
                </c:pt>
                <c:pt idx="521">
                  <c:v>7.8673357039207109E-2</c:v>
                </c:pt>
                <c:pt idx="522">
                  <c:v>7.8428425401691509E-2</c:v>
                </c:pt>
                <c:pt idx="523">
                  <c:v>8.0646618365876471E-2</c:v>
                </c:pt>
                <c:pt idx="524">
                  <c:v>8.1369577655670863E-2</c:v>
                </c:pt>
                <c:pt idx="525">
                  <c:v>8.2689578359865679E-2</c:v>
                </c:pt>
                <c:pt idx="526">
                  <c:v>8.3933305050767085E-2</c:v>
                </c:pt>
                <c:pt idx="527">
                  <c:v>8.5071826206091286E-2</c:v>
                </c:pt>
                <c:pt idx="528">
                  <c:v>8.5703059419554334E-2</c:v>
                </c:pt>
                <c:pt idx="529">
                  <c:v>8.8696814441322241E-2</c:v>
                </c:pt>
                <c:pt idx="530">
                  <c:v>8.9658458789957346E-2</c:v>
                </c:pt>
                <c:pt idx="531">
                  <c:v>8.9461855945347502E-2</c:v>
                </c:pt>
                <c:pt idx="532">
                  <c:v>9.190065176694584E-2</c:v>
                </c:pt>
                <c:pt idx="533">
                  <c:v>9.1730679073528956E-2</c:v>
                </c:pt>
                <c:pt idx="534">
                  <c:v>9.3490241656057169E-2</c:v>
                </c:pt>
                <c:pt idx="535">
                  <c:v>9.3879502137692736E-2</c:v>
                </c:pt>
                <c:pt idx="536">
                  <c:v>9.4615283352135579E-2</c:v>
                </c:pt>
                <c:pt idx="537">
                  <c:v>9.7236545024500562E-2</c:v>
                </c:pt>
                <c:pt idx="538">
                  <c:v>9.8582847112589703E-2</c:v>
                </c:pt>
                <c:pt idx="539">
                  <c:v>9.9636217537556152E-2</c:v>
                </c:pt>
                <c:pt idx="540">
                  <c:v>0.10048377963354974</c:v>
                </c:pt>
                <c:pt idx="541">
                  <c:v>0.10071358797532612</c:v>
                </c:pt>
                <c:pt idx="542">
                  <c:v>0.10257046567826322</c:v>
                </c:pt>
                <c:pt idx="543">
                  <c:v>0.10568159062565942</c:v>
                </c:pt>
                <c:pt idx="544">
                  <c:v>0.10467030241492387</c:v>
                </c:pt>
                <c:pt idx="545">
                  <c:v>0.10739676962286603</c:v>
                </c:pt>
                <c:pt idx="546">
                  <c:v>0.10865824974789606</c:v>
                </c:pt>
                <c:pt idx="547">
                  <c:v>0.10893967455556501</c:v>
                </c:pt>
                <c:pt idx="548">
                  <c:v>0.10964126397094529</c:v>
                </c:pt>
                <c:pt idx="549">
                  <c:v>0.10976225033685903</c:v>
                </c:pt>
                <c:pt idx="550">
                  <c:v>0.11265112859034843</c:v>
                </c:pt>
                <c:pt idx="551">
                  <c:v>0.1137275127262224</c:v>
                </c:pt>
                <c:pt idx="552">
                  <c:v>0.11517671897879794</c:v>
                </c:pt>
                <c:pt idx="553">
                  <c:v>0.11719535019268497</c:v>
                </c:pt>
                <c:pt idx="554">
                  <c:v>0.11835096724754045</c:v>
                </c:pt>
                <c:pt idx="555">
                  <c:v>0.11904598131694716</c:v>
                </c:pt>
                <c:pt idx="556">
                  <c:v>0.12021080385616567</c:v>
                </c:pt>
                <c:pt idx="557">
                  <c:v>0.11921562524306535</c:v>
                </c:pt>
                <c:pt idx="558">
                  <c:v>0.11959831037872731</c:v>
                </c:pt>
                <c:pt idx="559">
                  <c:v>0.12213310625153982</c:v>
                </c:pt>
                <c:pt idx="560">
                  <c:v>0.12233792827861663</c:v>
                </c:pt>
                <c:pt idx="561">
                  <c:v>0.12476916245234534</c:v>
                </c:pt>
                <c:pt idx="562">
                  <c:v>0.12544576555302603</c:v>
                </c:pt>
                <c:pt idx="563">
                  <c:v>0.12703305407104665</c:v>
                </c:pt>
                <c:pt idx="564">
                  <c:v>0.1293248909101356</c:v>
                </c:pt>
                <c:pt idx="565">
                  <c:v>0.12774582157458197</c:v>
                </c:pt>
                <c:pt idx="566">
                  <c:v>0.12869628783506198</c:v>
                </c:pt>
                <c:pt idx="567">
                  <c:v>0.12912039765035746</c:v>
                </c:pt>
                <c:pt idx="568">
                  <c:v>0.13062286420531896</c:v>
                </c:pt>
                <c:pt idx="569">
                  <c:v>0.13008171323169387</c:v>
                </c:pt>
                <c:pt idx="570">
                  <c:v>0.13169924834119293</c:v>
                </c:pt>
                <c:pt idx="571">
                  <c:v>0.13214768693659062</c:v>
                </c:pt>
                <c:pt idx="572">
                  <c:v>0.13341607117489293</c:v>
                </c:pt>
                <c:pt idx="573">
                  <c:v>0.13491459252227025</c:v>
                </c:pt>
                <c:pt idx="574">
                  <c:v>0.13440303060552627</c:v>
                </c:pt>
                <c:pt idx="575">
                  <c:v>0.13438363333490422</c:v>
                </c:pt>
                <c:pt idx="576">
                  <c:v>0.13464237319896433</c:v>
                </c:pt>
                <c:pt idx="577">
                  <c:v>0.13771240223402573</c:v>
                </c:pt>
                <c:pt idx="578">
                  <c:v>0.13580686697088415</c:v>
                </c:pt>
                <c:pt idx="579">
                  <c:v>0.13591601771404549</c:v>
                </c:pt>
                <c:pt idx="580">
                  <c:v>0.13839064917119981</c:v>
                </c:pt>
                <c:pt idx="581">
                  <c:v>0.13777486802077465</c:v>
                </c:pt>
                <c:pt idx="582">
                  <c:v>0.14003349936269707</c:v>
                </c:pt>
                <c:pt idx="583">
                  <c:v>0.13859645750017263</c:v>
                </c:pt>
                <c:pt idx="584">
                  <c:v>0.13861190956321051</c:v>
                </c:pt>
                <c:pt idx="585">
                  <c:v>0.13950845798670725</c:v>
                </c:pt>
                <c:pt idx="586">
                  <c:v>0.13822856689295121</c:v>
                </c:pt>
                <c:pt idx="587">
                  <c:v>0.13933454008570623</c:v>
                </c:pt>
                <c:pt idx="588">
                  <c:v>0.13947656755873541</c:v>
                </c:pt>
                <c:pt idx="589">
                  <c:v>0.13904588239746637</c:v>
                </c:pt>
                <c:pt idx="590">
                  <c:v>0.14067854080270464</c:v>
                </c:pt>
                <c:pt idx="591">
                  <c:v>0.14077158194823067</c:v>
                </c:pt>
                <c:pt idx="592">
                  <c:v>0.13995656781480625</c:v>
                </c:pt>
                <c:pt idx="593">
                  <c:v>0.14000818428069881</c:v>
                </c:pt>
                <c:pt idx="594">
                  <c:v>0.13858067666983606</c:v>
                </c:pt>
                <c:pt idx="595">
                  <c:v>0.13892160835856582</c:v>
                </c:pt>
                <c:pt idx="596">
                  <c:v>0.13939240313027368</c:v>
                </c:pt>
                <c:pt idx="597">
                  <c:v>0.13798363525543558</c:v>
                </c:pt>
                <c:pt idx="598">
                  <c:v>0.13805169008626209</c:v>
                </c:pt>
                <c:pt idx="599">
                  <c:v>0.13784686805918531</c:v>
                </c:pt>
                <c:pt idx="600">
                  <c:v>0.1404553078069018</c:v>
                </c:pt>
                <c:pt idx="601">
                  <c:v>0.13684873054039687</c:v>
                </c:pt>
                <c:pt idx="602">
                  <c:v>0.137757114586646</c:v>
                </c:pt>
                <c:pt idx="603">
                  <c:v>0.13785015573217207</c:v>
                </c:pt>
                <c:pt idx="604">
                  <c:v>0.13641377140424499</c:v>
                </c:pt>
                <c:pt idx="605">
                  <c:v>0.13541925032574201</c:v>
                </c:pt>
                <c:pt idx="606">
                  <c:v>0.136012675299857</c:v>
                </c:pt>
                <c:pt idx="607">
                  <c:v>0.13416861952156839</c:v>
                </c:pt>
                <c:pt idx="608">
                  <c:v>0.13378461931671171</c:v>
                </c:pt>
                <c:pt idx="609">
                  <c:v>0.13433398947280376</c:v>
                </c:pt>
                <c:pt idx="610">
                  <c:v>0.13327042726157826</c:v>
                </c:pt>
                <c:pt idx="611">
                  <c:v>0.12972795961831565</c:v>
                </c:pt>
                <c:pt idx="612">
                  <c:v>0.13204971428158441</c:v>
                </c:pt>
                <c:pt idx="613">
                  <c:v>0.13100785071207169</c:v>
                </c:pt>
                <c:pt idx="614">
                  <c:v>0.12919732919824831</c:v>
                </c:pt>
                <c:pt idx="615">
                  <c:v>0.12604675217501063</c:v>
                </c:pt>
                <c:pt idx="616">
                  <c:v>0.12784971204096443</c:v>
                </c:pt>
                <c:pt idx="617">
                  <c:v>0.12601683435083089</c:v>
                </c:pt>
                <c:pt idx="618">
                  <c:v>0.12491020362347849</c:v>
                </c:pt>
                <c:pt idx="619">
                  <c:v>0.1247188610556475</c:v>
                </c:pt>
                <c:pt idx="620">
                  <c:v>0.12236883240469243</c:v>
                </c:pt>
                <c:pt idx="621">
                  <c:v>0.1221133802136191</c:v>
                </c:pt>
                <c:pt idx="622">
                  <c:v>0.12309935334235642</c:v>
                </c:pt>
                <c:pt idx="623">
                  <c:v>0.11943129659099855</c:v>
                </c:pt>
                <c:pt idx="624">
                  <c:v>0.11784499437487397</c:v>
                </c:pt>
                <c:pt idx="625">
                  <c:v>0.11664663757119026</c:v>
                </c:pt>
                <c:pt idx="626">
                  <c:v>0.11422986915860341</c:v>
                </c:pt>
                <c:pt idx="627">
                  <c:v>0.11397967724430892</c:v>
                </c:pt>
                <c:pt idx="628">
                  <c:v>0.11288948488189048</c:v>
                </c:pt>
                <c:pt idx="629">
                  <c:v>0.11102175785809698</c:v>
                </c:pt>
                <c:pt idx="630">
                  <c:v>0.11058482611815305</c:v>
                </c:pt>
                <c:pt idx="631">
                  <c:v>0.10810098917663573</c:v>
                </c:pt>
                <c:pt idx="632">
                  <c:v>0.10698482419762168</c:v>
                </c:pt>
                <c:pt idx="633">
                  <c:v>0.10483074085667905</c:v>
                </c:pt>
                <c:pt idx="634">
                  <c:v>0.10386613760235584</c:v>
                </c:pt>
                <c:pt idx="635">
                  <c:v>0.10368005531130373</c:v>
                </c:pt>
                <c:pt idx="636">
                  <c:v>0.10183731460220981</c:v>
                </c:pt>
                <c:pt idx="637">
                  <c:v>9.984925874709992E-2</c:v>
                </c:pt>
                <c:pt idx="638">
                  <c:v>9.9455066755984214E-2</c:v>
                </c:pt>
                <c:pt idx="639">
                  <c:v>9.7142188809779789E-2</c:v>
                </c:pt>
                <c:pt idx="640">
                  <c:v>9.5787010004626333E-2</c:v>
                </c:pt>
                <c:pt idx="641">
                  <c:v>9.5499667385581175E-2</c:v>
                </c:pt>
                <c:pt idx="642">
                  <c:v>9.2982953714196001E-2</c:v>
                </c:pt>
                <c:pt idx="643">
                  <c:v>9.2179446436225346E-2</c:v>
                </c:pt>
                <c:pt idx="644">
                  <c:v>9.0999171833968939E-2</c:v>
                </c:pt>
                <c:pt idx="645">
                  <c:v>8.8711280202464118E-2</c:v>
                </c:pt>
                <c:pt idx="646">
                  <c:v>8.6830073719424791E-2</c:v>
                </c:pt>
                <c:pt idx="647">
                  <c:v>8.6730785995223839E-2</c:v>
                </c:pt>
                <c:pt idx="648">
                  <c:v>8.6272484380865766E-2</c:v>
                </c:pt>
                <c:pt idx="649">
                  <c:v>8.2282893211400171E-2</c:v>
                </c:pt>
                <c:pt idx="650">
                  <c:v>8.3073907332021052E-2</c:v>
                </c:pt>
                <c:pt idx="651">
                  <c:v>8.1879495735921459E-2</c:v>
                </c:pt>
                <c:pt idx="652">
                  <c:v>7.9749741175081074E-2</c:v>
                </c:pt>
                <c:pt idx="653">
                  <c:v>7.7851438792510455E-2</c:v>
                </c:pt>
                <c:pt idx="654">
                  <c:v>7.6728369700224133E-2</c:v>
                </c:pt>
                <c:pt idx="655">
                  <c:v>7.5182834629135734E-2</c:v>
                </c:pt>
                <c:pt idx="656">
                  <c:v>7.4413847917526338E-2</c:v>
                </c:pt>
                <c:pt idx="657">
                  <c:v>7.285088817960797E-2</c:v>
                </c:pt>
                <c:pt idx="658">
                  <c:v>7.2048038436234668E-2</c:v>
                </c:pt>
                <c:pt idx="659">
                  <c:v>7.0145790846079914E-2</c:v>
                </c:pt>
                <c:pt idx="660">
                  <c:v>6.8771872304901768E-2</c:v>
                </c:pt>
                <c:pt idx="661">
                  <c:v>6.9292968473307459E-2</c:v>
                </c:pt>
                <c:pt idx="662">
                  <c:v>6.6632254725101023E-2</c:v>
                </c:pt>
                <c:pt idx="663">
                  <c:v>6.5729459722929415E-2</c:v>
                </c:pt>
                <c:pt idx="664">
                  <c:v>6.4501185095065916E-2</c:v>
                </c:pt>
                <c:pt idx="665">
                  <c:v>6.3334718719354019E-2</c:v>
                </c:pt>
                <c:pt idx="666">
                  <c:v>6.1499539658129709E-2</c:v>
                </c:pt>
                <c:pt idx="667">
                  <c:v>6.1211868271785888E-2</c:v>
                </c:pt>
                <c:pt idx="668">
                  <c:v>6.0881128369315141E-2</c:v>
                </c:pt>
                <c:pt idx="669">
                  <c:v>5.9976360763351451E-2</c:v>
                </c:pt>
                <c:pt idx="670">
                  <c:v>5.8505455869063111E-2</c:v>
                </c:pt>
                <c:pt idx="671">
                  <c:v>5.7916633637129622E-2</c:v>
                </c:pt>
                <c:pt idx="672">
                  <c:v>5.749811286591168E-2</c:v>
                </c:pt>
                <c:pt idx="673">
                  <c:v>5.543772820509249E-2</c:v>
                </c:pt>
                <c:pt idx="674">
                  <c:v>5.4920577244270942E-2</c:v>
                </c:pt>
                <c:pt idx="675">
                  <c:v>5.3973069889479031E-2</c:v>
                </c:pt>
                <c:pt idx="676">
                  <c:v>5.3975042493271105E-2</c:v>
                </c:pt>
                <c:pt idx="677">
                  <c:v>5.2080027783687283E-2</c:v>
                </c:pt>
                <c:pt idx="678">
                  <c:v>5.1513232960765272E-2</c:v>
                </c:pt>
                <c:pt idx="679">
                  <c:v>5.0834657256292499E-2</c:v>
                </c:pt>
                <c:pt idx="680">
                  <c:v>4.960441002463694E-2</c:v>
                </c:pt>
                <c:pt idx="681">
                  <c:v>4.9627752502843125E-2</c:v>
                </c:pt>
                <c:pt idx="682">
                  <c:v>4.8393560063603416E-2</c:v>
                </c:pt>
                <c:pt idx="683">
                  <c:v>4.8509614920036991E-2</c:v>
                </c:pt>
                <c:pt idx="684">
                  <c:v>4.7670272006510361E-2</c:v>
                </c:pt>
                <c:pt idx="685">
                  <c:v>4.6076079375217509E-2</c:v>
                </c:pt>
                <c:pt idx="686">
                  <c:v>4.5783476479393501E-2</c:v>
                </c:pt>
                <c:pt idx="687">
                  <c:v>4.5711805208281546E-2</c:v>
                </c:pt>
                <c:pt idx="688">
                  <c:v>4.5020078811861639E-2</c:v>
                </c:pt>
                <c:pt idx="689">
                  <c:v>4.4493722366677098E-2</c:v>
                </c:pt>
                <c:pt idx="690">
                  <c:v>4.4804407463928428E-2</c:v>
                </c:pt>
                <c:pt idx="691">
                  <c:v>4.4103475583145521E-2</c:v>
                </c:pt>
                <c:pt idx="692">
                  <c:v>4.337689985306567E-2</c:v>
                </c:pt>
                <c:pt idx="693">
                  <c:v>4.2318926685917725E-2</c:v>
                </c:pt>
                <c:pt idx="694">
                  <c:v>4.2348186975500135E-2</c:v>
                </c:pt>
                <c:pt idx="695">
                  <c:v>4.2037830645547475E-2</c:v>
                </c:pt>
                <c:pt idx="696">
                  <c:v>4.2262049943246317E-2</c:v>
                </c:pt>
                <c:pt idx="697">
                  <c:v>4.0960788975076164E-2</c:v>
                </c:pt>
                <c:pt idx="698">
                  <c:v>4.0367692768259848E-2</c:v>
                </c:pt>
                <c:pt idx="699">
                  <c:v>4.1224789115915129E-2</c:v>
                </c:pt>
                <c:pt idx="700">
                  <c:v>4.0930213616299047E-2</c:v>
                </c:pt>
                <c:pt idx="701">
                  <c:v>3.9752897919730745E-2</c:v>
                </c:pt>
                <c:pt idx="702">
                  <c:v>3.9311034670306624E-2</c:v>
                </c:pt>
                <c:pt idx="703">
                  <c:v>4.0329226994314446E-2</c:v>
                </c:pt>
                <c:pt idx="704">
                  <c:v>4.0181939244506408E-2</c:v>
                </c:pt>
                <c:pt idx="705">
                  <c:v>3.915848664371973E-2</c:v>
                </c:pt>
                <c:pt idx="706">
                  <c:v>3.9141719511487108E-2</c:v>
                </c:pt>
                <c:pt idx="707">
                  <c:v>3.93452264693692E-2</c:v>
                </c:pt>
                <c:pt idx="708">
                  <c:v>3.8444075303690983E-2</c:v>
                </c:pt>
                <c:pt idx="709">
                  <c:v>3.8977664629446462E-2</c:v>
                </c:pt>
                <c:pt idx="710">
                  <c:v>3.8239582043912854E-2</c:v>
                </c:pt>
                <c:pt idx="711">
                  <c:v>3.8698541192868266E-2</c:v>
                </c:pt>
                <c:pt idx="712">
                  <c:v>3.7323307582495413E-2</c:v>
                </c:pt>
                <c:pt idx="713">
                  <c:v>3.7079691014174528E-2</c:v>
                </c:pt>
                <c:pt idx="714">
                  <c:v>3.7912129814428902E-2</c:v>
                </c:pt>
                <c:pt idx="715">
                  <c:v>3.8213938194615917E-2</c:v>
                </c:pt>
                <c:pt idx="716">
                  <c:v>3.7520567961702618E-2</c:v>
                </c:pt>
                <c:pt idx="717">
                  <c:v>3.7010321114153331E-2</c:v>
                </c:pt>
                <c:pt idx="718">
                  <c:v>3.6644074343425294E-2</c:v>
                </c:pt>
                <c:pt idx="719">
                  <c:v>3.6301827585500809E-2</c:v>
                </c:pt>
                <c:pt idx="720">
                  <c:v>3.6116402829046039E-2</c:v>
                </c:pt>
                <c:pt idx="721">
                  <c:v>3.5908950663579804E-2</c:v>
                </c:pt>
                <c:pt idx="722">
                  <c:v>3.5765279354057225E-2</c:v>
                </c:pt>
                <c:pt idx="723">
                  <c:v>3.5683087529387557E-2</c:v>
                </c:pt>
                <c:pt idx="724">
                  <c:v>3.629788237791666E-2</c:v>
                </c:pt>
                <c:pt idx="725">
                  <c:v>3.5230046191808355E-2</c:v>
                </c:pt>
                <c:pt idx="726">
                  <c:v>3.5529553200904625E-2</c:v>
                </c:pt>
                <c:pt idx="727">
                  <c:v>3.6104895973592288E-2</c:v>
                </c:pt>
                <c:pt idx="728">
                  <c:v>3.6915964899432552E-2</c:v>
                </c:pt>
                <c:pt idx="729">
                  <c:v>3.6255800163685792E-2</c:v>
                </c:pt>
                <c:pt idx="730">
                  <c:v>3.6247252213920146E-2</c:v>
                </c:pt>
                <c:pt idx="731">
                  <c:v>3.5585443641679995E-2</c:v>
                </c:pt>
                <c:pt idx="732">
                  <c:v>3.540166272171863E-2</c:v>
                </c:pt>
                <c:pt idx="733">
                  <c:v>3.5474320294726608E-2</c:v>
                </c:pt>
                <c:pt idx="734">
                  <c:v>3.5528895666307264E-2</c:v>
                </c:pt>
                <c:pt idx="735">
                  <c:v>3.540166272171863E-2</c:v>
                </c:pt>
                <c:pt idx="736">
                  <c:v>3.4939087132477738E-2</c:v>
                </c:pt>
                <c:pt idx="737">
                  <c:v>3.5609772421782218E-2</c:v>
                </c:pt>
                <c:pt idx="738">
                  <c:v>3.4926593975127949E-2</c:v>
                </c:pt>
                <c:pt idx="739">
                  <c:v>3.5474977829323968E-2</c:v>
                </c:pt>
                <c:pt idx="740">
                  <c:v>3.5061717334884883E-2</c:v>
                </c:pt>
                <c:pt idx="741">
                  <c:v>3.4934813157594918E-2</c:v>
                </c:pt>
                <c:pt idx="742">
                  <c:v>3.3923196179560668E-2</c:v>
                </c:pt>
                <c:pt idx="743">
                  <c:v>3.4823361043342854E-2</c:v>
                </c:pt>
                <c:pt idx="744">
                  <c:v>3.4374264913347795E-2</c:v>
                </c:pt>
                <c:pt idx="745">
                  <c:v>3.3626976843451187E-2</c:v>
                </c:pt>
                <c:pt idx="746">
                  <c:v>3.5115306404569502E-2</c:v>
                </c:pt>
                <c:pt idx="747">
                  <c:v>3.4609991066500395E-2</c:v>
                </c:pt>
                <c:pt idx="748">
                  <c:v>3.4886484364689156E-2</c:v>
                </c:pt>
                <c:pt idx="749">
                  <c:v>3.4045168847370452E-2</c:v>
                </c:pt>
                <c:pt idx="750">
                  <c:v>3.5443744935949484E-2</c:v>
                </c:pt>
                <c:pt idx="751">
                  <c:v>3.4575799267437812E-2</c:v>
                </c:pt>
                <c:pt idx="752">
                  <c:v>3.4656347255614089E-2</c:v>
                </c:pt>
                <c:pt idx="753">
                  <c:v>3.4613607506785861E-2</c:v>
                </c:pt>
                <c:pt idx="754">
                  <c:v>3.2895140836592479E-2</c:v>
                </c:pt>
                <c:pt idx="755">
                  <c:v>3.4573169129048391E-2</c:v>
                </c:pt>
                <c:pt idx="756">
                  <c:v>3.4252621012836687E-2</c:v>
                </c:pt>
                <c:pt idx="757">
                  <c:v>3.4118812722274475E-2</c:v>
                </c:pt>
                <c:pt idx="758">
                  <c:v>3.37423741652874E-2</c:v>
                </c:pt>
                <c:pt idx="759">
                  <c:v>3.3606593270933113E-2</c:v>
                </c:pt>
                <c:pt idx="760">
                  <c:v>3.3367908212092401E-2</c:v>
                </c:pt>
                <c:pt idx="761">
                  <c:v>3.4256566220420837E-2</c:v>
                </c:pt>
                <c:pt idx="762">
                  <c:v>3.382686736104782E-2</c:v>
                </c:pt>
                <c:pt idx="763">
                  <c:v>3.3775579662453953E-2</c:v>
                </c:pt>
                <c:pt idx="764">
                  <c:v>3.390182630514655E-2</c:v>
                </c:pt>
                <c:pt idx="765">
                  <c:v>3.3819963247775565E-2</c:v>
                </c:pt>
                <c:pt idx="766">
                  <c:v>3.3478702791747111E-2</c:v>
                </c:pt>
                <c:pt idx="767">
                  <c:v>3.2496641993864067E-2</c:v>
                </c:pt>
                <c:pt idx="768">
                  <c:v>3.3024346384973195E-2</c:v>
                </c:pt>
                <c:pt idx="769">
                  <c:v>3.3579963119740139E-2</c:v>
                </c:pt>
                <c:pt idx="770">
                  <c:v>3.4101388055444506E-2</c:v>
                </c:pt>
                <c:pt idx="771">
                  <c:v>3.3911689324106917E-2</c:v>
                </c:pt>
                <c:pt idx="772">
                  <c:v>3.4120456558767866E-2</c:v>
                </c:pt>
                <c:pt idx="773">
                  <c:v>3.3251524588360157E-2</c:v>
                </c:pt>
                <c:pt idx="774">
                  <c:v>3.2938209352719391E-2</c:v>
                </c:pt>
                <c:pt idx="775">
                  <c:v>3.2887250421424194E-2</c:v>
                </c:pt>
                <c:pt idx="776">
                  <c:v>3.3319579419186639E-2</c:v>
                </c:pt>
                <c:pt idx="777">
                  <c:v>3.4034977061111416E-2</c:v>
                </c:pt>
                <c:pt idx="778">
                  <c:v>3.3723634429262718E-2</c:v>
                </c:pt>
                <c:pt idx="779">
                  <c:v>3.3463908263306572E-2</c:v>
                </c:pt>
                <c:pt idx="780">
                  <c:v>3.3456017848138279E-2</c:v>
                </c:pt>
                <c:pt idx="781">
                  <c:v>3.3422483583673064E-2</c:v>
                </c:pt>
                <c:pt idx="782">
                  <c:v>3.3038812146115058E-2</c:v>
                </c:pt>
                <c:pt idx="783">
                  <c:v>3.2183162374573963E-2</c:v>
                </c:pt>
                <c:pt idx="784">
                  <c:v>3.3543798716885488E-2</c:v>
                </c:pt>
                <c:pt idx="785">
                  <c:v>3.2836718887617286E-2</c:v>
                </c:pt>
                <c:pt idx="786">
                  <c:v>3.2949387440874466E-2</c:v>
                </c:pt>
                <c:pt idx="787">
                  <c:v>3.2610132465367946E-2</c:v>
                </c:pt>
                <c:pt idx="788">
                  <c:v>3.2295929558020749E-2</c:v>
                </c:pt>
                <c:pt idx="789">
                  <c:v>3.2486121440306354E-2</c:v>
                </c:pt>
                <c:pt idx="790">
                  <c:v>3.2708466764402734E-2</c:v>
                </c:pt>
                <c:pt idx="791">
                  <c:v>3.3208784839531928E-2</c:v>
                </c:pt>
                <c:pt idx="792">
                  <c:v>3.2438713195836896E-2</c:v>
                </c:pt>
                <c:pt idx="793">
                  <c:v>3.2649222897180842E-2</c:v>
                </c:pt>
                <c:pt idx="794">
                  <c:v>3.2826494224628376E-2</c:v>
                </c:pt>
                <c:pt idx="795">
                  <c:v>3.3909059185717481E-2</c:v>
                </c:pt>
                <c:pt idx="796">
                  <c:v>3.2821792852257274E-2</c:v>
                </c:pt>
                <c:pt idx="797">
                  <c:v>3.2141507557831378E-2</c:v>
                </c:pt>
                <c:pt idx="798">
                  <c:v>3.3103908071253435E-2</c:v>
                </c:pt>
                <c:pt idx="799">
                  <c:v>3.2458274850108271E-2</c:v>
                </c:pt>
                <c:pt idx="800">
                  <c:v>3.3780839939232803E-2</c:v>
                </c:pt>
                <c:pt idx="801">
                  <c:v>3.1885627969269768E-2</c:v>
                </c:pt>
                <c:pt idx="802">
                  <c:v>3.2702746213405721E-2</c:v>
                </c:pt>
                <c:pt idx="803">
                  <c:v>3.1872608784242099E-2</c:v>
                </c:pt>
                <c:pt idx="804">
                  <c:v>3.2975360057470073E-2</c:v>
                </c:pt>
                <c:pt idx="805">
                  <c:v>3.2842768205912976E-2</c:v>
                </c:pt>
                <c:pt idx="806">
                  <c:v>3.2407546055922151E-2</c:v>
                </c:pt>
                <c:pt idx="807">
                  <c:v>3.2671316059652046E-2</c:v>
                </c:pt>
                <c:pt idx="808">
                  <c:v>3.2931634006745814E-2</c:v>
                </c:pt>
                <c:pt idx="809">
                  <c:v>3.2813606546520172E-2</c:v>
                </c:pt>
                <c:pt idx="810">
                  <c:v>3.2145255505036316E-2</c:v>
                </c:pt>
                <c:pt idx="811">
                  <c:v>3.3065771064606703E-2</c:v>
                </c:pt>
                <c:pt idx="812">
                  <c:v>3.2642548921017665E-2</c:v>
                </c:pt>
                <c:pt idx="813">
                  <c:v>3.2606647532001952E-2</c:v>
                </c:pt>
                <c:pt idx="814">
                  <c:v>3.3335360249523216E-2</c:v>
                </c:pt>
                <c:pt idx="815">
                  <c:v>3.2359611783774805E-2</c:v>
                </c:pt>
                <c:pt idx="816">
                  <c:v>3.3150593027665799E-2</c:v>
                </c:pt>
                <c:pt idx="817">
                  <c:v>3.184607726323873E-2</c:v>
                </c:pt>
                <c:pt idx="818">
                  <c:v>3.3205497166545139E-2</c:v>
                </c:pt>
                <c:pt idx="819">
                  <c:v>3.2787107902246669E-2</c:v>
                </c:pt>
                <c:pt idx="820">
                  <c:v>3.206109107657458E-2</c:v>
                </c:pt>
                <c:pt idx="821">
                  <c:v>3.2184773334337488E-2</c:v>
                </c:pt>
                <c:pt idx="822">
                  <c:v>3.2820083262304144E-2</c:v>
                </c:pt>
                <c:pt idx="823">
                  <c:v>3.2180926756942958E-2</c:v>
                </c:pt>
                <c:pt idx="824">
                  <c:v>3.231302545755204E-2</c:v>
                </c:pt>
                <c:pt idx="825">
                  <c:v>3.3290647896902913E-2</c:v>
                </c:pt>
                <c:pt idx="826">
                  <c:v>3.264662563552128E-2</c:v>
                </c:pt>
                <c:pt idx="827">
                  <c:v>3.2338077525711356E-2</c:v>
                </c:pt>
                <c:pt idx="828">
                  <c:v>3.188612112021779E-2</c:v>
                </c:pt>
                <c:pt idx="829">
                  <c:v>3.1973737605315654E-2</c:v>
                </c:pt>
                <c:pt idx="830">
                  <c:v>3.2434537851143676E-2</c:v>
                </c:pt>
                <c:pt idx="831">
                  <c:v>3.2259173374028477E-2</c:v>
                </c:pt>
                <c:pt idx="832">
                  <c:v>3.1659337437589245E-2</c:v>
                </c:pt>
                <c:pt idx="833">
                  <c:v>3.2055008881549017E-2</c:v>
                </c:pt>
                <c:pt idx="834">
                  <c:v>3.191718962994293E-2</c:v>
                </c:pt>
                <c:pt idx="835">
                  <c:v>3.2852466841223997E-2</c:v>
                </c:pt>
                <c:pt idx="836">
                  <c:v>3.2494044732204505E-2</c:v>
                </c:pt>
                <c:pt idx="837">
                  <c:v>3.1889244409555241E-2</c:v>
                </c:pt>
                <c:pt idx="838">
                  <c:v>3.2285080237164351E-2</c:v>
                </c:pt>
                <c:pt idx="839">
                  <c:v>3.2590833824935508E-2</c:v>
                </c:pt>
                <c:pt idx="840">
                  <c:v>3.1731337475999877E-2</c:v>
                </c:pt>
                <c:pt idx="841">
                  <c:v>3.2571042033555056E-2</c:v>
                </c:pt>
                <c:pt idx="842">
                  <c:v>3.261246671318857E-2</c:v>
                </c:pt>
                <c:pt idx="843">
                  <c:v>3.207693766037089E-2</c:v>
                </c:pt>
                <c:pt idx="844">
                  <c:v>3.1467600348999848E-2</c:v>
                </c:pt>
                <c:pt idx="845">
                  <c:v>3.1538088057836554E-2</c:v>
                </c:pt>
                <c:pt idx="846">
                  <c:v>3.1961080064316527E-2</c:v>
                </c:pt>
                <c:pt idx="847">
                  <c:v>3.2038504763155347E-2</c:v>
                </c:pt>
                <c:pt idx="848">
                  <c:v>3.279269694632421E-2</c:v>
                </c:pt>
                <c:pt idx="849">
                  <c:v>3.1922351276532174E-2</c:v>
                </c:pt>
                <c:pt idx="850">
                  <c:v>3.2611710548401604E-2</c:v>
                </c:pt>
                <c:pt idx="851">
                  <c:v>3.2679896886147558E-2</c:v>
                </c:pt>
                <c:pt idx="852">
                  <c:v>3.2644653031729212E-2</c:v>
                </c:pt>
                <c:pt idx="853">
                  <c:v>3.2473661159686432E-2</c:v>
                </c:pt>
                <c:pt idx="854">
                  <c:v>3.3291962966097634E-2</c:v>
                </c:pt>
                <c:pt idx="855">
                  <c:v>3.2944127164095602E-2</c:v>
                </c:pt>
                <c:pt idx="856">
                  <c:v>3.1833025201481187E-2</c:v>
                </c:pt>
                <c:pt idx="857">
                  <c:v>3.2936236748927317E-2</c:v>
                </c:pt>
                <c:pt idx="858">
                  <c:v>3.2876335347108064E-2</c:v>
                </c:pt>
                <c:pt idx="859">
                  <c:v>3.2581233819814093E-2</c:v>
                </c:pt>
                <c:pt idx="860">
                  <c:v>3.13847838664627E-2</c:v>
                </c:pt>
                <c:pt idx="861">
                  <c:v>2.6030183749613151E-2</c:v>
                </c:pt>
                <c:pt idx="862">
                  <c:v>2.2979979382662104E-2</c:v>
                </c:pt>
                <c:pt idx="863">
                  <c:v>2.3448111139250653E-2</c:v>
                </c:pt>
                <c:pt idx="864">
                  <c:v>2.4407191102956055E-2</c:v>
                </c:pt>
                <c:pt idx="865">
                  <c:v>2.9069473042248068E-2</c:v>
                </c:pt>
                <c:pt idx="866">
                  <c:v>3.4175689464945883E-2</c:v>
                </c:pt>
                <c:pt idx="867">
                  <c:v>3.5436512055378566E-2</c:v>
                </c:pt>
                <c:pt idx="868">
                  <c:v>3.6627964745790047E-2</c:v>
                </c:pt>
                <c:pt idx="869">
                  <c:v>3.63774440641969E-2</c:v>
                </c:pt>
                <c:pt idx="870">
                  <c:v>3.6896896396109193E-2</c:v>
                </c:pt>
                <c:pt idx="871">
                  <c:v>3.7148732146897047E-2</c:v>
                </c:pt>
                <c:pt idx="872">
                  <c:v>3.7323307582495413E-2</c:v>
                </c:pt>
                <c:pt idx="873">
                  <c:v>3.6734485350561931E-2</c:v>
                </c:pt>
                <c:pt idx="874">
                  <c:v>3.6457005750477139E-2</c:v>
                </c:pt>
                <c:pt idx="875">
                  <c:v>3.7558047433751983E-2</c:v>
                </c:pt>
                <c:pt idx="876">
                  <c:v>3.692254024540613E-2</c:v>
                </c:pt>
                <c:pt idx="877">
                  <c:v>3.7175033530791338E-2</c:v>
                </c:pt>
                <c:pt idx="878">
                  <c:v>3.700900604495861E-2</c:v>
                </c:pt>
                <c:pt idx="879">
                  <c:v>3.7359471985350071E-2</c:v>
                </c:pt>
                <c:pt idx="880">
                  <c:v>3.7446595319499919E-2</c:v>
                </c:pt>
                <c:pt idx="881">
                  <c:v>3.6607909940570643E-2</c:v>
                </c:pt>
                <c:pt idx="882">
                  <c:v>3.6538211273250763E-2</c:v>
                </c:pt>
                <c:pt idx="883">
                  <c:v>3.6539855109744161E-2</c:v>
                </c:pt>
                <c:pt idx="884">
                  <c:v>3.5518046345450867E-2</c:v>
                </c:pt>
                <c:pt idx="885">
                  <c:v>3.5960567129472355E-2</c:v>
                </c:pt>
                <c:pt idx="886">
                  <c:v>3.6484293436267468E-2</c:v>
                </c:pt>
                <c:pt idx="887">
                  <c:v>3.7002101931686363E-2</c:v>
                </c:pt>
                <c:pt idx="888">
                  <c:v>3.7097444448303173E-2</c:v>
                </c:pt>
                <c:pt idx="889">
                  <c:v>3.7109937605652961E-2</c:v>
                </c:pt>
                <c:pt idx="890">
                  <c:v>3.729371852561434E-2</c:v>
                </c:pt>
                <c:pt idx="891">
                  <c:v>3.6922211478107446E-2</c:v>
                </c:pt>
                <c:pt idx="892">
                  <c:v>3.8165609401710154E-2</c:v>
                </c:pt>
                <c:pt idx="893">
                  <c:v>3.7627746101071863E-2</c:v>
                </c:pt>
                <c:pt idx="894">
                  <c:v>3.7368019935115709E-2</c:v>
                </c:pt>
                <c:pt idx="895">
                  <c:v>3.680845799276463E-2</c:v>
                </c:pt>
                <c:pt idx="896">
                  <c:v>3.705799237246174E-2</c:v>
                </c:pt>
                <c:pt idx="897">
                  <c:v>3.6440238618244525E-2</c:v>
                </c:pt>
                <c:pt idx="898">
                  <c:v>3.6729882608380428E-2</c:v>
                </c:pt>
                <c:pt idx="899">
                  <c:v>3.7724732454182071E-2</c:v>
                </c:pt>
                <c:pt idx="900">
                  <c:v>3.8022266859486252E-2</c:v>
                </c:pt>
                <c:pt idx="901">
                  <c:v>3.7137554058741973E-2</c:v>
                </c:pt>
                <c:pt idx="902">
                  <c:v>3.7774705083581231E-2</c:v>
                </c:pt>
                <c:pt idx="903">
                  <c:v>3.7765499599218218E-2</c:v>
                </c:pt>
                <c:pt idx="904">
                  <c:v>3.6744677136820968E-2</c:v>
                </c:pt>
                <c:pt idx="905">
                  <c:v>3.7814157159422664E-2</c:v>
                </c:pt>
                <c:pt idx="906">
                  <c:v>3.7303252777276016E-2</c:v>
                </c:pt>
                <c:pt idx="907">
                  <c:v>3.6998814258699574E-2</c:v>
                </c:pt>
                <c:pt idx="908">
                  <c:v>3.6989608774336574E-2</c:v>
                </c:pt>
                <c:pt idx="909">
                  <c:v>3.7382485696257572E-2</c:v>
                </c:pt>
                <c:pt idx="910">
                  <c:v>3.7182266411362269E-2</c:v>
                </c:pt>
                <c:pt idx="911">
                  <c:v>3.6605608569479892E-2</c:v>
                </c:pt>
                <c:pt idx="912">
                  <c:v>3.7313773330833737E-2</c:v>
                </c:pt>
                <c:pt idx="913">
                  <c:v>3.7754321511063144E-2</c:v>
                </c:pt>
                <c:pt idx="914">
                  <c:v>3.7461061080641775E-2</c:v>
                </c:pt>
                <c:pt idx="915">
                  <c:v>3.649810166281197E-2</c:v>
                </c:pt>
                <c:pt idx="916">
                  <c:v>3.7635965283538825E-2</c:v>
                </c:pt>
                <c:pt idx="917">
                  <c:v>3.789404761300158E-2</c:v>
                </c:pt>
                <c:pt idx="918">
                  <c:v>3.7467307659316676E-2</c:v>
                </c:pt>
                <c:pt idx="919">
                  <c:v>3.7642869396811079E-2</c:v>
                </c:pt>
                <c:pt idx="920">
                  <c:v>3.7275307556888328E-2</c:v>
                </c:pt>
                <c:pt idx="921">
                  <c:v>3.7372293909998536E-2</c:v>
                </c:pt>
                <c:pt idx="922">
                  <c:v>3.7500513156483214E-2</c:v>
                </c:pt>
                <c:pt idx="923">
                  <c:v>3.6699307249603311E-2</c:v>
                </c:pt>
                <c:pt idx="924">
                  <c:v>3.7892732543806866E-2</c:v>
                </c:pt>
                <c:pt idx="925">
                  <c:v>3.8135691577530398E-2</c:v>
                </c:pt>
                <c:pt idx="926">
                  <c:v>3.8452294486157952E-2</c:v>
                </c:pt>
                <c:pt idx="927">
                  <c:v>3.7294704827510371E-2</c:v>
                </c:pt>
                <c:pt idx="928">
                  <c:v>3.7156622562065339E-2</c:v>
                </c:pt>
                <c:pt idx="929">
                  <c:v>3.775366397646579E-2</c:v>
                </c:pt>
                <c:pt idx="930">
                  <c:v>3.8243527251497003E-2</c:v>
                </c:pt>
                <c:pt idx="931">
                  <c:v>3.79137736509223E-2</c:v>
                </c:pt>
                <c:pt idx="932">
                  <c:v>3.801897918649947E-2</c:v>
                </c:pt>
                <c:pt idx="933">
                  <c:v>3.8337554698919099E-2</c:v>
                </c:pt>
                <c:pt idx="934">
                  <c:v>3.7912787349026263E-2</c:v>
                </c:pt>
                <c:pt idx="935">
                  <c:v>3.7114540347834464E-2</c:v>
                </c:pt>
                <c:pt idx="936">
                  <c:v>3.9339966192590343E-2</c:v>
                </c:pt>
                <c:pt idx="937">
                  <c:v>3.7833883197343383E-2</c:v>
                </c:pt>
                <c:pt idx="938">
                  <c:v>3.805908879693827E-2</c:v>
                </c:pt>
                <c:pt idx="939">
                  <c:v>3.7790485913917801E-2</c:v>
                </c:pt>
                <c:pt idx="940">
                  <c:v>3.7238485619436323E-2</c:v>
                </c:pt>
                <c:pt idx="941">
                  <c:v>3.759914334608682E-2</c:v>
                </c:pt>
                <c:pt idx="942">
                  <c:v>3.7286485645043409E-2</c:v>
                </c:pt>
                <c:pt idx="943">
                  <c:v>3.8535801380022328E-2</c:v>
                </c:pt>
                <c:pt idx="944">
                  <c:v>3.7771417410594435E-2</c:v>
                </c:pt>
                <c:pt idx="945">
                  <c:v>3.789404761300158E-2</c:v>
                </c:pt>
                <c:pt idx="946">
                  <c:v>3.7385115834647008E-2</c:v>
                </c:pt>
                <c:pt idx="947">
                  <c:v>3.8566376738799452E-2</c:v>
                </c:pt>
                <c:pt idx="948">
                  <c:v>3.8099855941974424E-2</c:v>
                </c:pt>
                <c:pt idx="949">
                  <c:v>3.9476733388840675E-2</c:v>
                </c:pt>
                <c:pt idx="950">
                  <c:v>3.5436840822677243E-2</c:v>
                </c:pt>
                <c:pt idx="951">
                  <c:v>2.6629329274725149E-2</c:v>
                </c:pt>
                <c:pt idx="952">
                  <c:v>2.7178666554087329E-2</c:v>
                </c:pt>
                <c:pt idx="953">
                  <c:v>3.5845169807636142E-2</c:v>
                </c:pt>
                <c:pt idx="954">
                  <c:v>3.9236733260805248E-2</c:v>
                </c:pt>
                <c:pt idx="955">
                  <c:v>4.0770103941842536E-2</c:v>
                </c:pt>
                <c:pt idx="956">
                  <c:v>4.0713555966469805E-2</c:v>
                </c:pt>
                <c:pt idx="957">
                  <c:v>4.1448022111717941E-2</c:v>
                </c:pt>
                <c:pt idx="958">
                  <c:v>4.1150158939115083E-2</c:v>
                </c:pt>
                <c:pt idx="959">
                  <c:v>4.1227748021603242E-2</c:v>
                </c:pt>
                <c:pt idx="960">
                  <c:v>3.9388294985496113E-2</c:v>
                </c:pt>
                <c:pt idx="961">
                  <c:v>4.0668186079252149E-2</c:v>
                </c:pt>
                <c:pt idx="962">
                  <c:v>3.9594432081767633E-2</c:v>
                </c:pt>
                <c:pt idx="963">
                  <c:v>3.998961037477939E-2</c:v>
                </c:pt>
                <c:pt idx="964">
                  <c:v>3.9523089577954362E-2</c:v>
                </c:pt>
                <c:pt idx="965">
                  <c:v>4.0056678903709828E-2</c:v>
                </c:pt>
                <c:pt idx="966">
                  <c:v>4.0681994305796651E-2</c:v>
                </c:pt>
                <c:pt idx="967">
                  <c:v>4.1254706940094893E-2</c:v>
                </c:pt>
                <c:pt idx="968">
                  <c:v>4.1000241050917603E-2</c:v>
                </c:pt>
                <c:pt idx="969">
                  <c:v>4.1559145458671336E-2</c:v>
                </c:pt>
                <c:pt idx="970">
                  <c:v>4.0922651968429438E-2</c:v>
                </c:pt>
                <c:pt idx="971">
                  <c:v>4.1166268536750331E-2</c:v>
                </c:pt>
                <c:pt idx="972">
                  <c:v>4.1069282183640116E-2</c:v>
                </c:pt>
                <c:pt idx="973">
                  <c:v>4.116955620973712E-2</c:v>
                </c:pt>
                <c:pt idx="974">
                  <c:v>4.2419858246612076E-2</c:v>
                </c:pt>
                <c:pt idx="975">
                  <c:v>4.175114556109967E-2</c:v>
                </c:pt>
                <c:pt idx="976">
                  <c:v>4.1146871266128288E-2</c:v>
                </c:pt>
                <c:pt idx="977">
                  <c:v>4.0778323124309498E-2</c:v>
                </c:pt>
                <c:pt idx="978">
                  <c:v>4.1425994702706477E-2</c:v>
                </c:pt>
                <c:pt idx="979">
                  <c:v>4.178533736016226E-2</c:v>
                </c:pt>
                <c:pt idx="980">
                  <c:v>4.159004958474713E-2</c:v>
                </c:pt>
                <c:pt idx="981">
                  <c:v>4.2111803287750167E-2</c:v>
                </c:pt>
                <c:pt idx="982">
                  <c:v>4.1162652096464865E-2</c:v>
                </c:pt>
                <c:pt idx="983">
                  <c:v>4.164002221414629E-2</c:v>
                </c:pt>
                <c:pt idx="984">
                  <c:v>4.2112132055048851E-2</c:v>
                </c:pt>
                <c:pt idx="985">
                  <c:v>4.0649117575928789E-2</c:v>
                </c:pt>
                <c:pt idx="986">
                  <c:v>4.2257775968363498E-2</c:v>
                </c:pt>
                <c:pt idx="987">
                  <c:v>4.1528241332595542E-2</c:v>
                </c:pt>
                <c:pt idx="988">
                  <c:v>4.1781720919876794E-2</c:v>
                </c:pt>
                <c:pt idx="989">
                  <c:v>4.1402980991798975E-2</c:v>
                </c:pt>
                <c:pt idx="990">
                  <c:v>4.2367255478823487E-2</c:v>
                </c:pt>
                <c:pt idx="991">
                  <c:v>4.1001227352813641E-2</c:v>
                </c:pt>
                <c:pt idx="992">
                  <c:v>4.0671144984940254E-2</c:v>
                </c:pt>
                <c:pt idx="993">
                  <c:v>4.2579639153769909E-2</c:v>
                </c:pt>
                <c:pt idx="994">
                  <c:v>4.4550270342049829E-2</c:v>
                </c:pt>
                <c:pt idx="995">
                  <c:v>2.8583489221341268E-2</c:v>
                </c:pt>
                <c:pt idx="996">
                  <c:v>3.0980137075248996E-2</c:v>
                </c:pt>
                <c:pt idx="997">
                  <c:v>3.9861391128294711E-2</c:v>
                </c:pt>
                <c:pt idx="998">
                  <c:v>4.2117063564529031E-2</c:v>
                </c:pt>
                <c:pt idx="999">
                  <c:v>4.3177338102767721E-2</c:v>
                </c:pt>
                <c:pt idx="1000">
                  <c:v>4.2337008887345054E-2</c:v>
                </c:pt>
                <c:pt idx="1001">
                  <c:v>4.2442543190220901E-2</c:v>
                </c:pt>
                <c:pt idx="1002">
                  <c:v>4.4094270098782522E-2</c:v>
                </c:pt>
                <c:pt idx="1003">
                  <c:v>4.2889995483722569E-2</c:v>
                </c:pt>
                <c:pt idx="1004">
                  <c:v>4.3546215011885187E-2</c:v>
                </c:pt>
                <c:pt idx="1005">
                  <c:v>4.2866324238217707E-2</c:v>
                </c:pt>
                <c:pt idx="1006">
                  <c:v>4.2736461155239637E-2</c:v>
                </c:pt>
                <c:pt idx="1007">
                  <c:v>4.2902488641072357E-2</c:v>
                </c:pt>
                <c:pt idx="1008">
                  <c:v>4.3870379568382342E-2</c:v>
                </c:pt>
                <c:pt idx="1009">
                  <c:v>4.2440899353727517E-2</c:v>
                </c:pt>
                <c:pt idx="1010">
                  <c:v>4.293174893065476E-2</c:v>
                </c:pt>
                <c:pt idx="1011">
                  <c:v>4.2528351455176042E-2</c:v>
                </c:pt>
                <c:pt idx="1012">
                  <c:v>4.2938653043927008E-2</c:v>
                </c:pt>
                <c:pt idx="1013">
                  <c:v>4.3731311001041273E-2</c:v>
                </c:pt>
                <c:pt idx="1014">
                  <c:v>4.2670378928205223E-2</c:v>
                </c:pt>
                <c:pt idx="1015">
                  <c:v>4.3338105311821591E-2</c:v>
                </c:pt>
                <c:pt idx="1016">
                  <c:v>4.2739748828226419E-2</c:v>
                </c:pt>
                <c:pt idx="1017">
                  <c:v>4.2642762475116211E-2</c:v>
                </c:pt>
                <c:pt idx="1018">
                  <c:v>4.2814379005026472E-2</c:v>
                </c:pt>
                <c:pt idx="1019">
                  <c:v>4.2903146175669718E-2</c:v>
                </c:pt>
                <c:pt idx="1020">
                  <c:v>4.3664900006708182E-2</c:v>
                </c:pt>
                <c:pt idx="1021">
                  <c:v>4.4079475570341982E-2</c:v>
                </c:pt>
                <c:pt idx="1022">
                  <c:v>4.3596845175881693E-2</c:v>
                </c:pt>
                <c:pt idx="1023">
                  <c:v>4.2715748815422873E-2</c:v>
                </c:pt>
                <c:pt idx="1024">
                  <c:v>4.3524516370172392E-2</c:v>
                </c:pt>
                <c:pt idx="1025">
                  <c:v>4.2789063923028219E-2</c:v>
                </c:pt>
                <c:pt idx="1026">
                  <c:v>4.3274981990475282E-2</c:v>
                </c:pt>
                <c:pt idx="1027">
                  <c:v>4.3494927313291312E-2</c:v>
                </c:pt>
                <c:pt idx="1028">
                  <c:v>4.3131639448251387E-2</c:v>
                </c:pt>
                <c:pt idx="1029">
                  <c:v>4.2740735130122456E-2</c:v>
                </c:pt>
                <c:pt idx="1030">
                  <c:v>4.3728023328054477E-2</c:v>
                </c:pt>
                <c:pt idx="1031">
                  <c:v>4.3515310885809393E-2</c:v>
                </c:pt>
                <c:pt idx="1032">
                  <c:v>4.3359146418937025E-2</c:v>
                </c:pt>
                <c:pt idx="1033">
                  <c:v>4.3785557605323246E-2</c:v>
                </c:pt>
                <c:pt idx="1034">
                  <c:v>4.3389721777714135E-2</c:v>
                </c:pt>
                <c:pt idx="1035">
                  <c:v>4.3451858797164407E-2</c:v>
                </c:pt>
                <c:pt idx="1036">
                  <c:v>4.3389721777714135E-2</c:v>
                </c:pt>
                <c:pt idx="1037">
                  <c:v>4.4147201633869787E-2</c:v>
                </c:pt>
                <c:pt idx="1038">
                  <c:v>4.3845393253682766E-2</c:v>
                </c:pt>
                <c:pt idx="1039">
                  <c:v>4.4587092279501833E-2</c:v>
                </c:pt>
                <c:pt idx="1040">
                  <c:v>4.566216134618107E-2</c:v>
                </c:pt>
                <c:pt idx="1041">
                  <c:v>3.1066175477313201E-2</c:v>
                </c:pt>
                <c:pt idx="1042">
                  <c:v>4.2543803518213942E-2</c:v>
                </c:pt>
                <c:pt idx="1043">
                  <c:v>4.4895147238363749E-2</c:v>
                </c:pt>
                <c:pt idx="1044">
                  <c:v>4.4658434783315111E-2</c:v>
                </c:pt>
                <c:pt idx="1045">
                  <c:v>4.5018763742666924E-2</c:v>
                </c:pt>
                <c:pt idx="1046">
                  <c:v>4.3699091805770758E-2</c:v>
                </c:pt>
                <c:pt idx="1047">
                  <c:v>4.4112023532911167E-2</c:v>
                </c:pt>
                <c:pt idx="1048">
                  <c:v>4.4974051390046628E-2</c:v>
                </c:pt>
                <c:pt idx="1049">
                  <c:v>4.5119366536062591E-2</c:v>
                </c:pt>
                <c:pt idx="1050">
                  <c:v>4.4962544534592877E-2</c:v>
                </c:pt>
                <c:pt idx="1051">
                  <c:v>4.3033995560543818E-2</c:v>
                </c:pt>
                <c:pt idx="1052">
                  <c:v>4.4658106016016434E-2</c:v>
                </c:pt>
                <c:pt idx="1053">
                  <c:v>4.5271585795350816E-2</c:v>
                </c:pt>
                <c:pt idx="1054">
                  <c:v>4.4384571623515778E-2</c:v>
                </c:pt>
                <c:pt idx="1055">
                  <c:v>4.5199256989641508E-2</c:v>
                </c:pt>
                <c:pt idx="1056">
                  <c:v>4.3469940998591736E-2</c:v>
                </c:pt>
                <c:pt idx="1057">
                  <c:v>4.2234433490157312E-2</c:v>
                </c:pt>
                <c:pt idx="1058">
                  <c:v>4.4846489678159303E-2</c:v>
                </c:pt>
                <c:pt idx="1059">
                  <c:v>4.4092626262289124E-2</c:v>
                </c:pt>
                <c:pt idx="1060">
                  <c:v>4.4264571559498068E-2</c:v>
                </c:pt>
                <c:pt idx="1061">
                  <c:v>4.4873119829352277E-2</c:v>
                </c:pt>
                <c:pt idx="1062">
                  <c:v>4.4682106028819973E-2</c:v>
                </c:pt>
                <c:pt idx="1063">
                  <c:v>4.5248900851741991E-2</c:v>
                </c:pt>
                <c:pt idx="1064">
                  <c:v>4.4162324929609004E-2</c:v>
                </c:pt>
                <c:pt idx="1065">
                  <c:v>4.5371859821447806E-2</c:v>
                </c:pt>
                <c:pt idx="1066">
                  <c:v>4.4538105951998717E-2</c:v>
                </c:pt>
                <c:pt idx="1067">
                  <c:v>4.4957613025112697E-2</c:v>
                </c:pt>
                <c:pt idx="1068">
                  <c:v>4.5219969329458272E-2</c:v>
                </c:pt>
                <c:pt idx="1069">
                  <c:v>4.5248900851741991E-2</c:v>
                </c:pt>
                <c:pt idx="1070">
                  <c:v>4.4501941549144067E-2</c:v>
                </c:pt>
                <c:pt idx="1071">
                  <c:v>4.6040243739661535E-2</c:v>
                </c:pt>
                <c:pt idx="1072">
                  <c:v>4.6090216369060695E-2</c:v>
                </c:pt>
                <c:pt idx="1073">
                  <c:v>4.4941832194776113E-2</c:v>
                </c:pt>
                <c:pt idx="1074">
                  <c:v>5.2849014495296685E-2</c:v>
                </c:pt>
                <c:pt idx="1075">
                  <c:v>3.5925389028513735E-2</c:v>
                </c:pt>
                <c:pt idx="1076">
                  <c:v>4.0649117575928789E-2</c:v>
                </c:pt>
                <c:pt idx="1077">
                  <c:v>4.5608243509197774E-2</c:v>
                </c:pt>
                <c:pt idx="1078">
                  <c:v>4.5314325544179045E-2</c:v>
                </c:pt>
                <c:pt idx="1079">
                  <c:v>4.4830708847822726E-2</c:v>
                </c:pt>
                <c:pt idx="1080">
                  <c:v>4.5866325838660529E-2</c:v>
                </c:pt>
                <c:pt idx="1081">
                  <c:v>4.5793668265652537E-2</c:v>
                </c:pt>
                <c:pt idx="1082">
                  <c:v>4.5863038165673733E-2</c:v>
                </c:pt>
                <c:pt idx="1083">
                  <c:v>4.4480900442028633E-2</c:v>
                </c:pt>
                <c:pt idx="1084">
                  <c:v>4.7746217252505121E-2</c:v>
                </c:pt>
                <c:pt idx="1085">
                  <c:v>4.1025884900214547E-2</c:v>
                </c:pt>
                <c:pt idx="1086">
                  <c:v>4.2938981811225692E-2</c:v>
                </c:pt>
                <c:pt idx="1087">
                  <c:v>4.6418654900440677E-2</c:v>
                </c:pt>
                <c:pt idx="1088">
                  <c:v>4.6473559039320017E-2</c:v>
                </c:pt>
                <c:pt idx="1089">
                  <c:v>4.6242435628348913E-2</c:v>
                </c:pt>
                <c:pt idx="1090">
                  <c:v>4.6150709552017569E-2</c:v>
                </c:pt>
                <c:pt idx="1091">
                  <c:v>4.6728682463094653E-2</c:v>
                </c:pt>
                <c:pt idx="1092">
                  <c:v>4.5890654618762745E-2</c:v>
                </c:pt>
                <c:pt idx="1093">
                  <c:v>4.650314809620109E-2</c:v>
                </c:pt>
                <c:pt idx="1094">
                  <c:v>4.6028079349610423E-2</c:v>
                </c:pt>
                <c:pt idx="1095">
                  <c:v>4.5907750518294037E-2</c:v>
                </c:pt>
                <c:pt idx="1096">
                  <c:v>4.6513997417057494E-2</c:v>
                </c:pt>
                <c:pt idx="1097">
                  <c:v>4.5507969483100784E-2</c:v>
                </c:pt>
                <c:pt idx="1098">
                  <c:v>4.634862746582212E-2</c:v>
                </c:pt>
                <c:pt idx="1099">
                  <c:v>4.5759147699291278E-2</c:v>
                </c:pt>
                <c:pt idx="1100">
                  <c:v>4.6092188972852763E-2</c:v>
                </c:pt>
                <c:pt idx="1101">
                  <c:v>4.6829942791087681E-2</c:v>
                </c:pt>
                <c:pt idx="1102">
                  <c:v>4.5426106425729793E-2</c:v>
                </c:pt>
                <c:pt idx="1103">
                  <c:v>4.6414709692856541E-2</c:v>
                </c:pt>
                <c:pt idx="1104">
                  <c:v>4.6055367035400752E-2</c:v>
                </c:pt>
                <c:pt idx="1105">
                  <c:v>4.6891093508641922E-2</c:v>
                </c:pt>
                <c:pt idx="1106">
                  <c:v>4.6935148326664865E-2</c:v>
                </c:pt>
                <c:pt idx="1107">
                  <c:v>4.692265516931507E-2</c:v>
                </c:pt>
                <c:pt idx="1108">
                  <c:v>4.7104792252783051E-2</c:v>
                </c:pt>
                <c:pt idx="1109">
                  <c:v>4.6584024851676044E-2</c:v>
                </c:pt>
                <c:pt idx="1110">
                  <c:v>4.5940298480863215E-2</c:v>
                </c:pt>
                <c:pt idx="1111">
                  <c:v>4.625262741460795E-2</c:v>
                </c:pt>
                <c:pt idx="1112">
                  <c:v>4.5831805272299263E-2</c:v>
                </c:pt>
                <c:pt idx="1113">
                  <c:v>4.6901285294900966E-2</c:v>
                </c:pt>
                <c:pt idx="1114">
                  <c:v>4.70686278499284E-2</c:v>
                </c:pt>
                <c:pt idx="1115">
                  <c:v>4.6433778196179894E-2</c:v>
                </c:pt>
                <c:pt idx="1116">
                  <c:v>4.7225121084099445E-2</c:v>
                </c:pt>
                <c:pt idx="1117">
                  <c:v>4.6303257578604463E-2</c:v>
                </c:pt>
                <c:pt idx="1118">
                  <c:v>4.5706544931502689E-2</c:v>
                </c:pt>
                <c:pt idx="1119">
                  <c:v>4.5268955656961388E-2</c:v>
                </c:pt>
                <c:pt idx="1120">
                  <c:v>4.6844408552229551E-2</c:v>
                </c:pt>
                <c:pt idx="1121">
                  <c:v>4.6670490651228538E-2</c:v>
                </c:pt>
                <c:pt idx="1122">
                  <c:v>5.6837290595567566E-2</c:v>
                </c:pt>
                <c:pt idx="1123">
                  <c:v>3.5908293128982444E-2</c:v>
                </c:pt>
                <c:pt idx="1124">
                  <c:v>4.5012517163992023E-2</c:v>
                </c:pt>
                <c:pt idx="1125">
                  <c:v>4.6189504093261648E-2</c:v>
                </c:pt>
                <c:pt idx="1126">
                  <c:v>4.6966381220039335E-2</c:v>
                </c:pt>
                <c:pt idx="1127">
                  <c:v>4.6494600146435451E-2</c:v>
                </c:pt>
                <c:pt idx="1128">
                  <c:v>4.6467312460645123E-2</c:v>
                </c:pt>
                <c:pt idx="1129">
                  <c:v>4.7930984474362538E-2</c:v>
                </c:pt>
                <c:pt idx="1130">
                  <c:v>4.4397722315462934E-2</c:v>
                </c:pt>
                <c:pt idx="1131">
                  <c:v>4.602742181501307E-2</c:v>
                </c:pt>
                <c:pt idx="1132">
                  <c:v>4.7521340420208918E-2</c:v>
                </c:pt>
                <c:pt idx="1133">
                  <c:v>4.8046381796198752E-2</c:v>
                </c:pt>
                <c:pt idx="1134">
                  <c:v>4.6973614100610267E-2</c:v>
                </c:pt>
                <c:pt idx="1135">
                  <c:v>4.7541723992726992E-2</c:v>
                </c:pt>
                <c:pt idx="1136">
                  <c:v>4.6690216689149258E-2</c:v>
                </c:pt>
                <c:pt idx="1137">
                  <c:v>4.7157066253272963E-2</c:v>
                </c:pt>
                <c:pt idx="1138">
                  <c:v>4.6524189203316524E-2</c:v>
                </c:pt>
                <c:pt idx="1139">
                  <c:v>4.6973614100610267E-2</c:v>
                </c:pt>
                <c:pt idx="1140">
                  <c:v>4.6419641202336721E-2</c:v>
                </c:pt>
                <c:pt idx="1141">
                  <c:v>4.6360463088574555E-2</c:v>
                </c:pt>
                <c:pt idx="1142">
                  <c:v>4.6918052427133566E-2</c:v>
                </c:pt>
                <c:pt idx="1143">
                  <c:v>4.7365504720635228E-2</c:v>
                </c:pt>
                <c:pt idx="1144">
                  <c:v>4.7327038946689826E-2</c:v>
                </c:pt>
                <c:pt idx="1145">
                  <c:v>4.690786064087453E-2</c:v>
                </c:pt>
                <c:pt idx="1146">
                  <c:v>4.7062052503954822E-2</c:v>
                </c:pt>
                <c:pt idx="1147">
                  <c:v>4.7417449953826463E-2</c:v>
                </c:pt>
                <c:pt idx="1148">
                  <c:v>4.6852298967397836E-2</c:v>
                </c:pt>
                <c:pt idx="1149">
                  <c:v>4.7952683116075326E-2</c:v>
                </c:pt>
                <c:pt idx="1150">
                  <c:v>4.8406710755550565E-2</c:v>
                </c:pt>
                <c:pt idx="1151">
                  <c:v>4.6589613895753584E-2</c:v>
                </c:pt>
                <c:pt idx="1152">
                  <c:v>4.5768024416355593E-2</c:v>
                </c:pt>
                <c:pt idx="1153">
                  <c:v>4.8401121711473025E-2</c:v>
                </c:pt>
                <c:pt idx="1154">
                  <c:v>4.7847806347796833E-2</c:v>
                </c:pt>
                <c:pt idx="1155">
                  <c:v>4.8444518994898614E-2</c:v>
                </c:pt>
                <c:pt idx="1156">
                  <c:v>4.5409996828094538E-2</c:v>
                </c:pt>
                <c:pt idx="1157">
                  <c:v>4.8106546211856942E-2</c:v>
                </c:pt>
                <c:pt idx="1158">
                  <c:v>4.8500080668375307E-2</c:v>
                </c:pt>
                <c:pt idx="1159">
                  <c:v>4.6794435922830391E-2</c:v>
                </c:pt>
                <c:pt idx="1160">
                  <c:v>4.8227203810472019E-2</c:v>
                </c:pt>
                <c:pt idx="1161">
                  <c:v>4.8040792752121204E-2</c:v>
                </c:pt>
                <c:pt idx="1162">
                  <c:v>4.7619313075215164E-2</c:v>
                </c:pt>
                <c:pt idx="1163">
                  <c:v>4.728298412866689E-2</c:v>
                </c:pt>
                <c:pt idx="1164">
                  <c:v>4.7540408923532285E-2</c:v>
                </c:pt>
                <c:pt idx="1165">
                  <c:v>4.8316628515712612E-2</c:v>
                </c:pt>
                <c:pt idx="1166">
                  <c:v>4.6840463344645401E-2</c:v>
                </c:pt>
                <c:pt idx="1167">
                  <c:v>4.7888902260131663E-2</c:v>
                </c:pt>
                <c:pt idx="1168">
                  <c:v>4.8314984679219221E-2</c:v>
                </c:pt>
                <c:pt idx="1169">
                  <c:v>5.0002547223336802E-2</c:v>
                </c:pt>
                <c:pt idx="1170">
                  <c:v>4.5302489921426617E-2</c:v>
                </c:pt>
                <c:pt idx="1171">
                  <c:v>4.7438491060941897E-2</c:v>
                </c:pt>
                <c:pt idx="1172">
                  <c:v>4.7757724107958879E-2</c:v>
                </c:pt>
                <c:pt idx="1173">
                  <c:v>4.8252190125171596E-2</c:v>
                </c:pt>
                <c:pt idx="1174">
                  <c:v>4.8457340919547079E-2</c:v>
                </c:pt>
                <c:pt idx="1175">
                  <c:v>4.7847148813199472E-2</c:v>
                </c:pt>
                <c:pt idx="1176">
                  <c:v>4.7554545917375457E-2</c:v>
                </c:pt>
                <c:pt idx="1177">
                  <c:v>4.7309285512561181E-2</c:v>
                </c:pt>
                <c:pt idx="1178">
                  <c:v>4.8142710614711599E-2</c:v>
                </c:pt>
                <c:pt idx="1179">
                  <c:v>4.8751916419163162E-2</c:v>
                </c:pt>
                <c:pt idx="1180">
                  <c:v>4.769920352879408E-2</c:v>
                </c:pt>
                <c:pt idx="1181">
                  <c:v>4.7799806322189747E-2</c:v>
                </c:pt>
                <c:pt idx="1182">
                  <c:v>4.9137231693214559E-2</c:v>
                </c:pt>
                <c:pt idx="1183">
                  <c:v>4.6628408436997663E-2</c:v>
                </c:pt>
                <c:pt idx="1184">
                  <c:v>4.8284080553143427E-2</c:v>
                </c:pt>
                <c:pt idx="1185">
                  <c:v>4.8349176478281797E-2</c:v>
                </c:pt>
                <c:pt idx="1186">
                  <c:v>4.8195313382500188E-2</c:v>
                </c:pt>
                <c:pt idx="1187">
                  <c:v>4.6842764715736153E-2</c:v>
                </c:pt>
                <c:pt idx="1188">
                  <c:v>4.7841231001823262E-2</c:v>
                </c:pt>
                <c:pt idx="1189">
                  <c:v>4.8442546391106539E-2</c:v>
                </c:pt>
                <c:pt idx="1190">
                  <c:v>4.8859094558532407E-2</c:v>
                </c:pt>
                <c:pt idx="1191">
                  <c:v>4.8070381809002291E-2</c:v>
                </c:pt>
                <c:pt idx="1192">
                  <c:v>4.7661395289446025E-2</c:v>
                </c:pt>
                <c:pt idx="1193">
                  <c:v>4.7590052785632761E-2</c:v>
                </c:pt>
                <c:pt idx="1194">
                  <c:v>4.7439477362837934E-2</c:v>
                </c:pt>
                <c:pt idx="1195">
                  <c:v>4.8256135332755738E-2</c:v>
                </c:pt>
                <c:pt idx="1196">
                  <c:v>4.9871369071164018E-2</c:v>
                </c:pt>
                <c:pt idx="1197">
                  <c:v>4.7632463767162306E-2</c:v>
                </c:pt>
                <c:pt idx="1198">
                  <c:v>4.8307094264050936E-2</c:v>
                </c:pt>
                <c:pt idx="1199">
                  <c:v>4.7298107424406106E-2</c:v>
                </c:pt>
                <c:pt idx="1200">
                  <c:v>4.9055368635843567E-2</c:v>
                </c:pt>
                <c:pt idx="1201">
                  <c:v>4.6543586473938567E-2</c:v>
                </c:pt>
                <c:pt idx="1202">
                  <c:v>4.8265998351716098E-2</c:v>
                </c:pt>
                <c:pt idx="1203">
                  <c:v>4.9364738663900197E-2</c:v>
                </c:pt>
                <c:pt idx="1204">
                  <c:v>4.7471039023511082E-2</c:v>
                </c:pt>
                <c:pt idx="1205">
                  <c:v>4.8613834153718123E-2</c:v>
                </c:pt>
                <c:pt idx="1206">
                  <c:v>4.827914904366324E-2</c:v>
                </c:pt>
                <c:pt idx="1207">
                  <c:v>4.7960244763944941E-2</c:v>
                </c:pt>
                <c:pt idx="1208">
                  <c:v>4.8651642393066165E-2</c:v>
                </c:pt>
                <c:pt idx="1209">
                  <c:v>4.8492190253207022E-2</c:v>
                </c:pt>
                <c:pt idx="1210">
                  <c:v>4.7766929592321886E-2</c:v>
                </c:pt>
                <c:pt idx="1211">
                  <c:v>5.02152596655819E-2</c:v>
                </c:pt>
                <c:pt idx="1212">
                  <c:v>4.6400243931714678E-2</c:v>
                </c:pt>
                <c:pt idx="1213">
                  <c:v>4.8324847698179581E-2</c:v>
                </c:pt>
                <c:pt idx="1214">
                  <c:v>4.8217998326109013E-2</c:v>
                </c:pt>
                <c:pt idx="1215">
                  <c:v>4.8605614971251154E-2</c:v>
                </c:pt>
                <c:pt idx="1216">
                  <c:v>4.8050655771081564E-2</c:v>
                </c:pt>
                <c:pt idx="1217">
                  <c:v>4.8362327170228946E-2</c:v>
                </c:pt>
                <c:pt idx="1218">
                  <c:v>4.7985559845943195E-2</c:v>
                </c:pt>
                <c:pt idx="1219">
                  <c:v>5.0578218763323142E-2</c:v>
                </c:pt>
                <c:pt idx="1220">
                  <c:v>4.6506107001889209E-2</c:v>
                </c:pt>
                <c:pt idx="1221">
                  <c:v>4.8808135627237209E-2</c:v>
                </c:pt>
                <c:pt idx="1222">
                  <c:v>4.8681888984544605E-2</c:v>
                </c:pt>
                <c:pt idx="1223">
                  <c:v>4.9464355155399826E-2</c:v>
                </c:pt>
                <c:pt idx="1224">
                  <c:v>4.7910600901844465E-2</c:v>
                </c:pt>
                <c:pt idx="1225">
                  <c:v>4.8445505296794644E-2</c:v>
                </c:pt>
                <c:pt idx="1226">
                  <c:v>5.037043783055823E-2</c:v>
                </c:pt>
                <c:pt idx="1227">
                  <c:v>4.8105231142662228E-2</c:v>
                </c:pt>
                <c:pt idx="1228">
                  <c:v>4.8621395801587731E-2</c:v>
                </c:pt>
                <c:pt idx="1229">
                  <c:v>4.915925910222603E-2</c:v>
                </c:pt>
                <c:pt idx="1230">
                  <c:v>4.9481779822229795E-2</c:v>
                </c:pt>
                <c:pt idx="1231">
                  <c:v>4.8898546634373846E-2</c:v>
                </c:pt>
                <c:pt idx="1232">
                  <c:v>4.9373286613665836E-2</c:v>
                </c:pt>
                <c:pt idx="1233">
                  <c:v>4.8355094289658014E-2</c:v>
                </c:pt>
                <c:pt idx="1234">
                  <c:v>4.9007368610236482E-2</c:v>
                </c:pt>
                <c:pt idx="1235">
                  <c:v>4.8573395775980646E-2</c:v>
                </c:pt>
                <c:pt idx="1236">
                  <c:v>4.9000793264262911E-2</c:v>
                </c:pt>
                <c:pt idx="1237">
                  <c:v>4.7232353964670376E-2</c:v>
                </c:pt>
                <c:pt idx="1238">
                  <c:v>4.8468519007702153E-2</c:v>
                </c:pt>
                <c:pt idx="1239">
                  <c:v>5.0970438150646794E-2</c:v>
                </c:pt>
                <c:pt idx="1240">
                  <c:v>4.7865559781925485E-2</c:v>
                </c:pt>
                <c:pt idx="1241">
                  <c:v>4.8928135691254926E-2</c:v>
                </c:pt>
                <c:pt idx="1242">
                  <c:v>4.89547658424479E-2</c:v>
                </c:pt>
                <c:pt idx="1243">
                  <c:v>4.8716080783607188E-2</c:v>
                </c:pt>
                <c:pt idx="1244">
                  <c:v>4.8212080514732795E-2</c:v>
                </c:pt>
                <c:pt idx="1245">
                  <c:v>4.9571533294769064E-2</c:v>
                </c:pt>
                <c:pt idx="1246">
                  <c:v>4.9800355334649424E-2</c:v>
                </c:pt>
                <c:pt idx="1247">
                  <c:v>4.7772847403698103E-2</c:v>
                </c:pt>
                <c:pt idx="1248">
                  <c:v>5.0136684281197698E-2</c:v>
                </c:pt>
                <c:pt idx="1249">
                  <c:v>4.7675203515990541E-2</c:v>
                </c:pt>
                <c:pt idx="1250">
                  <c:v>4.9339094814603267E-2</c:v>
                </c:pt>
                <c:pt idx="1251">
                  <c:v>5.1028958729811592E-2</c:v>
                </c:pt>
                <c:pt idx="1252">
                  <c:v>4.7119915548522268E-2</c:v>
                </c:pt>
                <c:pt idx="1253">
                  <c:v>4.9851971800541975E-2</c:v>
                </c:pt>
                <c:pt idx="1254">
                  <c:v>4.8362327170228946E-2</c:v>
                </c:pt>
                <c:pt idx="1255">
                  <c:v>4.9124409768566094E-2</c:v>
                </c:pt>
                <c:pt idx="1256">
                  <c:v>4.8342929899606903E-2</c:v>
                </c:pt>
                <c:pt idx="1257">
                  <c:v>4.8918601439593243E-2</c:v>
                </c:pt>
                <c:pt idx="1258">
                  <c:v>4.9209560498923867E-2</c:v>
                </c:pt>
                <c:pt idx="1259">
                  <c:v>4.9057341239635642E-2</c:v>
                </c:pt>
                <c:pt idx="1260">
                  <c:v>4.9093176875191616E-2</c:v>
                </c:pt>
                <c:pt idx="1261">
                  <c:v>5.0236958307294688E-2</c:v>
                </c:pt>
                <c:pt idx="1262">
                  <c:v>4.9466985293789262E-2</c:v>
                </c:pt>
                <c:pt idx="1263">
                  <c:v>4.9338766047304576E-2</c:v>
                </c:pt>
                <c:pt idx="1264">
                  <c:v>4.9667533345983242E-2</c:v>
                </c:pt>
                <c:pt idx="1265">
                  <c:v>4.9926930744640705E-2</c:v>
                </c:pt>
                <c:pt idx="1266">
                  <c:v>4.9320683845877247E-2</c:v>
                </c:pt>
                <c:pt idx="1267">
                  <c:v>4.9669834717074E-2</c:v>
                </c:pt>
                <c:pt idx="1268">
                  <c:v>4.9668190880580602E-2</c:v>
                </c:pt>
                <c:pt idx="1269">
                  <c:v>4.7866217316522838E-2</c:v>
                </c:pt>
                <c:pt idx="1270">
                  <c:v>4.948934147009941E-2</c:v>
                </c:pt>
                <c:pt idx="1271">
                  <c:v>4.9151697454356422E-2</c:v>
                </c:pt>
                <c:pt idx="1272">
                  <c:v>4.9198053643470109E-2</c:v>
                </c:pt>
                <c:pt idx="1273">
                  <c:v>4.9582053848326799E-2</c:v>
                </c:pt>
                <c:pt idx="1274">
                  <c:v>4.9310820826916887E-2</c:v>
                </c:pt>
                <c:pt idx="1275">
                  <c:v>5.0335588496898294E-2</c:v>
                </c:pt>
                <c:pt idx="1276">
                  <c:v>4.9302601644449918E-2</c:v>
                </c:pt>
                <c:pt idx="1277">
                  <c:v>5.0358602207805789E-2</c:v>
                </c:pt>
                <c:pt idx="1278">
                  <c:v>4.8990930245302551E-2</c:v>
                </c:pt>
                <c:pt idx="1279">
                  <c:v>4.8124628413284271E-2</c:v>
                </c:pt>
                <c:pt idx="1280">
                  <c:v>4.9920026631368457E-2</c:v>
                </c:pt>
                <c:pt idx="1281">
                  <c:v>4.9492629143086199E-2</c:v>
                </c:pt>
                <c:pt idx="1282">
                  <c:v>4.8162107885333635E-2</c:v>
                </c:pt>
                <c:pt idx="1283">
                  <c:v>4.9105998799840088E-2</c:v>
                </c:pt>
                <c:pt idx="1284">
                  <c:v>5.0755095570012267E-2</c:v>
                </c:pt>
                <c:pt idx="1285">
                  <c:v>4.7997395468695622E-2</c:v>
                </c:pt>
                <c:pt idx="1286">
                  <c:v>4.9401560601352201E-2</c:v>
                </c:pt>
                <c:pt idx="1287">
                  <c:v>4.956462918149683E-2</c:v>
                </c:pt>
                <c:pt idx="1288">
                  <c:v>5.1828192032899435E-2</c:v>
                </c:pt>
                <c:pt idx="1289">
                  <c:v>4.9649451144555913E-2</c:v>
                </c:pt>
                <c:pt idx="1290">
                  <c:v>4.895410830785054E-2</c:v>
                </c:pt>
                <c:pt idx="1291">
                  <c:v>4.985986221571026E-2</c:v>
                </c:pt>
                <c:pt idx="1292">
                  <c:v>4.8562875222422933E-2</c:v>
                </c:pt>
                <c:pt idx="1293">
                  <c:v>4.941405375870199E-2</c:v>
                </c:pt>
                <c:pt idx="1294">
                  <c:v>4.9751040239847624E-2</c:v>
                </c:pt>
                <c:pt idx="1295">
                  <c:v>4.9463040086205112E-2</c:v>
                </c:pt>
                <c:pt idx="1296">
                  <c:v>5.064068455007209E-2</c:v>
                </c:pt>
                <c:pt idx="1297">
                  <c:v>4.9046820686077922E-2</c:v>
                </c:pt>
                <c:pt idx="1298">
                  <c:v>4.988024578822834E-2</c:v>
                </c:pt>
                <c:pt idx="1299">
                  <c:v>4.9537999030303849E-2</c:v>
                </c:pt>
                <c:pt idx="1300">
                  <c:v>5.0042328066476918E-2</c:v>
                </c:pt>
                <c:pt idx="1301">
                  <c:v>4.9408793481923133E-2</c:v>
                </c:pt>
                <c:pt idx="1302">
                  <c:v>4.9304245480943316E-2</c:v>
                </c:pt>
                <c:pt idx="1303">
                  <c:v>4.9817122466882031E-2</c:v>
                </c:pt>
                <c:pt idx="1304">
                  <c:v>5.1563863124761779E-2</c:v>
                </c:pt>
                <c:pt idx="1305">
                  <c:v>4.7660408987549994E-2</c:v>
                </c:pt>
                <c:pt idx="1306">
                  <c:v>4.9778656692936636E-2</c:v>
                </c:pt>
                <c:pt idx="1307">
                  <c:v>4.8530984794451101E-2</c:v>
                </c:pt>
                <c:pt idx="1308">
                  <c:v>4.9696136100968284E-2</c:v>
                </c:pt>
                <c:pt idx="1309">
                  <c:v>4.9830930693426541E-2</c:v>
                </c:pt>
                <c:pt idx="1310">
                  <c:v>4.9826327951245038E-2</c:v>
                </c:pt>
                <c:pt idx="1311">
                  <c:v>5.0418766623463993E-2</c:v>
                </c:pt>
                <c:pt idx="1312">
                  <c:v>4.9389067444002413E-2</c:v>
                </c:pt>
                <c:pt idx="1313">
                  <c:v>4.9516300388591054E-2</c:v>
                </c:pt>
                <c:pt idx="1314">
                  <c:v>4.9349286600862297E-2</c:v>
                </c:pt>
                <c:pt idx="1315">
                  <c:v>5.1926493455204344E-2</c:v>
                </c:pt>
                <c:pt idx="1316">
                  <c:v>4.8216354489615615E-2</c:v>
                </c:pt>
                <c:pt idx="1317">
                  <c:v>5.0229725426723763E-2</c:v>
                </c:pt>
                <c:pt idx="1318">
                  <c:v>4.9822053976362218E-2</c:v>
                </c:pt>
                <c:pt idx="1319">
                  <c:v>5.0276081615837451E-2</c:v>
                </c:pt>
                <c:pt idx="1320">
                  <c:v>5.0532520108806815E-2</c:v>
                </c:pt>
                <c:pt idx="1321">
                  <c:v>4.9498218187163726E-2</c:v>
                </c:pt>
                <c:pt idx="1322">
                  <c:v>5.0018328053673379E-2</c:v>
                </c:pt>
                <c:pt idx="1323">
                  <c:v>5.021953364046472E-2</c:v>
                </c:pt>
                <c:pt idx="1324">
                  <c:v>5.0376026874635771E-2</c:v>
                </c:pt>
                <c:pt idx="1325">
                  <c:v>4.9637944289102169E-2</c:v>
                </c:pt>
                <c:pt idx="1326">
                  <c:v>4.9126382372358168E-2</c:v>
                </c:pt>
                <c:pt idx="1327">
                  <c:v>4.9593231936481866E-2</c:v>
                </c:pt>
                <c:pt idx="1328">
                  <c:v>5.0628848927319656E-2</c:v>
                </c:pt>
                <c:pt idx="1329">
                  <c:v>4.9640903194790274E-2</c:v>
                </c:pt>
                <c:pt idx="1330">
                  <c:v>4.9838821108594826E-2</c:v>
                </c:pt>
                <c:pt idx="1331">
                  <c:v>5.0436520057592638E-2</c:v>
                </c:pt>
                <c:pt idx="1332">
                  <c:v>5.0515752976574194E-2</c:v>
                </c:pt>
                <c:pt idx="1333">
                  <c:v>4.9892081410980768E-2</c:v>
                </c:pt>
                <c:pt idx="1334">
                  <c:v>4.9697122402864322E-2</c:v>
                </c:pt>
                <c:pt idx="1335">
                  <c:v>4.9316409870994435E-2</c:v>
                </c:pt>
                <c:pt idx="1336">
                  <c:v>5.0109725362706047E-2</c:v>
                </c:pt>
                <c:pt idx="1337">
                  <c:v>4.9387423607509022E-2</c:v>
                </c:pt>
                <c:pt idx="1338">
                  <c:v>5.079093120556824E-2</c:v>
                </c:pt>
                <c:pt idx="1339">
                  <c:v>4.9947314317158792E-2</c:v>
                </c:pt>
                <c:pt idx="1340">
                  <c:v>5.0990164188567513E-2</c:v>
                </c:pt>
                <c:pt idx="1341">
                  <c:v>5.0493068032965369E-2</c:v>
                </c:pt>
                <c:pt idx="1342">
                  <c:v>4.9462711318906435E-2</c:v>
                </c:pt>
                <c:pt idx="1343">
                  <c:v>5.0115314406783587E-2</c:v>
                </c:pt>
                <c:pt idx="1344">
                  <c:v>5.0593342059062366E-2</c:v>
                </c:pt>
                <c:pt idx="1345">
                  <c:v>5.1308739700987135E-2</c:v>
                </c:pt>
                <c:pt idx="1346">
                  <c:v>4.9871040303865334E-2</c:v>
                </c:pt>
                <c:pt idx="1347">
                  <c:v>5.1808137227680032E-2</c:v>
                </c:pt>
                <c:pt idx="1348">
                  <c:v>5.0586437945790111E-2</c:v>
                </c:pt>
                <c:pt idx="1349">
                  <c:v>4.8609560178835297E-2</c:v>
                </c:pt>
                <c:pt idx="1350">
                  <c:v>5.0383588522505372E-2</c:v>
                </c:pt>
                <c:pt idx="1351">
                  <c:v>4.9072464535374859E-2</c:v>
                </c:pt>
                <c:pt idx="1352">
                  <c:v>5.0341177540975821E-2</c:v>
                </c:pt>
                <c:pt idx="1353">
                  <c:v>4.9371642777172445E-2</c:v>
                </c:pt>
                <c:pt idx="1354">
                  <c:v>4.9332190701331005E-2</c:v>
                </c:pt>
                <c:pt idx="1355">
                  <c:v>5.0154766482625027E-2</c:v>
                </c:pt>
                <c:pt idx="1356">
                  <c:v>5.0376684409233125E-2</c:v>
                </c:pt>
                <c:pt idx="1357">
                  <c:v>5.0477287202628798E-2</c:v>
                </c:pt>
                <c:pt idx="1358">
                  <c:v>4.9611971672506541E-2</c:v>
                </c:pt>
                <c:pt idx="1359">
                  <c:v>5.0259314483604836E-2</c:v>
                </c:pt>
                <c:pt idx="1360">
                  <c:v>5.056999958085618E-2</c:v>
                </c:pt>
                <c:pt idx="1361">
                  <c:v>5.0378328245726516E-2</c:v>
                </c:pt>
                <c:pt idx="1362">
                  <c:v>5.0344465213962616E-2</c:v>
                </c:pt>
                <c:pt idx="1363">
                  <c:v>4.9994328040869833E-2</c:v>
                </c:pt>
                <c:pt idx="1364">
                  <c:v>5.0846492879044934E-2</c:v>
                </c:pt>
                <c:pt idx="1365">
                  <c:v>4.915925910222603E-2</c:v>
                </c:pt>
                <c:pt idx="1366">
                  <c:v>4.9721122415667868E-2</c:v>
                </c:pt>
                <c:pt idx="1367">
                  <c:v>4.9896355385863594E-2</c:v>
                </c:pt>
                <c:pt idx="1368">
                  <c:v>5.0099862343745687E-2</c:v>
                </c:pt>
                <c:pt idx="1369">
                  <c:v>5.0424355667541533E-2</c:v>
                </c:pt>
                <c:pt idx="1370">
                  <c:v>5.0146218532859381E-2</c:v>
                </c:pt>
                <c:pt idx="1371">
                  <c:v>5.0637068109786625E-2</c:v>
                </c:pt>
                <c:pt idx="1372">
                  <c:v>4.9880903322825701E-2</c:v>
                </c:pt>
                <c:pt idx="1373">
                  <c:v>5.040397209502346E-2</c:v>
                </c:pt>
                <c:pt idx="1374">
                  <c:v>5.1288356128469055E-2</c:v>
                </c:pt>
                <c:pt idx="1375">
                  <c:v>4.9315752336397067E-2</c:v>
                </c:pt>
                <c:pt idx="1376">
                  <c:v>5.0834657256292499E-2</c:v>
                </c:pt>
                <c:pt idx="1377">
                  <c:v>5.1637178232367124E-2</c:v>
                </c:pt>
                <c:pt idx="1378">
                  <c:v>4.9838492341296149E-2</c:v>
                </c:pt>
                <c:pt idx="1379">
                  <c:v>4.9604081257338256E-2</c:v>
                </c:pt>
                <c:pt idx="1380">
                  <c:v>5.0682766764302965E-2</c:v>
                </c:pt>
                <c:pt idx="1381">
                  <c:v>5.0415478950477204E-2</c:v>
                </c:pt>
                <c:pt idx="1382">
                  <c:v>5.0663040726382239E-2</c:v>
                </c:pt>
                <c:pt idx="1383">
                  <c:v>5.0308300811107959E-2</c:v>
                </c:pt>
                <c:pt idx="1384">
                  <c:v>5.0696246223548784E-2</c:v>
                </c:pt>
                <c:pt idx="1385">
                  <c:v>5.0302382999731741E-2</c:v>
                </c:pt>
                <c:pt idx="1386">
                  <c:v>5.0870821659147157E-2</c:v>
                </c:pt>
                <c:pt idx="1387">
                  <c:v>5.0587424247686148E-2</c:v>
                </c:pt>
                <c:pt idx="1388">
                  <c:v>5.0466437881772394E-2</c:v>
                </c:pt>
                <c:pt idx="1389">
                  <c:v>5.0854383294213226E-2</c:v>
                </c:pt>
                <c:pt idx="1390">
                  <c:v>5.0106437689719265E-2</c:v>
                </c:pt>
                <c:pt idx="1391">
                  <c:v>5.040890360450364E-2</c:v>
                </c:pt>
                <c:pt idx="1392">
                  <c:v>5.0652520172824532E-2</c:v>
                </c:pt>
                <c:pt idx="1393">
                  <c:v>5.1206493071098071E-2</c:v>
                </c:pt>
                <c:pt idx="1394">
                  <c:v>5.0224136382646223E-2</c:v>
                </c:pt>
                <c:pt idx="1395">
                  <c:v>5.0473341995044656E-2</c:v>
                </c:pt>
                <c:pt idx="1396">
                  <c:v>4.9271039983776771E-2</c:v>
                </c:pt>
                <c:pt idx="1397">
                  <c:v>5.1287698593871708E-2</c:v>
                </c:pt>
                <c:pt idx="1398">
                  <c:v>5.0161341828598605E-2</c:v>
                </c:pt>
                <c:pt idx="1399">
                  <c:v>5.0711369519288001E-2</c:v>
                </c:pt>
                <c:pt idx="1400">
                  <c:v>5.1796301604927597E-2</c:v>
                </c:pt>
                <c:pt idx="1401">
                  <c:v>5.0831040816007041E-2</c:v>
                </c:pt>
                <c:pt idx="1402">
                  <c:v>5.0957616225998321E-2</c:v>
                </c:pt>
                <c:pt idx="1403">
                  <c:v>5.0257341879812768E-2</c:v>
                </c:pt>
                <c:pt idx="1404">
                  <c:v>5.147476718681987E-2</c:v>
                </c:pt>
                <c:pt idx="1405">
                  <c:v>5.0488794058082542E-2</c:v>
                </c:pt>
                <c:pt idx="1406">
                  <c:v>5.0298437792147599E-2</c:v>
                </c:pt>
                <c:pt idx="1407">
                  <c:v>5.0805068199411427E-2</c:v>
                </c:pt>
                <c:pt idx="1408">
                  <c:v>5.1299534216624136E-2</c:v>
                </c:pt>
                <c:pt idx="1409">
                  <c:v>4.9685944314709247E-2</c:v>
                </c:pt>
                <c:pt idx="1410">
                  <c:v>5.0526602297430591E-2</c:v>
                </c:pt>
                <c:pt idx="1411">
                  <c:v>5.0706438009807821E-2</c:v>
                </c:pt>
                <c:pt idx="1412">
                  <c:v>4.9997944481155306E-2</c:v>
                </c:pt>
                <c:pt idx="1413">
                  <c:v>5.0804081897515389E-2</c:v>
                </c:pt>
                <c:pt idx="1414">
                  <c:v>5.0873451797536585E-2</c:v>
                </c:pt>
                <c:pt idx="1415">
                  <c:v>5.0957287458699645E-2</c:v>
                </c:pt>
                <c:pt idx="1416">
                  <c:v>5.1170986202840774E-2</c:v>
                </c:pt>
                <c:pt idx="1417">
                  <c:v>5.0628848927319656E-2</c:v>
                </c:pt>
                <c:pt idx="1418">
                  <c:v>5.0968136779556042E-2</c:v>
                </c:pt>
                <c:pt idx="1419">
                  <c:v>5.067027360695317E-2</c:v>
                </c:pt>
                <c:pt idx="1420">
                  <c:v>4.9842437548880292E-2</c:v>
                </c:pt>
                <c:pt idx="1421">
                  <c:v>5.1879150964194619E-2</c:v>
                </c:pt>
                <c:pt idx="1422">
                  <c:v>5.0910602502287274E-2</c:v>
                </c:pt>
                <c:pt idx="1423">
                  <c:v>5.0937232653480248E-2</c:v>
                </c:pt>
                <c:pt idx="1424">
                  <c:v>5.2465671825037356E-2</c:v>
                </c:pt>
                <c:pt idx="1425">
                  <c:v>5.0370109063259547E-2</c:v>
                </c:pt>
                <c:pt idx="1426">
                  <c:v>5.0839917533071363E-2</c:v>
                </c:pt>
                <c:pt idx="1427">
                  <c:v>5.0796520249645781E-2</c:v>
                </c:pt>
                <c:pt idx="1428">
                  <c:v>5.079093120556824E-2</c:v>
                </c:pt>
                <c:pt idx="1429">
                  <c:v>5.0637725644383985E-2</c:v>
                </c:pt>
                <c:pt idx="1430">
                  <c:v>5.1161451951179097E-2</c:v>
                </c:pt>
                <c:pt idx="1431">
                  <c:v>5.1886055077466867E-2</c:v>
                </c:pt>
                <c:pt idx="1432">
                  <c:v>5.1681233050390067E-2</c:v>
                </c:pt>
                <c:pt idx="1433">
                  <c:v>5.1205835536500724E-2</c:v>
                </c:pt>
                <c:pt idx="1434">
                  <c:v>4.9762218328002691E-2</c:v>
                </c:pt>
                <c:pt idx="1435">
                  <c:v>5.1332739713790675E-2</c:v>
                </c:pt>
                <c:pt idx="1436">
                  <c:v>5.0416136485074557E-2</c:v>
                </c:pt>
                <c:pt idx="1437">
                  <c:v>5.0830054514111003E-2</c:v>
                </c:pt>
                <c:pt idx="1438">
                  <c:v>5.1307095864493744E-2</c:v>
                </c:pt>
                <c:pt idx="1439">
                  <c:v>5.1280794480599447E-2</c:v>
                </c:pt>
                <c:pt idx="1440">
                  <c:v>5.1347863009529898E-2</c:v>
                </c:pt>
                <c:pt idx="1441">
                  <c:v>5.0063040406293675E-2</c:v>
                </c:pt>
                <c:pt idx="1442">
                  <c:v>5.0097560972654942E-2</c:v>
                </c:pt>
                <c:pt idx="1443">
                  <c:v>5.0166273338078778E-2</c:v>
                </c:pt>
                <c:pt idx="1444">
                  <c:v>5.1351479449815371E-2</c:v>
                </c:pt>
                <c:pt idx="1445">
                  <c:v>5.2447260856311358E-2</c:v>
                </c:pt>
                <c:pt idx="1446">
                  <c:v>5.1381397273995127E-2</c:v>
                </c:pt>
                <c:pt idx="1447">
                  <c:v>5.1580630256994386E-2</c:v>
                </c:pt>
                <c:pt idx="1448">
                  <c:v>5.1232794454992368E-2</c:v>
                </c:pt>
                <c:pt idx="1449">
                  <c:v>4.9950273222846897E-2</c:v>
                </c:pt>
                <c:pt idx="1450">
                  <c:v>4.9891752643682091E-2</c:v>
                </c:pt>
                <c:pt idx="1451">
                  <c:v>5.0429287177021713E-2</c:v>
                </c:pt>
                <c:pt idx="1452">
                  <c:v>5.0508191328704592E-2</c:v>
                </c:pt>
                <c:pt idx="1453">
                  <c:v>5.0793561343957669E-2</c:v>
                </c:pt>
                <c:pt idx="1454">
                  <c:v>5.0505232423016487E-2</c:v>
                </c:pt>
                <c:pt idx="1455">
                  <c:v>5.08254517719295E-2</c:v>
                </c:pt>
                <c:pt idx="1456">
                  <c:v>5.1226219109018797E-2</c:v>
                </c:pt>
                <c:pt idx="1457">
                  <c:v>5.1263698581068162E-2</c:v>
                </c:pt>
                <c:pt idx="1458">
                  <c:v>5.1389616456462089E-2</c:v>
                </c:pt>
                <c:pt idx="1459">
                  <c:v>5.0869506589952443E-2</c:v>
                </c:pt>
                <c:pt idx="1460">
                  <c:v>5.1933068801177922E-2</c:v>
                </c:pt>
                <c:pt idx="1461">
                  <c:v>5.0711040751989324E-2</c:v>
                </c:pt>
                <c:pt idx="1462">
                  <c:v>5.1116410831260124E-2</c:v>
                </c:pt>
                <c:pt idx="1463">
                  <c:v>5.2244411433026612E-2</c:v>
                </c:pt>
                <c:pt idx="1464">
                  <c:v>5.1456684985392541E-2</c:v>
                </c:pt>
                <c:pt idx="1465">
                  <c:v>5.160660287359E-2</c:v>
                </c:pt>
                <c:pt idx="1466">
                  <c:v>5.0471698158551265E-2</c:v>
                </c:pt>
                <c:pt idx="1467">
                  <c:v>5.1595424785434933E-2</c:v>
                </c:pt>
                <c:pt idx="1468">
                  <c:v>5.0482218712108978E-2</c:v>
                </c:pt>
                <c:pt idx="1469">
                  <c:v>5.143958908586125E-2</c:v>
                </c:pt>
                <c:pt idx="1470">
                  <c:v>5.1564191892060469E-2</c:v>
                </c:pt>
                <c:pt idx="1471">
                  <c:v>5.1342602732751035E-2</c:v>
                </c:pt>
                <c:pt idx="1472">
                  <c:v>5.0296136421056854E-2</c:v>
                </c:pt>
                <c:pt idx="1473">
                  <c:v>5.1536904206270134E-2</c:v>
                </c:pt>
                <c:pt idx="1474">
                  <c:v>5.1228191712810865E-2</c:v>
                </c:pt>
                <c:pt idx="1475">
                  <c:v>5.0758383242999049E-2</c:v>
                </c:pt>
                <c:pt idx="1476">
                  <c:v>5.1624685075017336E-2</c:v>
                </c:pt>
                <c:pt idx="1477">
                  <c:v>5.1010547761085594E-2</c:v>
                </c:pt>
                <c:pt idx="1478">
                  <c:v>5.2156301796980734E-2</c:v>
                </c:pt>
                <c:pt idx="1479">
                  <c:v>5.1716411151348687E-2</c:v>
                </c:pt>
                <c:pt idx="1480">
                  <c:v>5.1035862843083847E-2</c:v>
                </c:pt>
                <c:pt idx="1481">
                  <c:v>5.0111369199199444E-2</c:v>
                </c:pt>
                <c:pt idx="1482">
                  <c:v>5.0419095390762669E-2</c:v>
                </c:pt>
                <c:pt idx="1483">
                  <c:v>5.048550638509576E-2</c:v>
                </c:pt>
                <c:pt idx="1484">
                  <c:v>5.1217342391954475E-2</c:v>
                </c:pt>
                <c:pt idx="1485">
                  <c:v>4.9703040214240539E-2</c:v>
                </c:pt>
                <c:pt idx="1486">
                  <c:v>5.1383041110488512E-2</c:v>
                </c:pt>
                <c:pt idx="1487">
                  <c:v>5.1149616328426663E-2</c:v>
                </c:pt>
                <c:pt idx="1488">
                  <c:v>5.0779424350114483E-2</c:v>
                </c:pt>
                <c:pt idx="1489">
                  <c:v>5.103487654118781E-2</c:v>
                </c:pt>
                <c:pt idx="1490">
                  <c:v>5.1894603027232512E-2</c:v>
                </c:pt>
                <c:pt idx="1491">
                  <c:v>5.1824575592613963E-2</c:v>
                </c:pt>
                <c:pt idx="1492">
                  <c:v>5.3317836663212458E-2</c:v>
                </c:pt>
                <c:pt idx="1493">
                  <c:v>5.3170220146105736E-2</c:v>
                </c:pt>
                <c:pt idx="1494">
                  <c:v>5.4356741327037036E-2</c:v>
                </c:pt>
                <c:pt idx="1495">
                  <c:v>5.3652850540566024E-2</c:v>
                </c:pt>
                <c:pt idx="1496">
                  <c:v>5.3266220197319906E-2</c:v>
                </c:pt>
                <c:pt idx="1497">
                  <c:v>5.339674081489533E-2</c:v>
                </c:pt>
                <c:pt idx="1498">
                  <c:v>5.3474658664682179E-2</c:v>
                </c:pt>
                <c:pt idx="1499">
                  <c:v>5.3385562726740263E-2</c:v>
                </c:pt>
                <c:pt idx="1500">
                  <c:v>5.2839809010933672E-2</c:v>
                </c:pt>
                <c:pt idx="1501">
                  <c:v>5.3014384446532045E-2</c:v>
                </c:pt>
                <c:pt idx="1502">
                  <c:v>5.3498329910187048E-2</c:v>
                </c:pt>
                <c:pt idx="1503">
                  <c:v>5.2406493711275204E-2</c:v>
                </c:pt>
                <c:pt idx="1504">
                  <c:v>5.1122986177233695E-2</c:v>
                </c:pt>
                <c:pt idx="1505">
                  <c:v>5.1847589303521471E-2</c:v>
                </c:pt>
                <c:pt idx="1506">
                  <c:v>4.8212080514732795E-2</c:v>
                </c:pt>
                <c:pt idx="1507">
                  <c:v>4.2534926801149606E-2</c:v>
                </c:pt>
                <c:pt idx="1508">
                  <c:v>3.5504238118906364E-2</c:v>
                </c:pt>
                <c:pt idx="1509">
                  <c:v>3.7136896524144612E-2</c:v>
                </c:pt>
                <c:pt idx="1510">
                  <c:v>4.4585448443008442E-2</c:v>
                </c:pt>
                <c:pt idx="1511">
                  <c:v>4.7976025594281518E-2</c:v>
                </c:pt>
                <c:pt idx="1512">
                  <c:v>5.0358930975104479E-2</c:v>
                </c:pt>
                <c:pt idx="1513">
                  <c:v>5.0623917417839483E-2</c:v>
                </c:pt>
                <c:pt idx="1514">
                  <c:v>5.0339533704482436E-2</c:v>
                </c:pt>
                <c:pt idx="1515">
                  <c:v>5.0242876118670905E-2</c:v>
                </c:pt>
                <c:pt idx="1516">
                  <c:v>5.2289123785646915E-2</c:v>
                </c:pt>
                <c:pt idx="1517">
                  <c:v>5.0371752899752945E-2</c:v>
                </c:pt>
                <c:pt idx="1518">
                  <c:v>5.0918492917455559E-2</c:v>
                </c:pt>
                <c:pt idx="1519">
                  <c:v>5.2456795107973041E-2</c:v>
                </c:pt>
                <c:pt idx="1520">
                  <c:v>5.2697452770605821E-2</c:v>
                </c:pt>
                <c:pt idx="1521">
                  <c:v>5.2362110125953584E-2</c:v>
                </c:pt>
                <c:pt idx="1522">
                  <c:v>5.1396520569734337E-2</c:v>
                </c:pt>
                <c:pt idx="1523">
                  <c:v>5.1526054885413737E-2</c:v>
                </c:pt>
                <c:pt idx="1524">
                  <c:v>5.2259205961467159E-2</c:v>
                </c:pt>
                <c:pt idx="1525">
                  <c:v>5.2255589521181693E-2</c:v>
                </c:pt>
                <c:pt idx="1526">
                  <c:v>5.1991589380342727E-2</c:v>
                </c:pt>
                <c:pt idx="1527">
                  <c:v>5.2874329577294939E-2</c:v>
                </c:pt>
                <c:pt idx="1528">
                  <c:v>5.1493178155545868E-2</c:v>
                </c:pt>
                <c:pt idx="1529">
                  <c:v>5.2213507306950825E-2</c:v>
                </c:pt>
                <c:pt idx="1530">
                  <c:v>5.1155862907101564E-2</c:v>
                </c:pt>
                <c:pt idx="1531">
                  <c:v>5.1509287753181129E-2</c:v>
                </c:pt>
                <c:pt idx="1532">
                  <c:v>5.0930986074805347E-2</c:v>
                </c:pt>
                <c:pt idx="1533">
                  <c:v>5.1867315341442191E-2</c:v>
                </c:pt>
                <c:pt idx="1534">
                  <c:v>5.1623370005822622E-2</c:v>
                </c:pt>
                <c:pt idx="1535">
                  <c:v>5.1646712484028801E-2</c:v>
                </c:pt>
                <c:pt idx="1536">
                  <c:v>5.1138438240271596E-2</c:v>
                </c:pt>
                <c:pt idx="1537">
                  <c:v>5.3096905038500397E-2</c:v>
                </c:pt>
                <c:pt idx="1538">
                  <c:v>5.2704356883878069E-2</c:v>
                </c:pt>
                <c:pt idx="1539">
                  <c:v>5.4503371542247714E-2</c:v>
                </c:pt>
                <c:pt idx="1540">
                  <c:v>5.4134165865831592E-2</c:v>
                </c:pt>
                <c:pt idx="1541">
                  <c:v>5.4520467441779012E-2</c:v>
                </c:pt>
                <c:pt idx="1542">
                  <c:v>5.5052741698339777E-2</c:v>
                </c:pt>
                <c:pt idx="1543">
                  <c:v>5.5383152833511834E-2</c:v>
                </c:pt>
                <c:pt idx="1544">
                  <c:v>5.3463809343825788E-2</c:v>
                </c:pt>
                <c:pt idx="1545">
                  <c:v>5.3304357203966632E-2</c:v>
                </c:pt>
                <c:pt idx="1546">
                  <c:v>5.3530220338158879E-2</c:v>
                </c:pt>
                <c:pt idx="1547">
                  <c:v>5.2838165174440288E-2</c:v>
                </c:pt>
                <c:pt idx="1548">
                  <c:v>5.2832247363064078E-2</c:v>
                </c:pt>
                <c:pt idx="1549">
                  <c:v>5.160167136410982E-2</c:v>
                </c:pt>
                <c:pt idx="1550">
                  <c:v>5.0317506295470965E-2</c:v>
                </c:pt>
                <c:pt idx="1551">
                  <c:v>4.8459971057936507E-2</c:v>
                </c:pt>
                <c:pt idx="1552">
                  <c:v>4.6683312575877003E-2</c:v>
                </c:pt>
                <c:pt idx="1553">
                  <c:v>4.1436186488965514E-2</c:v>
                </c:pt>
                <c:pt idx="1554">
                  <c:v>3.8876733068752105E-2</c:v>
                </c:pt>
                <c:pt idx="1555">
                  <c:v>3.96950348751633E-2</c:v>
                </c:pt>
                <c:pt idx="1556">
                  <c:v>4.3191475096610907E-2</c:v>
                </c:pt>
                <c:pt idx="1557">
                  <c:v>4.7211312857554935E-2</c:v>
                </c:pt>
                <c:pt idx="1558">
                  <c:v>4.8022053016096529E-2</c:v>
                </c:pt>
                <c:pt idx="1559">
                  <c:v>5.0754766802713597E-2</c:v>
                </c:pt>
                <c:pt idx="1560">
                  <c:v>5.1219972530343896E-2</c:v>
                </c:pt>
                <c:pt idx="1561">
                  <c:v>5.1690438534753073E-2</c:v>
                </c:pt>
                <c:pt idx="1562">
                  <c:v>5.1559589149878959E-2</c:v>
                </c:pt>
                <c:pt idx="1563">
                  <c:v>5.2584685587159043E-2</c:v>
                </c:pt>
                <c:pt idx="1564">
                  <c:v>5.1754548157995413E-2</c:v>
                </c:pt>
                <c:pt idx="1565">
                  <c:v>5.2401562201795017E-2</c:v>
                </c:pt>
                <c:pt idx="1566">
                  <c:v>5.2565945851134353E-2</c:v>
                </c:pt>
                <c:pt idx="1567">
                  <c:v>5.3458220299748248E-2</c:v>
                </c:pt>
                <c:pt idx="1568">
                  <c:v>5.1789726258954033E-2</c:v>
                </c:pt>
                <c:pt idx="1569">
                  <c:v>5.3109726963148862E-2</c:v>
                </c:pt>
                <c:pt idx="1570">
                  <c:v>5.2939754269731992E-2</c:v>
                </c:pt>
                <c:pt idx="1571">
                  <c:v>5.3571316250493703E-2</c:v>
                </c:pt>
                <c:pt idx="1572">
                  <c:v>5.4031919235942513E-2</c:v>
                </c:pt>
                <c:pt idx="1573">
                  <c:v>5.2922658370200701E-2</c:v>
                </c:pt>
                <c:pt idx="1574">
                  <c:v>5.297657620718401E-2</c:v>
                </c:pt>
                <c:pt idx="1575">
                  <c:v>5.2793452821819985E-2</c:v>
                </c:pt>
                <c:pt idx="1576">
                  <c:v>5.3003863892974339E-2</c:v>
                </c:pt>
                <c:pt idx="1577">
                  <c:v>5.3437179192632807E-2</c:v>
                </c:pt>
                <c:pt idx="1578">
                  <c:v>5.2770439110912476E-2</c:v>
                </c:pt>
                <c:pt idx="1579">
                  <c:v>5.3426658639075093E-2</c:v>
                </c:pt>
                <c:pt idx="1580">
                  <c:v>5.3340521606821283E-2</c:v>
                </c:pt>
                <c:pt idx="1581">
                  <c:v>5.3564083369922778E-2</c:v>
                </c:pt>
                <c:pt idx="1582">
                  <c:v>5.3196850297298717E-2</c:v>
                </c:pt>
                <c:pt idx="1583">
                  <c:v>5.2718822645019932E-2</c:v>
                </c:pt>
                <c:pt idx="1584">
                  <c:v>5.1945890725826394E-2</c:v>
                </c:pt>
                <c:pt idx="1585">
                  <c:v>5.4634549694420512E-2</c:v>
                </c:pt>
                <c:pt idx="1586">
                  <c:v>5.2771096645509843E-2</c:v>
                </c:pt>
                <c:pt idx="1587">
                  <c:v>5.3112685868836981E-2</c:v>
                </c:pt>
                <c:pt idx="1588">
                  <c:v>5.3633124502645305E-2</c:v>
                </c:pt>
                <c:pt idx="1589">
                  <c:v>5.3942165763403237E-2</c:v>
                </c:pt>
                <c:pt idx="1590">
                  <c:v>5.4011206896125763E-2</c:v>
                </c:pt>
                <c:pt idx="1591">
                  <c:v>5.4123974079572548E-2</c:v>
                </c:pt>
                <c:pt idx="1592">
                  <c:v>5.3891864366705407E-2</c:v>
                </c:pt>
                <c:pt idx="1593">
                  <c:v>5.5818440736962384E-2</c:v>
                </c:pt>
                <c:pt idx="1594">
                  <c:v>5.6362221848976893E-2</c:v>
                </c:pt>
                <c:pt idx="1595">
                  <c:v>5.554293374066966E-2</c:v>
                </c:pt>
                <c:pt idx="1596">
                  <c:v>5.3672247811188054E-2</c:v>
                </c:pt>
                <c:pt idx="1597">
                  <c:v>5.425613853364137E-2</c:v>
                </c:pt>
                <c:pt idx="1598">
                  <c:v>5.4461946862614213E-2</c:v>
                </c:pt>
                <c:pt idx="1599">
                  <c:v>5.3419096991205485E-2</c:v>
                </c:pt>
                <c:pt idx="1600">
                  <c:v>5.2508740341164262E-2</c:v>
                </c:pt>
                <c:pt idx="1601">
                  <c:v>5.1279479411404739E-2</c:v>
                </c:pt>
                <c:pt idx="1602">
                  <c:v>5.046578034717504E-2</c:v>
                </c:pt>
                <c:pt idx="1603">
                  <c:v>4.8590162908213261E-2</c:v>
                </c:pt>
                <c:pt idx="1604">
                  <c:v>4.7509176030157807E-2</c:v>
                </c:pt>
                <c:pt idx="1605">
                  <c:v>4.6306874018889936E-2</c:v>
                </c:pt>
                <c:pt idx="1606">
                  <c:v>4.4958928094307411E-2</c:v>
                </c:pt>
                <c:pt idx="1607">
                  <c:v>4.3346653261587237E-2</c:v>
                </c:pt>
                <c:pt idx="1608">
                  <c:v>4.3779311026648358E-2</c:v>
                </c:pt>
                <c:pt idx="1609">
                  <c:v>4.2460954158946913E-2</c:v>
                </c:pt>
                <c:pt idx="1610">
                  <c:v>4.2538872008733762E-2</c:v>
                </c:pt>
                <c:pt idx="1611">
                  <c:v>4.3085940793735053E-2</c:v>
                </c:pt>
                <c:pt idx="1612">
                  <c:v>4.4609777223110665E-2</c:v>
                </c:pt>
                <c:pt idx="1613">
                  <c:v>4.6245065766738348E-2</c:v>
                </c:pt>
                <c:pt idx="1614">
                  <c:v>4.6020846469039492E-2</c:v>
                </c:pt>
                <c:pt idx="1615">
                  <c:v>4.6887148301057772E-2</c:v>
                </c:pt>
                <c:pt idx="1616">
                  <c:v>4.7782710422658456E-2</c:v>
                </c:pt>
                <c:pt idx="1617">
                  <c:v>4.9081998787036542E-2</c:v>
                </c:pt>
                <c:pt idx="1618">
                  <c:v>4.9266766008893952E-2</c:v>
                </c:pt>
                <c:pt idx="1619">
                  <c:v>4.9670492251671347E-2</c:v>
                </c:pt>
                <c:pt idx="1620">
                  <c:v>5.0497013240549518E-2</c:v>
                </c:pt>
                <c:pt idx="1621">
                  <c:v>4.9417012664390102E-2</c:v>
                </c:pt>
                <c:pt idx="1622">
                  <c:v>5.0959588829790396E-2</c:v>
                </c:pt>
                <c:pt idx="1623">
                  <c:v>5.0785670928789384E-2</c:v>
                </c:pt>
                <c:pt idx="1624">
                  <c:v>5.1619753565537156E-2</c:v>
                </c:pt>
                <c:pt idx="1625">
                  <c:v>5.111509576206541E-2</c:v>
                </c:pt>
                <c:pt idx="1626">
                  <c:v>5.1782493378383095E-2</c:v>
                </c:pt>
                <c:pt idx="1627">
                  <c:v>5.1896575631024587E-2</c:v>
                </c:pt>
                <c:pt idx="1628">
                  <c:v>5.1481342532793441E-2</c:v>
                </c:pt>
                <c:pt idx="1629">
                  <c:v>5.120484923460468E-2</c:v>
                </c:pt>
                <c:pt idx="1630">
                  <c:v>5.1559589149878959E-2</c:v>
                </c:pt>
                <c:pt idx="1631">
                  <c:v>5.1174273875827563E-2</c:v>
                </c:pt>
                <c:pt idx="1632">
                  <c:v>5.3003863892974339E-2</c:v>
                </c:pt>
                <c:pt idx="1633">
                  <c:v>5.265635685827099E-2</c:v>
                </c:pt>
                <c:pt idx="1634">
                  <c:v>5.218523331926446E-2</c:v>
                </c:pt>
                <c:pt idx="1635">
                  <c:v>5.3381617519156113E-2</c:v>
                </c:pt>
                <c:pt idx="1636">
                  <c:v>5.2028411317794732E-2</c:v>
                </c:pt>
                <c:pt idx="1637">
                  <c:v>5.169504127693457E-2</c:v>
                </c:pt>
                <c:pt idx="1638">
                  <c:v>5.325635717835954E-2</c:v>
                </c:pt>
                <c:pt idx="1639">
                  <c:v>5.1301835587714888E-2</c:v>
                </c:pt>
                <c:pt idx="1640">
                  <c:v>5.294139810622539E-2</c:v>
                </c:pt>
                <c:pt idx="1641">
                  <c:v>5.1284410920884919E-2</c:v>
                </c:pt>
                <c:pt idx="1642">
                  <c:v>5.0409561139100986E-2</c:v>
                </c:pt>
                <c:pt idx="1643">
                  <c:v>4.9728026528940115E-2</c:v>
                </c:pt>
                <c:pt idx="1644">
                  <c:v>5.0895479206548064E-2</c:v>
                </c:pt>
                <c:pt idx="1645">
                  <c:v>5.0717616097962902E-2</c:v>
                </c:pt>
                <c:pt idx="1646">
                  <c:v>5.1568794634241959E-2</c:v>
                </c:pt>
                <c:pt idx="1647">
                  <c:v>5.2677726732685101E-2</c:v>
                </c:pt>
                <c:pt idx="1648">
                  <c:v>5.0998383371034475E-2</c:v>
                </c:pt>
                <c:pt idx="1649">
                  <c:v>5.1078931359210752E-2</c:v>
                </c:pt>
                <c:pt idx="1650">
                  <c:v>5.2157288098876771E-2</c:v>
                </c:pt>
                <c:pt idx="1651">
                  <c:v>5.2153014123993952E-2</c:v>
                </c:pt>
                <c:pt idx="1652">
                  <c:v>5.0652848940123202E-2</c:v>
                </c:pt>
                <c:pt idx="1653">
                  <c:v>5.0843862740655506E-2</c:v>
                </c:pt>
                <c:pt idx="1654">
                  <c:v>5.0647917430643022E-2</c:v>
                </c:pt>
                <c:pt idx="1655">
                  <c:v>5.1452411010509722E-2</c:v>
                </c:pt>
                <c:pt idx="1656">
                  <c:v>5.0553232448623565E-2</c:v>
                </c:pt>
                <c:pt idx="1657">
                  <c:v>5.0358273440507119E-2</c:v>
                </c:pt>
                <c:pt idx="1658">
                  <c:v>4.9934163625211643E-2</c:v>
                </c:pt>
                <c:pt idx="1659">
                  <c:v>5.0428300875125676E-2</c:v>
                </c:pt>
                <c:pt idx="1660">
                  <c:v>5.0206382948517571E-2</c:v>
                </c:pt>
                <c:pt idx="1661">
                  <c:v>4.9574492200457183E-2</c:v>
                </c:pt>
                <c:pt idx="1662">
                  <c:v>4.9103039894151969E-2</c:v>
                </c:pt>
                <c:pt idx="1663">
                  <c:v>4.873482051963187E-2</c:v>
                </c:pt>
                <c:pt idx="1664">
                  <c:v>4.8958711050032043E-2</c:v>
                </c:pt>
                <c:pt idx="1665">
                  <c:v>4.8290327131818314E-2</c:v>
                </c:pt>
                <c:pt idx="1666">
                  <c:v>4.8732190381242442E-2</c:v>
                </c:pt>
                <c:pt idx="1667">
                  <c:v>4.78330118193563E-2</c:v>
                </c:pt>
                <c:pt idx="1668">
                  <c:v>4.7092956630030623E-2</c:v>
                </c:pt>
                <c:pt idx="1669">
                  <c:v>4.7996409166799592E-2</c:v>
                </c:pt>
                <c:pt idx="1670">
                  <c:v>4.6029065651506468E-2</c:v>
                </c:pt>
                <c:pt idx="1671">
                  <c:v>4.8228518879666726E-2</c:v>
                </c:pt>
                <c:pt idx="1672">
                  <c:v>4.7282326594069529E-2</c:v>
                </c:pt>
                <c:pt idx="1673">
                  <c:v>4.6645504336528955E-2</c:v>
                </c:pt>
                <c:pt idx="1674">
                  <c:v>4.6744134526132561E-2</c:v>
                </c:pt>
                <c:pt idx="1675">
                  <c:v>4.7407586934866103E-2</c:v>
                </c:pt>
                <c:pt idx="1676">
                  <c:v>4.7560134961453004E-2</c:v>
                </c:pt>
                <c:pt idx="1677">
                  <c:v>4.647224397012531E-2</c:v>
                </c:pt>
                <c:pt idx="1678">
                  <c:v>4.6458106976282124E-2</c:v>
                </c:pt>
                <c:pt idx="1679">
                  <c:v>4.5453394111520121E-2</c:v>
                </c:pt>
                <c:pt idx="1680">
                  <c:v>4.5692407937659503E-2</c:v>
                </c:pt>
                <c:pt idx="1681">
                  <c:v>4.4502270316442737E-2</c:v>
                </c:pt>
                <c:pt idx="1682">
                  <c:v>4.6044188947245678E-2</c:v>
                </c:pt>
                <c:pt idx="1683">
                  <c:v>4.4255366075135069E-2</c:v>
                </c:pt>
                <c:pt idx="1684">
                  <c:v>4.4353996264738661E-2</c:v>
                </c:pt>
                <c:pt idx="1685">
                  <c:v>4.4134379709221315E-2</c:v>
                </c:pt>
                <c:pt idx="1686">
                  <c:v>4.393679056271544E-2</c:v>
                </c:pt>
                <c:pt idx="1687">
                  <c:v>4.2796954338196504E-2</c:v>
                </c:pt>
                <c:pt idx="1688">
                  <c:v>4.196122786495534E-2</c:v>
                </c:pt>
                <c:pt idx="1689">
                  <c:v>4.2952790037770194E-2</c:v>
                </c:pt>
                <c:pt idx="1690">
                  <c:v>4.5622051735742269E-2</c:v>
                </c:pt>
                <c:pt idx="1691">
                  <c:v>4.5003969214226391E-2</c:v>
                </c:pt>
                <c:pt idx="1692">
                  <c:v>4.7004189459387377E-2</c:v>
                </c:pt>
                <c:pt idx="1693">
                  <c:v>4.7367806091725986E-2</c:v>
                </c:pt>
                <c:pt idx="1694">
                  <c:v>4.7762655617439052E-2</c:v>
                </c:pt>
                <c:pt idx="1695">
                  <c:v>4.7528902068078527E-2</c:v>
                </c:pt>
                <c:pt idx="1696">
                  <c:v>4.8170655835099281E-2</c:v>
                </c:pt>
                <c:pt idx="1697">
                  <c:v>4.9391697582391848E-2</c:v>
                </c:pt>
                <c:pt idx="1698">
                  <c:v>4.9526820942148768E-2</c:v>
                </c:pt>
                <c:pt idx="1699">
                  <c:v>4.9972300631858368E-2</c:v>
                </c:pt>
                <c:pt idx="1700">
                  <c:v>5.0346766585053368E-2</c:v>
                </c:pt>
                <c:pt idx="1701">
                  <c:v>5.0111697966498121E-2</c:v>
                </c:pt>
                <c:pt idx="1702">
                  <c:v>4.9985780091104194E-2</c:v>
                </c:pt>
                <c:pt idx="1703">
                  <c:v>5.0253396672228619E-2</c:v>
                </c:pt>
                <c:pt idx="1704">
                  <c:v>5.1768685151838592E-2</c:v>
                </c:pt>
                <c:pt idx="1705">
                  <c:v>5.1809781064173423E-2</c:v>
                </c:pt>
                <c:pt idx="1706">
                  <c:v>5.1480356230897396E-2</c:v>
                </c:pt>
                <c:pt idx="1707">
                  <c:v>5.1676630308208564E-2</c:v>
                </c:pt>
                <c:pt idx="1708">
                  <c:v>5.2238164854351725E-2</c:v>
                </c:pt>
                <c:pt idx="1709">
                  <c:v>5.1959041417773535E-2</c:v>
                </c:pt>
                <c:pt idx="1710">
                  <c:v>5.213032918038512E-2</c:v>
                </c:pt>
                <c:pt idx="1711">
                  <c:v>5.2639260958739692E-2</c:v>
                </c:pt>
                <c:pt idx="1712">
                  <c:v>5.2939096735134632E-2</c:v>
                </c:pt>
                <c:pt idx="1713">
                  <c:v>5.2981836483962867E-2</c:v>
                </c:pt>
                <c:pt idx="1714">
                  <c:v>5.3680795760953706E-2</c:v>
                </c:pt>
                <c:pt idx="1715">
                  <c:v>5.3180740699663449E-2</c:v>
                </c:pt>
                <c:pt idx="1716">
                  <c:v>5.4021727449683477E-2</c:v>
                </c:pt>
                <c:pt idx="1717">
                  <c:v>5.431202897441674E-2</c:v>
                </c:pt>
                <c:pt idx="1718">
                  <c:v>5.478249497882591E-2</c:v>
                </c:pt>
                <c:pt idx="1719">
                  <c:v>5.5248687008352254E-2</c:v>
                </c:pt>
                <c:pt idx="1720">
                  <c:v>5.480189224944796E-2</c:v>
                </c:pt>
                <c:pt idx="1721">
                  <c:v>5.3953343851558311E-2</c:v>
                </c:pt>
                <c:pt idx="1722">
                  <c:v>5.2555096530277956E-2</c:v>
                </c:pt>
                <c:pt idx="1723">
                  <c:v>5.4875536124351969E-2</c:v>
                </c:pt>
                <c:pt idx="1724">
                  <c:v>5.63388793707707E-2</c:v>
                </c:pt>
                <c:pt idx="1725">
                  <c:v>5.7599373193904714E-2</c:v>
                </c:pt>
                <c:pt idx="1726">
                  <c:v>5.7250879857305322E-2</c:v>
                </c:pt>
                <c:pt idx="1727">
                  <c:v>5.7171318171025089E-2</c:v>
                </c:pt>
                <c:pt idx="1728">
                  <c:v>5.9207702819040732E-2</c:v>
                </c:pt>
                <c:pt idx="1729">
                  <c:v>5.916003156073233E-2</c:v>
                </c:pt>
                <c:pt idx="1730">
                  <c:v>5.9770881201677291E-2</c:v>
                </c:pt>
                <c:pt idx="1731">
                  <c:v>6.0170662236870551E-2</c:v>
                </c:pt>
                <c:pt idx="1732">
                  <c:v>5.9473018029074426E-2</c:v>
                </c:pt>
                <c:pt idx="1733">
                  <c:v>6.0336360955404594E-2</c:v>
                </c:pt>
                <c:pt idx="1734">
                  <c:v>5.9672579779372376E-2</c:v>
                </c:pt>
                <c:pt idx="1735">
                  <c:v>5.9338223436616169E-2</c:v>
                </c:pt>
                <c:pt idx="1736">
                  <c:v>5.9926388133952291E-2</c:v>
                </c:pt>
                <c:pt idx="1737">
                  <c:v>5.9498004343774002E-2</c:v>
                </c:pt>
                <c:pt idx="1738">
                  <c:v>6.1192142233865161E-2</c:v>
                </c:pt>
                <c:pt idx="1739">
                  <c:v>6.1623484929731562E-2</c:v>
                </c:pt>
                <c:pt idx="1740">
                  <c:v>6.0989292810580416E-2</c:v>
                </c:pt>
                <c:pt idx="1741">
                  <c:v>6.1779649396603936E-2</c:v>
                </c:pt>
                <c:pt idx="1742">
                  <c:v>6.2515430611046793E-2</c:v>
                </c:pt>
                <c:pt idx="1743">
                  <c:v>6.215543041899365E-2</c:v>
                </c:pt>
                <c:pt idx="1744">
                  <c:v>6.2827102010194161E-2</c:v>
                </c:pt>
                <c:pt idx="1745">
                  <c:v>6.3499759903290709E-2</c:v>
                </c:pt>
                <c:pt idx="1746">
                  <c:v>6.2522005957020357E-2</c:v>
                </c:pt>
                <c:pt idx="1747">
                  <c:v>6.1002772269826241E-2</c:v>
                </c:pt>
                <c:pt idx="1748">
                  <c:v>6.2239594847455386E-2</c:v>
                </c:pt>
                <c:pt idx="1749">
                  <c:v>5.9081127409049451E-2</c:v>
                </c:pt>
                <c:pt idx="1750">
                  <c:v>6.1576471206020521E-2</c:v>
                </c:pt>
                <c:pt idx="1751">
                  <c:v>6.0627320014735211E-2</c:v>
                </c:pt>
                <c:pt idx="1752">
                  <c:v>6.2568362146134038E-2</c:v>
                </c:pt>
                <c:pt idx="1753">
                  <c:v>6.3219321397517805E-2</c:v>
                </c:pt>
                <c:pt idx="1754">
                  <c:v>6.2302718168801681E-2</c:v>
                </c:pt>
                <c:pt idx="1755">
                  <c:v>6.3357732430261521E-2</c:v>
                </c:pt>
                <c:pt idx="1756">
                  <c:v>6.2887923960449704E-2</c:v>
                </c:pt>
                <c:pt idx="1757">
                  <c:v>6.4992034671993174E-2</c:v>
                </c:pt>
                <c:pt idx="1758">
                  <c:v>6.3761458673038937E-2</c:v>
                </c:pt>
                <c:pt idx="1759">
                  <c:v>6.3797623075893581E-2</c:v>
                </c:pt>
                <c:pt idx="1760">
                  <c:v>6.3389951625532029E-2</c:v>
                </c:pt>
                <c:pt idx="1761">
                  <c:v>6.3429074934074792E-2</c:v>
                </c:pt>
                <c:pt idx="1762">
                  <c:v>6.4921349702777256E-2</c:v>
                </c:pt>
                <c:pt idx="1763">
                  <c:v>6.4814829098005372E-2</c:v>
                </c:pt>
                <c:pt idx="1764">
                  <c:v>6.5203760812342221E-2</c:v>
                </c:pt>
                <c:pt idx="1765">
                  <c:v>6.3263376215540748E-2</c:v>
                </c:pt>
                <c:pt idx="1766">
                  <c:v>6.4708966027830842E-2</c:v>
                </c:pt>
                <c:pt idx="1767">
                  <c:v>6.529351428488149E-2</c:v>
                </c:pt>
                <c:pt idx="1768">
                  <c:v>6.3720033993405409E-2</c:v>
                </c:pt>
                <c:pt idx="1769">
                  <c:v>6.4835212670523445E-2</c:v>
                </c:pt>
                <c:pt idx="1770">
                  <c:v>6.5177459428447937E-2</c:v>
                </c:pt>
                <c:pt idx="1771">
                  <c:v>6.3943266989208228E-2</c:v>
                </c:pt>
                <c:pt idx="1772">
                  <c:v>6.5000253854460135E-2</c:v>
                </c:pt>
                <c:pt idx="1773">
                  <c:v>6.5406939002925643E-2</c:v>
                </c:pt>
                <c:pt idx="1774">
                  <c:v>6.4687267386118033E-2</c:v>
                </c:pt>
                <c:pt idx="1775">
                  <c:v>6.5742939182175233E-2</c:v>
                </c:pt>
                <c:pt idx="1776">
                  <c:v>6.5454939028532722E-2</c:v>
                </c:pt>
                <c:pt idx="1777">
                  <c:v>6.3923540951287508E-2</c:v>
                </c:pt>
                <c:pt idx="1778">
                  <c:v>6.4489349472313495E-2</c:v>
                </c:pt>
                <c:pt idx="1779">
                  <c:v>6.4840801714600979E-2</c:v>
                </c:pt>
                <c:pt idx="1780">
                  <c:v>6.4764527701307542E-2</c:v>
                </c:pt>
                <c:pt idx="1781">
                  <c:v>6.4340089118713376E-2</c:v>
                </c:pt>
                <c:pt idx="1782">
                  <c:v>6.3938993014325401E-2</c:v>
                </c:pt>
                <c:pt idx="1783">
                  <c:v>6.5249130699559871E-2</c:v>
                </c:pt>
                <c:pt idx="1784">
                  <c:v>6.4629733108849285E-2</c:v>
                </c:pt>
                <c:pt idx="1785">
                  <c:v>6.1727375396114025E-2</c:v>
                </c:pt>
                <c:pt idx="1786">
                  <c:v>6.3194006315519552E-2</c:v>
                </c:pt>
                <c:pt idx="1787">
                  <c:v>6.3244965246814736E-2</c:v>
                </c:pt>
                <c:pt idx="1788">
                  <c:v>6.443181519504472E-2</c:v>
                </c:pt>
                <c:pt idx="1789">
                  <c:v>6.4810883890421223E-2</c:v>
                </c:pt>
                <c:pt idx="1790">
                  <c:v>6.4719486581388555E-2</c:v>
                </c:pt>
                <c:pt idx="1791">
                  <c:v>6.6285076457696351E-2</c:v>
                </c:pt>
                <c:pt idx="1792">
                  <c:v>6.4994007275785234E-2</c:v>
                </c:pt>
                <c:pt idx="1793">
                  <c:v>6.521263752940655E-2</c:v>
                </c:pt>
                <c:pt idx="1794">
                  <c:v>6.6491871088565233E-2</c:v>
                </c:pt>
                <c:pt idx="1795">
                  <c:v>6.5613076099197157E-2</c:v>
                </c:pt>
                <c:pt idx="1796">
                  <c:v>6.5001568923654857E-2</c:v>
                </c:pt>
                <c:pt idx="1797">
                  <c:v>6.4918390797089137E-2</c:v>
                </c:pt>
                <c:pt idx="1798">
                  <c:v>6.2708745782669828E-2</c:v>
                </c:pt>
                <c:pt idx="1799">
                  <c:v>6.6779213707610391E-2</c:v>
                </c:pt>
                <c:pt idx="1800">
                  <c:v>6.5275432083454182E-2</c:v>
                </c:pt>
                <c:pt idx="1801">
                  <c:v>6.3578664054973588E-2</c:v>
                </c:pt>
                <c:pt idx="1802">
                  <c:v>6.3330444744471207E-2</c:v>
                </c:pt>
                <c:pt idx="1803">
                  <c:v>6.1468635532053915E-2</c:v>
                </c:pt>
                <c:pt idx="1804">
                  <c:v>6.1979868681499239E-2</c:v>
                </c:pt>
                <c:pt idx="1805">
                  <c:v>6.1673786326429406E-2</c:v>
                </c:pt>
                <c:pt idx="1806">
                  <c:v>6.2347430521421984E-2</c:v>
                </c:pt>
                <c:pt idx="1807">
                  <c:v>6.3728581943171048E-2</c:v>
                </c:pt>
                <c:pt idx="1808">
                  <c:v>6.238556752806871E-2</c:v>
                </c:pt>
                <c:pt idx="1809">
                  <c:v>6.1762553497072645E-2</c:v>
                </c:pt>
                <c:pt idx="1810">
                  <c:v>6.3080252830176736E-2</c:v>
                </c:pt>
                <c:pt idx="1811">
                  <c:v>6.3081239132072767E-2</c:v>
                </c:pt>
                <c:pt idx="1812">
                  <c:v>6.3241677573827954E-2</c:v>
                </c:pt>
                <c:pt idx="1813">
                  <c:v>6.2034444053079896E-2</c:v>
                </c:pt>
                <c:pt idx="1814">
                  <c:v>6.3053951446282425E-2</c:v>
                </c:pt>
                <c:pt idx="1815">
                  <c:v>6.352671882178236E-2</c:v>
                </c:pt>
                <c:pt idx="1816">
                  <c:v>6.3312691310342548E-2</c:v>
                </c:pt>
                <c:pt idx="1817">
                  <c:v>6.3232472089464947E-2</c:v>
                </c:pt>
                <c:pt idx="1818">
                  <c:v>6.4833240066731371E-2</c:v>
                </c:pt>
                <c:pt idx="1819">
                  <c:v>6.3314663914134608E-2</c:v>
                </c:pt>
                <c:pt idx="1820">
                  <c:v>6.6506008082408419E-2</c:v>
                </c:pt>
                <c:pt idx="1821">
                  <c:v>6.4678719436352408E-2</c:v>
                </c:pt>
                <c:pt idx="1822">
                  <c:v>6.3214718655336302E-2</c:v>
                </c:pt>
                <c:pt idx="1823">
                  <c:v>6.1095813415352314E-2</c:v>
                </c:pt>
                <c:pt idx="1824">
                  <c:v>6.1106991503507388E-2</c:v>
                </c:pt>
                <c:pt idx="1825">
                  <c:v>6.0390607559686574E-2</c:v>
                </c:pt>
                <c:pt idx="1826">
                  <c:v>5.8845730023195535E-2</c:v>
                </c:pt>
                <c:pt idx="1827">
                  <c:v>5.8333181804555483E-2</c:v>
                </c:pt>
                <c:pt idx="1828">
                  <c:v>5.8270387250507864E-2</c:v>
                </c:pt>
                <c:pt idx="1829">
                  <c:v>5.7607592376371683E-2</c:v>
                </c:pt>
                <c:pt idx="1830">
                  <c:v>5.7041783855345696E-2</c:v>
                </c:pt>
                <c:pt idx="1831">
                  <c:v>5.8962771181525132E-2</c:v>
                </c:pt>
                <c:pt idx="1832">
                  <c:v>5.9917511416887975E-2</c:v>
                </c:pt>
                <c:pt idx="1833">
                  <c:v>5.9372086468380075E-2</c:v>
                </c:pt>
                <c:pt idx="1834">
                  <c:v>5.7705236264079238E-2</c:v>
                </c:pt>
                <c:pt idx="1835">
                  <c:v>5.7062496195162446E-2</c:v>
                </c:pt>
                <c:pt idx="1836">
                  <c:v>5.7241674372942322E-2</c:v>
                </c:pt>
                <c:pt idx="1837">
                  <c:v>5.7229181215592527E-2</c:v>
                </c:pt>
                <c:pt idx="1838">
                  <c:v>5.71433729506374E-2</c:v>
                </c:pt>
                <c:pt idx="1839">
                  <c:v>5.570238588052881E-2</c:v>
                </c:pt>
                <c:pt idx="1840">
                  <c:v>5.5453837802727744E-2</c:v>
                </c:pt>
                <c:pt idx="1841">
                  <c:v>5.7261729178161726E-2</c:v>
                </c:pt>
                <c:pt idx="1842">
                  <c:v>5.5060632113508055E-2</c:v>
                </c:pt>
                <c:pt idx="1843">
                  <c:v>5.4799262111058525E-2</c:v>
                </c:pt>
                <c:pt idx="1844">
                  <c:v>5.4612193518110363E-2</c:v>
                </c:pt>
                <c:pt idx="1845">
                  <c:v>5.3941179461507206E-2</c:v>
                </c:pt>
                <c:pt idx="1846">
                  <c:v>3.3772620756765841E-2</c:v>
                </c:pt>
                <c:pt idx="1847">
                  <c:v>5.1508301451285092E-2</c:v>
                </c:pt>
                <c:pt idx="1848">
                  <c:v>5.0892191533561268E-2</c:v>
                </c:pt>
                <c:pt idx="1849">
                  <c:v>4.7532189741065316E-2</c:v>
                </c:pt>
                <c:pt idx="1850">
                  <c:v>4.8274546301481744E-2</c:v>
                </c:pt>
                <c:pt idx="1851">
                  <c:v>4.6965066150844621E-2</c:v>
                </c:pt>
                <c:pt idx="1852">
                  <c:v>4.5046380195755929E-2</c:v>
                </c:pt>
                <c:pt idx="1853">
                  <c:v>4.4677832053937147E-2</c:v>
                </c:pt>
                <c:pt idx="1854">
                  <c:v>4.3456790306644587E-2</c:v>
                </c:pt>
                <c:pt idx="1855">
                  <c:v>4.4001228953256456E-2</c:v>
                </c:pt>
                <c:pt idx="1856">
                  <c:v>4.4433557951018901E-2</c:v>
                </c:pt>
                <c:pt idx="1857">
                  <c:v>4.2539529543331109E-2</c:v>
                </c:pt>
                <c:pt idx="1858">
                  <c:v>4.4337886667103407E-2</c:v>
                </c:pt>
                <c:pt idx="1859">
                  <c:v>4.1292515179442935E-2</c:v>
                </c:pt>
                <c:pt idx="1860">
                  <c:v>4.3119475058200282E-2</c:v>
                </c:pt>
                <c:pt idx="1861">
                  <c:v>4.1424022098914409E-2</c:v>
                </c:pt>
                <c:pt idx="1862">
                  <c:v>4.2392570560821748E-2</c:v>
                </c:pt>
                <c:pt idx="1863">
                  <c:v>3.7761554391634075E-2</c:v>
                </c:pt>
                <c:pt idx="1864">
                  <c:v>3.7512677546534326E-2</c:v>
                </c:pt>
                <c:pt idx="1865">
                  <c:v>3.6974156711298674E-2</c:v>
                </c:pt>
                <c:pt idx="1866">
                  <c:v>3.3735141284716476E-2</c:v>
                </c:pt>
                <c:pt idx="1867">
                  <c:v>3.3420839747179666E-2</c:v>
                </c:pt>
                <c:pt idx="1868">
                  <c:v>3.1140148119515904E-2</c:v>
                </c:pt>
                <c:pt idx="1869">
                  <c:v>2.8207642445491815E-2</c:v>
                </c:pt>
                <c:pt idx="1870">
                  <c:v>2.7604814726634612E-2</c:v>
                </c:pt>
                <c:pt idx="1871">
                  <c:v>2.3363782327139575E-2</c:v>
                </c:pt>
                <c:pt idx="1872">
                  <c:v>2.0709413787797639E-2</c:v>
                </c:pt>
                <c:pt idx="1873">
                  <c:v>1.7763067010499182E-2</c:v>
                </c:pt>
                <c:pt idx="1874">
                  <c:v>3.1278624905719352E-2</c:v>
                </c:pt>
                <c:pt idx="1875">
                  <c:v>3.8181061464748055E-2</c:v>
                </c:pt>
                <c:pt idx="1876">
                  <c:v>3.1153068674353974E-2</c:v>
                </c:pt>
                <c:pt idx="1877">
                  <c:v>2.691782257931568E-2</c:v>
                </c:pt>
                <c:pt idx="1878">
                  <c:v>2.4113667658695742E-2</c:v>
                </c:pt>
                <c:pt idx="1879">
                  <c:v>2.2120154266427793E-2</c:v>
                </c:pt>
                <c:pt idx="1880">
                  <c:v>2.0913150882788809E-2</c:v>
                </c:pt>
                <c:pt idx="1881">
                  <c:v>2.0327287556543429E-2</c:v>
                </c:pt>
                <c:pt idx="1882">
                  <c:v>1.9808624266147969E-2</c:v>
                </c:pt>
                <c:pt idx="1883">
                  <c:v>1.7932316415858962E-2</c:v>
                </c:pt>
                <c:pt idx="1884">
                  <c:v>1.7198277668099105E-2</c:v>
                </c:pt>
                <c:pt idx="1885">
                  <c:v>1.7458365478083795E-2</c:v>
                </c:pt>
                <c:pt idx="1886">
                  <c:v>1.5924896166856901E-2</c:v>
                </c:pt>
                <c:pt idx="1887">
                  <c:v>1.7294639363341819E-2</c:v>
                </c:pt>
                <c:pt idx="1888">
                  <c:v>1.6436359453411299E-2</c:v>
                </c:pt>
                <c:pt idx="1889">
                  <c:v>1.5920786575623416E-2</c:v>
                </c:pt>
                <c:pt idx="1890">
                  <c:v>1.6414266290940092E-2</c:v>
                </c:pt>
                <c:pt idx="1891">
                  <c:v>1.6742606192130471E-2</c:v>
                </c:pt>
                <c:pt idx="1892">
                  <c:v>1.7767801259600157E-2</c:v>
                </c:pt>
                <c:pt idx="1893">
                  <c:v>1.7619001180218193E-2</c:v>
                </c:pt>
                <c:pt idx="1894">
                  <c:v>1.7744393027934232E-2</c:v>
                </c:pt>
                <c:pt idx="1895">
                  <c:v>1.7743143712199254E-2</c:v>
                </c:pt>
                <c:pt idx="1896">
                  <c:v>1.6901236413742929E-2</c:v>
                </c:pt>
                <c:pt idx="1897">
                  <c:v>1.8388513919505474E-2</c:v>
                </c:pt>
                <c:pt idx="1898">
                  <c:v>1.7909467088600795E-2</c:v>
                </c:pt>
                <c:pt idx="1899">
                  <c:v>1.8431582435632379E-2</c:v>
                </c:pt>
                <c:pt idx="1900">
                  <c:v>1.7541346344270292E-2</c:v>
                </c:pt>
                <c:pt idx="1901">
                  <c:v>1.5665235754360494E-2</c:v>
                </c:pt>
                <c:pt idx="1902">
                  <c:v>1.4196303463864215E-2</c:v>
                </c:pt>
                <c:pt idx="1903">
                  <c:v>1.4201530863913207E-2</c:v>
                </c:pt>
                <c:pt idx="1904">
                  <c:v>1.3897585496284779E-2</c:v>
                </c:pt>
                <c:pt idx="1905">
                  <c:v>1.453184336889566E-2</c:v>
                </c:pt>
                <c:pt idx="1906">
                  <c:v>1.5872753673286465E-2</c:v>
                </c:pt>
                <c:pt idx="1907">
                  <c:v>1.4814714752678787E-2</c:v>
                </c:pt>
                <c:pt idx="1908">
                  <c:v>1.5354221889810473E-2</c:v>
                </c:pt>
                <c:pt idx="1909">
                  <c:v>1.4910616173703352E-2</c:v>
                </c:pt>
                <c:pt idx="1910">
                  <c:v>1.5915855066143236E-2</c:v>
                </c:pt>
                <c:pt idx="1911">
                  <c:v>1.5396238350581607E-2</c:v>
                </c:pt>
                <c:pt idx="1912">
                  <c:v>1.4455141958113928E-2</c:v>
                </c:pt>
                <c:pt idx="1913">
                  <c:v>1.2527283395392106E-2</c:v>
                </c:pt>
                <c:pt idx="1914">
                  <c:v>1.3397201667695853E-2</c:v>
                </c:pt>
                <c:pt idx="1915">
                  <c:v>1.1846274812909119E-2</c:v>
                </c:pt>
                <c:pt idx="1916">
                  <c:v>1.0864345521945552E-2</c:v>
                </c:pt>
                <c:pt idx="1917">
                  <c:v>1.1517770528069397E-2</c:v>
                </c:pt>
                <c:pt idx="1918">
                  <c:v>1.059870154461319E-2</c:v>
                </c:pt>
                <c:pt idx="1919">
                  <c:v>1.1061605901152752E-2</c:v>
                </c:pt>
                <c:pt idx="1920">
                  <c:v>8.1832810779509085E-3</c:v>
                </c:pt>
                <c:pt idx="1921">
                  <c:v>9.3934735043870749E-3</c:v>
                </c:pt>
                <c:pt idx="1922">
                  <c:v>9.5565420845316919E-3</c:v>
                </c:pt>
                <c:pt idx="1923">
                  <c:v>8.955949983305506E-3</c:v>
                </c:pt>
                <c:pt idx="1924">
                  <c:v>8.0541741597597964E-3</c:v>
                </c:pt>
                <c:pt idx="1925">
                  <c:v>7.9463056090633265E-3</c:v>
                </c:pt>
                <c:pt idx="1926">
                  <c:v>7.7157082257701117E-3</c:v>
                </c:pt>
                <c:pt idx="1927">
                  <c:v>7.3580094048077242E-3</c:v>
                </c:pt>
                <c:pt idx="1928">
                  <c:v>6.7704364886092159E-3</c:v>
                </c:pt>
                <c:pt idx="1929">
                  <c:v>6.3498116066797311E-3</c:v>
                </c:pt>
                <c:pt idx="1930">
                  <c:v>6.7631378545785483E-3</c:v>
                </c:pt>
                <c:pt idx="1931">
                  <c:v>4.8728573940956975E-3</c:v>
                </c:pt>
                <c:pt idx="1932">
                  <c:v>3.3731853611729686E-3</c:v>
                </c:pt>
                <c:pt idx="1933">
                  <c:v>4.6967367521935375E-3</c:v>
                </c:pt>
                <c:pt idx="1934">
                  <c:v>5.4815371708693784E-3</c:v>
                </c:pt>
                <c:pt idx="1935">
                  <c:v>5.0632136600306443E-3</c:v>
                </c:pt>
                <c:pt idx="1936">
                  <c:v>5.44221660194741E-3</c:v>
                </c:pt>
                <c:pt idx="1937">
                  <c:v>4.9545231910874772E-3</c:v>
                </c:pt>
                <c:pt idx="1938">
                  <c:v>5.8005729575071538E-3</c:v>
                </c:pt>
                <c:pt idx="1939">
                  <c:v>3.7710266693040204E-3</c:v>
                </c:pt>
                <c:pt idx="1940">
                  <c:v>3.8450650649664558E-3</c:v>
                </c:pt>
                <c:pt idx="1941">
                  <c:v>5.0440465265176784E-3</c:v>
                </c:pt>
                <c:pt idx="1942">
                  <c:v>4.3816790498697718E-3</c:v>
                </c:pt>
                <c:pt idx="1943">
                  <c:v>3.3543798716885484E-3</c:v>
                </c:pt>
                <c:pt idx="1944">
                  <c:v>2.182738698695444E-3</c:v>
                </c:pt>
                <c:pt idx="1945">
                  <c:v>2.1132668808116553E-3</c:v>
                </c:pt>
                <c:pt idx="1946">
                  <c:v>2.1087233167439161E-3</c:v>
                </c:pt>
                <c:pt idx="1947">
                  <c:v>1.9277665078781924E-3</c:v>
                </c:pt>
                <c:pt idx="1948">
                  <c:v>1.4403163848192833E-3</c:v>
                </c:pt>
                <c:pt idx="1949">
                  <c:v>1.6073630492779128E-3</c:v>
                </c:pt>
                <c:pt idx="1950">
                  <c:v>1.5062210775124082E-3</c:v>
                </c:pt>
                <c:pt idx="1951">
                  <c:v>1.1933003626300551E-3</c:v>
                </c:pt>
                <c:pt idx="1952">
                  <c:v>1.2273047643323895E-3</c:v>
                </c:pt>
                <c:pt idx="1953">
                  <c:v>1.3692894976127443E-3</c:v>
                </c:pt>
                <c:pt idx="1954">
                  <c:v>1.4406550151369222E-3</c:v>
                </c:pt>
                <c:pt idx="1955">
                  <c:v>1.222162843781055E-3</c:v>
                </c:pt>
                <c:pt idx="1956">
                  <c:v>1.0448454889117041E-3</c:v>
                </c:pt>
                <c:pt idx="1957">
                  <c:v>9.2675227522632771E-4</c:v>
                </c:pt>
                <c:pt idx="1958">
                  <c:v>1.2751798583659768E-3</c:v>
                </c:pt>
                <c:pt idx="1959">
                  <c:v>8.5624155267871452E-4</c:v>
                </c:pt>
                <c:pt idx="1960">
                  <c:v>1.1489660924032372E-3</c:v>
                </c:pt>
                <c:pt idx="1961">
                  <c:v>7.8915329771034619E-4</c:v>
                </c:pt>
                <c:pt idx="1962">
                  <c:v>7.4080806643964851E-4</c:v>
                </c:pt>
                <c:pt idx="1963">
                  <c:v>7.7506890663495219E-4</c:v>
                </c:pt>
                <c:pt idx="1964">
                  <c:v>4.8330765509555792E-4</c:v>
                </c:pt>
                <c:pt idx="1965">
                  <c:v>6.6570775240248111E-4</c:v>
                </c:pt>
                <c:pt idx="1966">
                  <c:v>5.8854277972961177E-4</c:v>
                </c:pt>
                <c:pt idx="1967">
                  <c:v>4.168473456676658E-4</c:v>
                </c:pt>
                <c:pt idx="1968">
                  <c:v>4.2931091396057402E-4</c:v>
                </c:pt>
                <c:pt idx="1969">
                  <c:v>4.6490983706149987E-4</c:v>
                </c:pt>
                <c:pt idx="1970">
                  <c:v>4.4657777248717755E-4</c:v>
                </c:pt>
                <c:pt idx="1971">
                  <c:v>4.694270997453447E-4</c:v>
                </c:pt>
                <c:pt idx="1972">
                  <c:v>2.5513591693199363E-4</c:v>
                </c:pt>
                <c:pt idx="1973">
                  <c:v>4.8222929835589189E-4</c:v>
                </c:pt>
                <c:pt idx="1974">
                  <c:v>3.5645936824636872E-4</c:v>
                </c:pt>
                <c:pt idx="1975">
                  <c:v>2.7361428295422801E-4</c:v>
                </c:pt>
                <c:pt idx="1976">
                  <c:v>2.2190773482183969E-4</c:v>
                </c:pt>
                <c:pt idx="1977">
                  <c:v>3.3101277932864003E-4</c:v>
                </c:pt>
                <c:pt idx="1978">
                  <c:v>2.2934346481605505E-4</c:v>
                </c:pt>
                <c:pt idx="1979">
                  <c:v>1.3769793647288382E-4</c:v>
                </c:pt>
                <c:pt idx="1980">
                  <c:v>1.7422464089068086E-4</c:v>
                </c:pt>
                <c:pt idx="1981">
                  <c:v>2.9506141768353072E-4</c:v>
                </c:pt>
                <c:pt idx="1982">
                  <c:v>5.1504356243700948E-5</c:v>
                </c:pt>
                <c:pt idx="1983">
                  <c:v>1.7409083260011863E-4</c:v>
                </c:pt>
                <c:pt idx="1984">
                  <c:v>2.4409492474046808E-4</c:v>
                </c:pt>
                <c:pt idx="1985">
                  <c:v>7.0492640346185909E-5</c:v>
                </c:pt>
                <c:pt idx="1986">
                  <c:v>1.2202428427567719E-4</c:v>
                </c:pt>
                <c:pt idx="1987">
                  <c:v>5.0337889867989045E-5</c:v>
                </c:pt>
                <c:pt idx="1988">
                  <c:v>1.7102047479775858E-5</c:v>
                </c:pt>
                <c:pt idx="1989">
                  <c:v>5.2319041609826673E-5</c:v>
                </c:pt>
                <c:pt idx="1990">
                  <c:v>8.6190292556196106E-5</c:v>
                </c:pt>
                <c:pt idx="1991">
                  <c:v>1.7734398502054404E-5</c:v>
                </c:pt>
                <c:pt idx="1992">
                  <c:v>5.1601342596811159E-5</c:v>
                </c:pt>
                <c:pt idx="1993">
                  <c:v>1.7991264392512042E-5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1.8055604152863458E-5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24-40BF-8756-E522498F9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822688"/>
        <c:axId val="567819408"/>
      </c:scatterChart>
      <c:valAx>
        <c:axId val="5678226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19408"/>
        <c:crosses val="autoZero"/>
        <c:crossBetween val="midCat"/>
      </c:valAx>
      <c:valAx>
        <c:axId val="56781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22688"/>
        <c:crossesAt val="1.0000000000000006E-1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Neutron Spectrum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'!$I$3:$I$2002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'!$J$3:$J$2002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3.4828667590758302E-3</c:v>
                </c:pt>
                <c:pt idx="179">
                  <c:v>6.6287437296094908E-5</c:v>
                </c:pt>
                <c:pt idx="180">
                  <c:v>6.9904393582343854E-5</c:v>
                </c:pt>
                <c:pt idx="181">
                  <c:v>7.6315843058984376E-5</c:v>
                </c:pt>
                <c:pt idx="182">
                  <c:v>7.3563413691147446E-5</c:v>
                </c:pt>
                <c:pt idx="183">
                  <c:v>7.2676346243349604E-5</c:v>
                </c:pt>
                <c:pt idx="184">
                  <c:v>7.8201793179092413E-5</c:v>
                </c:pt>
                <c:pt idx="185">
                  <c:v>9.0002204023777321E-5</c:v>
                </c:pt>
                <c:pt idx="186">
                  <c:v>8.5215447507749339E-5</c:v>
                </c:pt>
                <c:pt idx="187">
                  <c:v>8.7161564867713993E-5</c:v>
                </c:pt>
                <c:pt idx="188">
                  <c:v>7.8826538560494643E-5</c:v>
                </c:pt>
                <c:pt idx="189">
                  <c:v>9.4222075099976131E-5</c:v>
                </c:pt>
                <c:pt idx="190">
                  <c:v>1.1742905872078587E-4</c:v>
                </c:pt>
                <c:pt idx="191">
                  <c:v>1.0503371988790197E-4</c:v>
                </c:pt>
                <c:pt idx="192">
                  <c:v>8.4495570443269942E-5</c:v>
                </c:pt>
                <c:pt idx="193">
                  <c:v>9.1418530200933557E-5</c:v>
                </c:pt>
                <c:pt idx="194">
                  <c:v>8.208692851968761E-5</c:v>
                </c:pt>
                <c:pt idx="195">
                  <c:v>1.1242506119713392E-4</c:v>
                </c:pt>
                <c:pt idx="196">
                  <c:v>9.874934930134215E-5</c:v>
                </c:pt>
                <c:pt idx="197">
                  <c:v>1.0378121188888051E-4</c:v>
                </c:pt>
                <c:pt idx="198">
                  <c:v>9.0130347820758123E-5</c:v>
                </c:pt>
                <c:pt idx="199">
                  <c:v>1.1382399389492156E-4</c:v>
                </c:pt>
                <c:pt idx="200">
                  <c:v>1.1697185869166878E-4</c:v>
                </c:pt>
                <c:pt idx="201">
                  <c:v>1.0828718795224418E-4</c:v>
                </c:pt>
                <c:pt idx="202">
                  <c:v>1.3840612729274965E-4</c:v>
                </c:pt>
                <c:pt idx="203">
                  <c:v>1.2605160989103694E-4</c:v>
                </c:pt>
                <c:pt idx="204">
                  <c:v>1.2207240777426469E-4</c:v>
                </c:pt>
                <c:pt idx="205">
                  <c:v>1.3682278821675837E-4</c:v>
                </c:pt>
                <c:pt idx="206">
                  <c:v>1.3258002164220702E-4</c:v>
                </c:pt>
                <c:pt idx="207">
                  <c:v>1.2874085478280022E-4</c:v>
                </c:pt>
                <c:pt idx="208">
                  <c:v>1.199097593446095E-4</c:v>
                </c:pt>
                <c:pt idx="209">
                  <c:v>1.6631946695862853E-4</c:v>
                </c:pt>
                <c:pt idx="210">
                  <c:v>1.3308354512147925E-4</c:v>
                </c:pt>
                <c:pt idx="211">
                  <c:v>1.4706133560793766E-4</c:v>
                </c:pt>
                <c:pt idx="212">
                  <c:v>1.6493278069019225E-4</c:v>
                </c:pt>
                <c:pt idx="213">
                  <c:v>1.735588815501104E-4</c:v>
                </c:pt>
                <c:pt idx="214">
                  <c:v>1.4745410876959767E-4</c:v>
                </c:pt>
                <c:pt idx="215">
                  <c:v>1.7966221796365025E-4</c:v>
                </c:pt>
                <c:pt idx="216">
                  <c:v>2.0374508750980658E-4</c:v>
                </c:pt>
                <c:pt idx="217">
                  <c:v>1.5740122663911152E-4</c:v>
                </c:pt>
                <c:pt idx="218">
                  <c:v>1.918341038319928E-4</c:v>
                </c:pt>
                <c:pt idx="219">
                  <c:v>1.9728642716059422E-4</c:v>
                </c:pt>
                <c:pt idx="220">
                  <c:v>1.9001488787762549E-4</c:v>
                </c:pt>
                <c:pt idx="221">
                  <c:v>1.8207245724758276E-4</c:v>
                </c:pt>
                <c:pt idx="222">
                  <c:v>2.0352145706078193E-4</c:v>
                </c:pt>
                <c:pt idx="223">
                  <c:v>1.8072002548443359E-4</c:v>
                </c:pt>
                <c:pt idx="224">
                  <c:v>1.8158614976319579E-4</c:v>
                </c:pt>
                <c:pt idx="225">
                  <c:v>2.0922580835574446E-4</c:v>
                </c:pt>
                <c:pt idx="226">
                  <c:v>2.3298920583186559E-4</c:v>
                </c:pt>
                <c:pt idx="227">
                  <c:v>2.7379111370986608E-4</c:v>
                </c:pt>
                <c:pt idx="228">
                  <c:v>2.3264133624449387E-4</c:v>
                </c:pt>
                <c:pt idx="229">
                  <c:v>2.3983655719962089E-4</c:v>
                </c:pt>
                <c:pt idx="230">
                  <c:v>2.3251532226131337E-4</c:v>
                </c:pt>
                <c:pt idx="231">
                  <c:v>2.5233678936216632E-4</c:v>
                </c:pt>
                <c:pt idx="232">
                  <c:v>2.3961292675059618E-4</c:v>
                </c:pt>
                <c:pt idx="233">
                  <c:v>2.5453759695574243E-4</c:v>
                </c:pt>
                <c:pt idx="234">
                  <c:v>2.9858569603426758E-4</c:v>
                </c:pt>
                <c:pt idx="235">
                  <c:v>2.7132407939126063E-4</c:v>
                </c:pt>
                <c:pt idx="236">
                  <c:v>2.9257252173827097E-4</c:v>
                </c:pt>
                <c:pt idx="237">
                  <c:v>3.118153894233935E-4</c:v>
                </c:pt>
                <c:pt idx="238">
                  <c:v>3.3541727601966352E-4</c:v>
                </c:pt>
                <c:pt idx="239">
                  <c:v>2.9174189435617943E-4</c:v>
                </c:pt>
                <c:pt idx="240">
                  <c:v>3.4012948905268327E-4</c:v>
                </c:pt>
                <c:pt idx="241">
                  <c:v>3.3483867660393299E-4</c:v>
                </c:pt>
                <c:pt idx="242">
                  <c:v>4.2110500973761497E-4</c:v>
                </c:pt>
                <c:pt idx="243">
                  <c:v>3.8386521544050739E-4</c:v>
                </c:pt>
                <c:pt idx="244">
                  <c:v>3.7664159696804394E-4</c:v>
                </c:pt>
                <c:pt idx="245">
                  <c:v>3.2940232687883342E-4</c:v>
                </c:pt>
                <c:pt idx="246">
                  <c:v>4.1985374412997691E-4</c:v>
                </c:pt>
                <c:pt idx="247">
                  <c:v>3.594415756863134E-4</c:v>
                </c:pt>
                <c:pt idx="248">
                  <c:v>3.9599627987767878E-4</c:v>
                </c:pt>
                <c:pt idx="249">
                  <c:v>4.141014720245091E-4</c:v>
                </c:pt>
                <c:pt idx="250">
                  <c:v>4.431858543115505E-4</c:v>
                </c:pt>
                <c:pt idx="251">
                  <c:v>4.6802480775679032E-4</c:v>
                </c:pt>
                <c:pt idx="252">
                  <c:v>4.4071172061361093E-4</c:v>
                </c:pt>
                <c:pt idx="253">
                  <c:v>4.4550912619864005E-4</c:v>
                </c:pt>
                <c:pt idx="254">
                  <c:v>4.2206520079255419E-4</c:v>
                </c:pt>
                <c:pt idx="255">
                  <c:v>4.543656019179503E-4</c:v>
                </c:pt>
                <c:pt idx="256">
                  <c:v>5.0641470150602466E-4</c:v>
                </c:pt>
                <c:pt idx="257">
                  <c:v>4.7911758796634709E-4</c:v>
                </c:pt>
                <c:pt idx="258">
                  <c:v>5.2029221325938877E-4</c:v>
                </c:pt>
                <c:pt idx="259">
                  <c:v>5.4419404863252521E-4</c:v>
                </c:pt>
                <c:pt idx="260">
                  <c:v>5.4420647254635978E-4</c:v>
                </c:pt>
                <c:pt idx="261">
                  <c:v>5.5427516728697042E-4</c:v>
                </c:pt>
                <c:pt idx="262">
                  <c:v>5.4653506896794996E-4</c:v>
                </c:pt>
                <c:pt idx="263">
                  <c:v>5.7294653493569661E-4</c:v>
                </c:pt>
                <c:pt idx="264">
                  <c:v>5.8126700751528094E-4</c:v>
                </c:pt>
                <c:pt idx="265">
                  <c:v>5.8564909940926428E-4</c:v>
                </c:pt>
                <c:pt idx="266">
                  <c:v>7.128682022317967E-4</c:v>
                </c:pt>
                <c:pt idx="267">
                  <c:v>6.3199917223687673E-4</c:v>
                </c:pt>
                <c:pt idx="268">
                  <c:v>6.3656939768321407E-4</c:v>
                </c:pt>
                <c:pt idx="269">
                  <c:v>7.9901207107196514E-4</c:v>
                </c:pt>
                <c:pt idx="270">
                  <c:v>7.3938970857922212E-4</c:v>
                </c:pt>
                <c:pt idx="271">
                  <c:v>7.4889400266277045E-4</c:v>
                </c:pt>
                <c:pt idx="272">
                  <c:v>7.6253546005327505E-4</c:v>
                </c:pt>
                <c:pt idx="273">
                  <c:v>7.5182072179325987E-4</c:v>
                </c:pt>
                <c:pt idx="274">
                  <c:v>7.5861305297117584E-4</c:v>
                </c:pt>
                <c:pt idx="275">
                  <c:v>8.1903409563900686E-4</c:v>
                </c:pt>
                <c:pt idx="276">
                  <c:v>8.5277034623472804E-4</c:v>
                </c:pt>
                <c:pt idx="277">
                  <c:v>7.7639877304797077E-4</c:v>
                </c:pt>
                <c:pt idx="278">
                  <c:v>8.474404871996402E-4</c:v>
                </c:pt>
                <c:pt idx="279">
                  <c:v>9.0040185703214859E-4</c:v>
                </c:pt>
                <c:pt idx="280">
                  <c:v>9.2621342544616219E-4</c:v>
                </c:pt>
                <c:pt idx="281">
                  <c:v>9.0757045531477266E-4</c:v>
                </c:pt>
                <c:pt idx="282">
                  <c:v>9.2448827626797193E-4</c:v>
                </c:pt>
                <c:pt idx="283">
                  <c:v>1.0041291136380899E-3</c:v>
                </c:pt>
                <c:pt idx="284">
                  <c:v>1.0205996736932397E-3</c:v>
                </c:pt>
                <c:pt idx="285">
                  <c:v>9.7836546603458107E-4</c:v>
                </c:pt>
                <c:pt idx="286">
                  <c:v>9.8963218103782411E-4</c:v>
                </c:pt>
                <c:pt idx="287">
                  <c:v>1.0963731241710978E-3</c:v>
                </c:pt>
                <c:pt idx="288">
                  <c:v>1.1327343702756084E-3</c:v>
                </c:pt>
                <c:pt idx="289">
                  <c:v>1.063927185769352E-3</c:v>
                </c:pt>
                <c:pt idx="290">
                  <c:v>1.1780301852721046E-3</c:v>
                </c:pt>
                <c:pt idx="291">
                  <c:v>1.2043032133428359E-3</c:v>
                </c:pt>
                <c:pt idx="292">
                  <c:v>1.2127106533192631E-3</c:v>
                </c:pt>
                <c:pt idx="293">
                  <c:v>1.1592683005368684E-3</c:v>
                </c:pt>
                <c:pt idx="294">
                  <c:v>1.2696334768202086E-3</c:v>
                </c:pt>
                <c:pt idx="295">
                  <c:v>1.3093065833840844E-3</c:v>
                </c:pt>
                <c:pt idx="296">
                  <c:v>1.2771037987245326E-3</c:v>
                </c:pt>
                <c:pt idx="297">
                  <c:v>1.3044239852470459E-3</c:v>
                </c:pt>
                <c:pt idx="298">
                  <c:v>1.387832818198746E-3</c:v>
                </c:pt>
                <c:pt idx="299">
                  <c:v>1.4215814927083018E-3</c:v>
                </c:pt>
                <c:pt idx="300">
                  <c:v>1.5695645052382909E-3</c:v>
                </c:pt>
                <c:pt idx="301">
                  <c:v>1.5395483294136469E-3</c:v>
                </c:pt>
                <c:pt idx="302">
                  <c:v>1.6191394711284261E-3</c:v>
                </c:pt>
                <c:pt idx="303">
                  <c:v>1.5633081772001012E-3</c:v>
                </c:pt>
                <c:pt idx="304">
                  <c:v>1.7181119184253425E-3</c:v>
                </c:pt>
                <c:pt idx="305">
                  <c:v>1.7423971202825215E-3</c:v>
                </c:pt>
                <c:pt idx="306">
                  <c:v>1.7182219588050215E-3</c:v>
                </c:pt>
                <c:pt idx="307">
                  <c:v>1.8581383015666209E-3</c:v>
                </c:pt>
                <c:pt idx="308">
                  <c:v>1.7645631574084663E-3</c:v>
                </c:pt>
                <c:pt idx="309">
                  <c:v>1.8580140624282738E-3</c:v>
                </c:pt>
                <c:pt idx="310">
                  <c:v>1.8422001949615298E-3</c:v>
                </c:pt>
                <c:pt idx="311">
                  <c:v>1.8490865929156226E-3</c:v>
                </c:pt>
                <c:pt idx="312">
                  <c:v>1.9694033241805606E-3</c:v>
                </c:pt>
                <c:pt idx="313">
                  <c:v>2.0839340612881932E-3</c:v>
                </c:pt>
                <c:pt idx="314">
                  <c:v>2.1561702460128275E-3</c:v>
                </c:pt>
                <c:pt idx="315">
                  <c:v>2.135209328528849E-3</c:v>
                </c:pt>
                <c:pt idx="316">
                  <c:v>2.3278509867600975E-3</c:v>
                </c:pt>
                <c:pt idx="317">
                  <c:v>2.3426531926717302E-3</c:v>
                </c:pt>
                <c:pt idx="318">
                  <c:v>2.3362105059260194E-3</c:v>
                </c:pt>
                <c:pt idx="319">
                  <c:v>2.3753635829536716E-3</c:v>
                </c:pt>
                <c:pt idx="320">
                  <c:v>2.4125288337677711E-3</c:v>
                </c:pt>
                <c:pt idx="321">
                  <c:v>2.4100263025524948E-3</c:v>
                </c:pt>
                <c:pt idx="322">
                  <c:v>2.4515931685537467E-3</c:v>
                </c:pt>
                <c:pt idx="323">
                  <c:v>2.6554695945812342E-3</c:v>
                </c:pt>
                <c:pt idx="324">
                  <c:v>2.7274750494775098E-3</c:v>
                </c:pt>
                <c:pt idx="325">
                  <c:v>2.809774604408254E-3</c:v>
                </c:pt>
                <c:pt idx="326">
                  <c:v>2.9207024065038231E-3</c:v>
                </c:pt>
                <c:pt idx="327">
                  <c:v>3.0011916197043675E-3</c:v>
                </c:pt>
                <c:pt idx="328">
                  <c:v>2.9952458895120453E-3</c:v>
                </c:pt>
                <c:pt idx="329">
                  <c:v>3.0138640118157652E-3</c:v>
                </c:pt>
                <c:pt idx="330">
                  <c:v>3.1293531651335037E-3</c:v>
                </c:pt>
                <c:pt idx="331">
                  <c:v>3.2315664790964448E-3</c:v>
                </c:pt>
                <c:pt idx="332">
                  <c:v>3.3740510223321612E-3</c:v>
                </c:pt>
                <c:pt idx="333">
                  <c:v>3.3162443261041184E-3</c:v>
                </c:pt>
                <c:pt idx="334">
                  <c:v>3.3949231975744635E-3</c:v>
                </c:pt>
                <c:pt idx="335">
                  <c:v>3.4791040880287481E-3</c:v>
                </c:pt>
                <c:pt idx="336">
                  <c:v>3.5681125564302331E-3</c:v>
                </c:pt>
                <c:pt idx="337">
                  <c:v>3.6798922840458955E-3</c:v>
                </c:pt>
                <c:pt idx="338">
                  <c:v>3.8004752420358629E-3</c:v>
                </c:pt>
                <c:pt idx="339">
                  <c:v>3.6435434618552194E-3</c:v>
                </c:pt>
                <c:pt idx="340">
                  <c:v>4.0287557845243753E-3</c:v>
                </c:pt>
                <c:pt idx="341">
                  <c:v>4.2938466088602821E-3</c:v>
                </c:pt>
                <c:pt idx="342">
                  <c:v>4.1585501872003581E-3</c:v>
                </c:pt>
                <c:pt idx="343">
                  <c:v>4.2196758432671002E-3</c:v>
                </c:pt>
                <c:pt idx="344">
                  <c:v>4.4323022543238874E-3</c:v>
                </c:pt>
                <c:pt idx="345">
                  <c:v>4.5778572791216089E-3</c:v>
                </c:pt>
                <c:pt idx="346">
                  <c:v>4.7041374890272047E-3</c:v>
                </c:pt>
                <c:pt idx="347">
                  <c:v>4.7786987204837626E-3</c:v>
                </c:pt>
                <c:pt idx="348">
                  <c:v>4.6387167084633212E-3</c:v>
                </c:pt>
                <c:pt idx="349">
                  <c:v>5.1852091811552675E-3</c:v>
                </c:pt>
                <c:pt idx="350">
                  <c:v>5.104684471058051E-3</c:v>
                </c:pt>
                <c:pt idx="351">
                  <c:v>5.3232921092038303E-3</c:v>
                </c:pt>
                <c:pt idx="352">
                  <c:v>5.2231731121444537E-3</c:v>
                </c:pt>
                <c:pt idx="353">
                  <c:v>5.579526457820427E-3</c:v>
                </c:pt>
                <c:pt idx="354">
                  <c:v>5.5010605677301054E-3</c:v>
                </c:pt>
                <c:pt idx="355">
                  <c:v>5.8589402799629131E-3</c:v>
                </c:pt>
                <c:pt idx="356">
                  <c:v>6.1176061660014446E-3</c:v>
                </c:pt>
                <c:pt idx="357">
                  <c:v>6.0391757728077934E-3</c:v>
                </c:pt>
                <c:pt idx="358">
                  <c:v>6.122415995500308E-3</c:v>
                </c:pt>
                <c:pt idx="359">
                  <c:v>6.2027277242175001E-3</c:v>
                </c:pt>
                <c:pt idx="360">
                  <c:v>6.5142662378468632E-3</c:v>
                </c:pt>
                <c:pt idx="361">
                  <c:v>6.8159898595468102E-3</c:v>
                </c:pt>
                <c:pt idx="362">
                  <c:v>6.8061749676173941E-3</c:v>
                </c:pt>
                <c:pt idx="363">
                  <c:v>7.2692497331334725E-3</c:v>
                </c:pt>
                <c:pt idx="364">
                  <c:v>7.0318819850972904E-3</c:v>
                </c:pt>
                <c:pt idx="365">
                  <c:v>7.489649964561116E-3</c:v>
                </c:pt>
                <c:pt idx="366">
                  <c:v>7.5705118951767021E-3</c:v>
                </c:pt>
                <c:pt idx="367">
                  <c:v>7.8092285252863644E-3</c:v>
                </c:pt>
                <c:pt idx="368">
                  <c:v>8.1176078151120462E-3</c:v>
                </c:pt>
                <c:pt idx="369">
                  <c:v>8.0244462098001037E-3</c:v>
                </c:pt>
                <c:pt idx="370">
                  <c:v>8.4147878340381597E-3</c:v>
                </c:pt>
                <c:pt idx="371">
                  <c:v>8.6138899274634546E-3</c:v>
                </c:pt>
                <c:pt idx="372">
                  <c:v>8.5572723772738748E-3</c:v>
                </c:pt>
                <c:pt idx="373">
                  <c:v>8.9106617320778552E-3</c:v>
                </c:pt>
                <c:pt idx="374">
                  <c:v>9.1741729445119196E-3</c:v>
                </c:pt>
                <c:pt idx="375">
                  <c:v>9.4838123741694067E-3</c:v>
                </c:pt>
                <c:pt idx="376">
                  <c:v>9.6926406172824411E-3</c:v>
                </c:pt>
                <c:pt idx="377">
                  <c:v>9.935829856372598E-3</c:v>
                </c:pt>
                <c:pt idx="378">
                  <c:v>1.0076113592014737E-2</c:v>
                </c:pt>
                <c:pt idx="379">
                  <c:v>1.0438199686503011E-2</c:v>
                </c:pt>
                <c:pt idx="380">
                  <c:v>1.0729327484546788E-2</c:v>
                </c:pt>
                <c:pt idx="381">
                  <c:v>1.0782200112137621E-2</c:v>
                </c:pt>
                <c:pt idx="382">
                  <c:v>1.1226213044141594E-2</c:v>
                </c:pt>
                <c:pt idx="383">
                  <c:v>1.1751762347797897E-2</c:v>
                </c:pt>
                <c:pt idx="384">
                  <c:v>1.1974700607337487E-2</c:v>
                </c:pt>
                <c:pt idx="385">
                  <c:v>1.196202821522609E-2</c:v>
                </c:pt>
                <c:pt idx="386">
                  <c:v>1.2328444931108172E-2</c:v>
                </c:pt>
                <c:pt idx="387">
                  <c:v>1.2460138417756032E-2</c:v>
                </c:pt>
                <c:pt idx="388">
                  <c:v>1.2956952983557497E-2</c:v>
                </c:pt>
                <c:pt idx="389">
                  <c:v>1.3216044832356076E-2</c:v>
                </c:pt>
                <c:pt idx="390">
                  <c:v>1.363744624118089E-2</c:v>
                </c:pt>
                <c:pt idx="391">
                  <c:v>1.3603777434688843E-2</c:v>
                </c:pt>
                <c:pt idx="392">
                  <c:v>1.387685506077563E-2</c:v>
                </c:pt>
                <c:pt idx="393">
                  <c:v>1.4296197649593551E-2</c:v>
                </c:pt>
                <c:pt idx="394">
                  <c:v>1.4980151854642325E-2</c:v>
                </c:pt>
                <c:pt idx="395">
                  <c:v>1.5216277211295037E-2</c:v>
                </c:pt>
                <c:pt idx="396">
                  <c:v>1.5553178257595533E-2</c:v>
                </c:pt>
                <c:pt idx="397">
                  <c:v>1.5849399860311537E-2</c:v>
                </c:pt>
                <c:pt idx="398">
                  <c:v>1.6456627523206847E-2</c:v>
                </c:pt>
                <c:pt idx="399">
                  <c:v>1.6837012267928806E-2</c:v>
                </c:pt>
                <c:pt idx="400">
                  <c:v>1.7398661915499089E-2</c:v>
                </c:pt>
                <c:pt idx="401">
                  <c:v>1.779264197164588E-2</c:v>
                </c:pt>
                <c:pt idx="402">
                  <c:v>1.8119568389981938E-2</c:v>
                </c:pt>
                <c:pt idx="403">
                  <c:v>1.8530622453427278E-2</c:v>
                </c:pt>
                <c:pt idx="404">
                  <c:v>1.81355419934837E-2</c:v>
                </c:pt>
                <c:pt idx="405">
                  <c:v>1.8990484749794669E-2</c:v>
                </c:pt>
                <c:pt idx="406">
                  <c:v>1.9701665074589779E-2</c:v>
                </c:pt>
                <c:pt idx="407">
                  <c:v>1.9870807787225102E-2</c:v>
                </c:pt>
                <c:pt idx="408">
                  <c:v>2.0753083153972417E-2</c:v>
                </c:pt>
                <c:pt idx="409">
                  <c:v>2.0888858783737391E-2</c:v>
                </c:pt>
                <c:pt idx="410">
                  <c:v>2.1389542511275953E-2</c:v>
                </c:pt>
                <c:pt idx="411">
                  <c:v>2.2015530284061668E-2</c:v>
                </c:pt>
                <c:pt idx="412">
                  <c:v>2.2667608275900256E-2</c:v>
                </c:pt>
                <c:pt idx="413">
                  <c:v>2.3676075110311497E-2</c:v>
                </c:pt>
                <c:pt idx="414">
                  <c:v>2.387042061958293E-2</c:v>
                </c:pt>
                <c:pt idx="415">
                  <c:v>2.3977976216494792E-2</c:v>
                </c:pt>
                <c:pt idx="416">
                  <c:v>2.482493217105488E-2</c:v>
                </c:pt>
                <c:pt idx="417">
                  <c:v>2.5195519772295755E-2</c:v>
                </c:pt>
                <c:pt idx="418">
                  <c:v>2.5508602400930287E-2</c:v>
                </c:pt>
                <c:pt idx="419">
                  <c:v>2.6302135526001153E-2</c:v>
                </c:pt>
                <c:pt idx="420">
                  <c:v>2.704419815089967E-2</c:v>
                </c:pt>
                <c:pt idx="421">
                  <c:v>2.7521986380085704E-2</c:v>
                </c:pt>
                <c:pt idx="422">
                  <c:v>2.8418815474467955E-2</c:v>
                </c:pt>
                <c:pt idx="423">
                  <c:v>2.9095741293975953E-2</c:v>
                </c:pt>
                <c:pt idx="424">
                  <c:v>2.9339427489619499E-2</c:v>
                </c:pt>
                <c:pt idx="425">
                  <c:v>2.9785091027318661E-2</c:v>
                </c:pt>
                <c:pt idx="426">
                  <c:v>3.0980803991667211E-2</c:v>
                </c:pt>
                <c:pt idx="427">
                  <c:v>3.1690209471628795E-2</c:v>
                </c:pt>
                <c:pt idx="428">
                  <c:v>3.2374057185987556E-2</c:v>
                </c:pt>
                <c:pt idx="429">
                  <c:v>3.277321978904825E-2</c:v>
                </c:pt>
                <c:pt idx="430">
                  <c:v>3.336530802551356E-2</c:v>
                </c:pt>
                <c:pt idx="431">
                  <c:v>3.4181914133420296E-2</c:v>
                </c:pt>
                <c:pt idx="432">
                  <c:v>3.4918119770368169E-2</c:v>
                </c:pt>
                <c:pt idx="433">
                  <c:v>3.6212336622977584E-2</c:v>
                </c:pt>
                <c:pt idx="434">
                  <c:v>3.6985281547979511E-2</c:v>
                </c:pt>
                <c:pt idx="435">
                  <c:v>3.7136143358829483E-2</c:v>
                </c:pt>
                <c:pt idx="436">
                  <c:v>3.9108883391297082E-2</c:v>
                </c:pt>
                <c:pt idx="437">
                  <c:v>4.0146280196494841E-2</c:v>
                </c:pt>
                <c:pt idx="438">
                  <c:v>4.0286847907310339E-2</c:v>
                </c:pt>
                <c:pt idx="439">
                  <c:v>4.132619704182499E-2</c:v>
                </c:pt>
                <c:pt idx="440">
                  <c:v>4.2521910006173544E-2</c:v>
                </c:pt>
                <c:pt idx="441">
                  <c:v>4.3110626037455142E-2</c:v>
                </c:pt>
                <c:pt idx="442">
                  <c:v>4.3786841919029727E-2</c:v>
                </c:pt>
                <c:pt idx="443">
                  <c:v>4.5047159235318747E-2</c:v>
                </c:pt>
                <c:pt idx="444">
                  <c:v>4.6202583221946189E-2</c:v>
                </c:pt>
                <c:pt idx="445">
                  <c:v>4.6906131713957126E-2</c:v>
                </c:pt>
                <c:pt idx="446">
                  <c:v>4.8413507431073387E-2</c:v>
                </c:pt>
                <c:pt idx="447">
                  <c:v>4.9105519431666383E-2</c:v>
                </c:pt>
                <c:pt idx="448">
                  <c:v>4.9921948055089774E-2</c:v>
                </c:pt>
                <c:pt idx="449">
                  <c:v>5.0846109759908373E-2</c:v>
                </c:pt>
                <c:pt idx="450">
                  <c:v>5.1814287616598495E-2</c:v>
                </c:pt>
                <c:pt idx="451">
                  <c:v>5.3143646396911791E-2</c:v>
                </c:pt>
                <c:pt idx="452">
                  <c:v>5.4967476947846303E-2</c:v>
                </c:pt>
                <c:pt idx="453">
                  <c:v>5.573243507109734E-2</c:v>
                </c:pt>
                <c:pt idx="454">
                  <c:v>5.7357305516193231E-2</c:v>
                </c:pt>
                <c:pt idx="455">
                  <c:v>5.7684054450045943E-2</c:v>
                </c:pt>
                <c:pt idx="456">
                  <c:v>5.9396247260951468E-2</c:v>
                </c:pt>
                <c:pt idx="457">
                  <c:v>5.9915566859242077E-2</c:v>
                </c:pt>
                <c:pt idx="458">
                  <c:v>6.2304508005172239E-2</c:v>
                </c:pt>
                <c:pt idx="459">
                  <c:v>6.3117031969961865E-2</c:v>
                </c:pt>
                <c:pt idx="460">
                  <c:v>6.428541232387408E-2</c:v>
                </c:pt>
                <c:pt idx="461">
                  <c:v>6.6423567894826577E-2</c:v>
                </c:pt>
                <c:pt idx="462">
                  <c:v>6.6610814024763917E-2</c:v>
                </c:pt>
                <c:pt idx="463">
                  <c:v>6.8277570807931079E-2</c:v>
                </c:pt>
                <c:pt idx="464">
                  <c:v>6.8659872385073248E-2</c:v>
                </c:pt>
                <c:pt idx="465">
                  <c:v>7.1145720058914105E-2</c:v>
                </c:pt>
                <c:pt idx="466">
                  <c:v>7.2331848861161605E-2</c:v>
                </c:pt>
                <c:pt idx="467">
                  <c:v>7.490235663356179E-2</c:v>
                </c:pt>
                <c:pt idx="468">
                  <c:v>7.5819418959046286E-2</c:v>
                </c:pt>
                <c:pt idx="469">
                  <c:v>7.7072104442551123E-2</c:v>
                </c:pt>
                <c:pt idx="470">
                  <c:v>7.8871087165816214E-2</c:v>
                </c:pt>
                <c:pt idx="471">
                  <c:v>8.0488503262611297E-2</c:v>
                </c:pt>
                <c:pt idx="472">
                  <c:v>8.1952395281306101E-2</c:v>
                </c:pt>
                <c:pt idx="473">
                  <c:v>8.3121485573151702E-2</c:v>
                </c:pt>
                <c:pt idx="474">
                  <c:v>8.4472319975950713E-2</c:v>
                </c:pt>
                <c:pt idx="475">
                  <c:v>8.5873737456505297E-2</c:v>
                </c:pt>
                <c:pt idx="476">
                  <c:v>8.8349645999278373E-2</c:v>
                </c:pt>
                <c:pt idx="477">
                  <c:v>8.8628829091592518E-2</c:v>
                </c:pt>
                <c:pt idx="478">
                  <c:v>9.2231586619173231E-2</c:v>
                </c:pt>
                <c:pt idx="479">
                  <c:v>9.3018730302843383E-2</c:v>
                </c:pt>
                <c:pt idx="480">
                  <c:v>9.5592077826977234E-2</c:v>
                </c:pt>
                <c:pt idx="481">
                  <c:v>9.7950136672803986E-2</c:v>
                </c:pt>
                <c:pt idx="482">
                  <c:v>9.8391895551869377E-2</c:v>
                </c:pt>
                <c:pt idx="483">
                  <c:v>9.9947902017424359E-2</c:v>
                </c:pt>
                <c:pt idx="484">
                  <c:v>0.10213717311958249</c:v>
                </c:pt>
                <c:pt idx="485">
                  <c:v>0.10484327903726433</c:v>
                </c:pt>
                <c:pt idx="486">
                  <c:v>0.10730055170928535</c:v>
                </c:pt>
                <c:pt idx="487">
                  <c:v>0.10877580273491474</c:v>
                </c:pt>
                <c:pt idx="488">
                  <c:v>0.11122633099656835</c:v>
                </c:pt>
                <c:pt idx="489">
                  <c:v>0.1121093163012491</c:v>
                </c:pt>
                <c:pt idx="490">
                  <c:v>0.11503230825758817</c:v>
                </c:pt>
                <c:pt idx="491">
                  <c:v>0.11751815593142903</c:v>
                </c:pt>
                <c:pt idx="492">
                  <c:v>0.11945841630344303</c:v>
                </c:pt>
                <c:pt idx="493">
                  <c:v>0.12089284589790125</c:v>
                </c:pt>
                <c:pt idx="494">
                  <c:v>0.12257948094320395</c:v>
                </c:pt>
                <c:pt idx="495">
                  <c:v>0.1245667747033065</c:v>
                </c:pt>
                <c:pt idx="496">
                  <c:v>0.12811930412209835</c:v>
                </c:pt>
                <c:pt idx="497">
                  <c:v>0.12959029552012727</c:v>
                </c:pt>
                <c:pt idx="498">
                  <c:v>0.13283666420513535</c:v>
                </c:pt>
                <c:pt idx="499">
                  <c:v>0.13382915743604482</c:v>
                </c:pt>
                <c:pt idx="500">
                  <c:v>0.13555093440905139</c:v>
                </c:pt>
                <c:pt idx="501">
                  <c:v>0.13886740946498388</c:v>
                </c:pt>
                <c:pt idx="502">
                  <c:v>0.14154263308256229</c:v>
                </c:pt>
                <c:pt idx="503">
                  <c:v>0.14300262044262332</c:v>
                </c:pt>
                <c:pt idx="504">
                  <c:v>0.14632743726927339</c:v>
                </c:pt>
                <c:pt idx="505">
                  <c:v>0.14880032857582948</c:v>
                </c:pt>
                <c:pt idx="506">
                  <c:v>0.15122210435117994</c:v>
                </c:pt>
                <c:pt idx="507">
                  <c:v>0.15383929054270196</c:v>
                </c:pt>
                <c:pt idx="508">
                  <c:v>0.15518976997653425</c:v>
                </c:pt>
                <c:pt idx="509">
                  <c:v>0.15673761215585497</c:v>
                </c:pt>
                <c:pt idx="510">
                  <c:v>0.16111136227912073</c:v>
                </c:pt>
                <c:pt idx="511">
                  <c:v>0.1627555785329021</c:v>
                </c:pt>
                <c:pt idx="512">
                  <c:v>0.16486995118308531</c:v>
                </c:pt>
                <c:pt idx="513">
                  <c:v>0.1671445923217362</c:v>
                </c:pt>
                <c:pt idx="514">
                  <c:v>0.1711051585677564</c:v>
                </c:pt>
                <c:pt idx="515">
                  <c:v>0.1729923510792479</c:v>
                </c:pt>
                <c:pt idx="516">
                  <c:v>0.17491699281672685</c:v>
                </c:pt>
                <c:pt idx="517">
                  <c:v>0.17786075045761821</c:v>
                </c:pt>
                <c:pt idx="518">
                  <c:v>0.18131459850366585</c:v>
                </c:pt>
                <c:pt idx="519">
                  <c:v>0.18375678499460191</c:v>
                </c:pt>
                <c:pt idx="520">
                  <c:v>0.18576413450132331</c:v>
                </c:pt>
                <c:pt idx="521">
                  <c:v>0.18836428218244342</c:v>
                </c:pt>
                <c:pt idx="522">
                  <c:v>0.18947710989306618</c:v>
                </c:pt>
                <c:pt idx="523">
                  <c:v>0.19365686947602717</c:v>
                </c:pt>
                <c:pt idx="524">
                  <c:v>0.19766269426530239</c:v>
                </c:pt>
                <c:pt idx="525">
                  <c:v>0.19962212296151852</c:v>
                </c:pt>
                <c:pt idx="526">
                  <c:v>0.20309016976623437</c:v>
                </c:pt>
                <c:pt idx="527">
                  <c:v>0.20468043073707642</c:v>
                </c:pt>
                <c:pt idx="528">
                  <c:v>0.2065919386227873</c:v>
                </c:pt>
                <c:pt idx="529">
                  <c:v>0.20987895125448316</c:v>
                </c:pt>
                <c:pt idx="530">
                  <c:v>0.2139859421992695</c:v>
                </c:pt>
                <c:pt idx="531">
                  <c:v>0.21626661781035442</c:v>
                </c:pt>
                <c:pt idx="532">
                  <c:v>0.21687893927792196</c:v>
                </c:pt>
                <c:pt idx="533">
                  <c:v>0.2204321786346472</c:v>
                </c:pt>
                <c:pt idx="534">
                  <c:v>0.22236143496869334</c:v>
                </c:pt>
                <c:pt idx="535">
                  <c:v>0.22649149889631556</c:v>
                </c:pt>
                <c:pt idx="536">
                  <c:v>0.22702040265670723</c:v>
                </c:pt>
                <c:pt idx="537">
                  <c:v>0.23149478648203412</c:v>
                </c:pt>
                <c:pt idx="538">
                  <c:v>0.23597449484186156</c:v>
                </c:pt>
                <c:pt idx="539">
                  <c:v>0.2350160786317558</c:v>
                </c:pt>
                <c:pt idx="540">
                  <c:v>0.23900947950719628</c:v>
                </c:pt>
                <c:pt idx="541">
                  <c:v>0.24273665365760738</c:v>
                </c:pt>
                <c:pt idx="542">
                  <c:v>0.24433223916295005</c:v>
                </c:pt>
                <c:pt idx="543">
                  <c:v>0.24599881846163391</c:v>
                </c:pt>
                <c:pt idx="544">
                  <c:v>0.24871433105693344</c:v>
                </c:pt>
                <c:pt idx="545">
                  <c:v>0.25136594923822592</c:v>
                </c:pt>
                <c:pt idx="546">
                  <c:v>0.25525995880298874</c:v>
                </c:pt>
                <c:pt idx="547">
                  <c:v>0.2562396731510968</c:v>
                </c:pt>
                <c:pt idx="548">
                  <c:v>0.25874930374570698</c:v>
                </c:pt>
                <c:pt idx="549">
                  <c:v>0.262013243394567</c:v>
                </c:pt>
                <c:pt idx="550">
                  <c:v>0.26206116420507225</c:v>
                </c:pt>
                <c:pt idx="551">
                  <c:v>0.26518311626725</c:v>
                </c:pt>
                <c:pt idx="552">
                  <c:v>0.26804416613889887</c:v>
                </c:pt>
                <c:pt idx="553">
                  <c:v>0.27077387749286663</c:v>
                </c:pt>
                <c:pt idx="554">
                  <c:v>0.272751054637418</c:v>
                </c:pt>
                <c:pt idx="555">
                  <c:v>0.27462706562645828</c:v>
                </c:pt>
                <c:pt idx="556">
                  <c:v>0.27662021637451145</c:v>
                </c:pt>
                <c:pt idx="557">
                  <c:v>0.27781291210264303</c:v>
                </c:pt>
                <c:pt idx="558">
                  <c:v>0.28103070578583128</c:v>
                </c:pt>
                <c:pt idx="559">
                  <c:v>0.28210271206528287</c:v>
                </c:pt>
                <c:pt idx="560">
                  <c:v>0.28465493893589772</c:v>
                </c:pt>
                <c:pt idx="561">
                  <c:v>0.2861777558030657</c:v>
                </c:pt>
                <c:pt idx="562">
                  <c:v>0.28756390961805189</c:v>
                </c:pt>
                <c:pt idx="563">
                  <c:v>0.28902460691604637</c:v>
                </c:pt>
                <c:pt idx="564">
                  <c:v>0.29142597197581127</c:v>
                </c:pt>
                <c:pt idx="565">
                  <c:v>0.29341379818936386</c:v>
                </c:pt>
                <c:pt idx="566">
                  <c:v>0.29309432611932856</c:v>
                </c:pt>
                <c:pt idx="567">
                  <c:v>0.29604766792232101</c:v>
                </c:pt>
                <c:pt idx="568">
                  <c:v>0.29603701885331979</c:v>
                </c:pt>
                <c:pt idx="569">
                  <c:v>0.29686942108024494</c:v>
                </c:pt>
                <c:pt idx="570">
                  <c:v>0.29877205474178814</c:v>
                </c:pt>
                <c:pt idx="571">
                  <c:v>0.30158518380293181</c:v>
                </c:pt>
                <c:pt idx="572">
                  <c:v>0.30093026605935952</c:v>
                </c:pt>
                <c:pt idx="573">
                  <c:v>0.30151064031992358</c:v>
                </c:pt>
                <c:pt idx="574">
                  <c:v>0.30231996956401286</c:v>
                </c:pt>
                <c:pt idx="575">
                  <c:v>0.3040557678112043</c:v>
                </c:pt>
                <c:pt idx="576">
                  <c:v>0.3035073407576438</c:v>
                </c:pt>
                <c:pt idx="577">
                  <c:v>0.30597082538658221</c:v>
                </c:pt>
                <c:pt idx="578">
                  <c:v>0.30594597755891279</c:v>
                </c:pt>
                <c:pt idx="579">
                  <c:v>0.30601342166258688</c:v>
                </c:pt>
                <c:pt idx="580">
                  <c:v>0.30456514827842718</c:v>
                </c:pt>
                <c:pt idx="581">
                  <c:v>0.30792492954829775</c:v>
                </c:pt>
                <c:pt idx="582">
                  <c:v>0.30749719194341724</c:v>
                </c:pt>
                <c:pt idx="583">
                  <c:v>0.30556083623003699</c:v>
                </c:pt>
                <c:pt idx="584">
                  <c:v>0.3068742214068485</c:v>
                </c:pt>
                <c:pt idx="585">
                  <c:v>0.30693456613118852</c:v>
                </c:pt>
                <c:pt idx="586">
                  <c:v>0.30471068555477654</c:v>
                </c:pt>
                <c:pt idx="587">
                  <c:v>0.3042882724843966</c:v>
                </c:pt>
                <c:pt idx="588">
                  <c:v>0.30594242786924575</c:v>
                </c:pt>
                <c:pt idx="589">
                  <c:v>0.30488462034846237</c:v>
                </c:pt>
                <c:pt idx="590">
                  <c:v>0.30339730037796503</c:v>
                </c:pt>
                <c:pt idx="591">
                  <c:v>0.30311332520460033</c:v>
                </c:pt>
                <c:pt idx="592">
                  <c:v>0.3021229617874911</c:v>
                </c:pt>
                <c:pt idx="593">
                  <c:v>0.30140237478507825</c:v>
                </c:pt>
                <c:pt idx="594">
                  <c:v>0.29893534046647285</c:v>
                </c:pt>
                <c:pt idx="595">
                  <c:v>0.29806211680837658</c:v>
                </c:pt>
                <c:pt idx="596">
                  <c:v>0.29717114470194494</c:v>
                </c:pt>
                <c:pt idx="597">
                  <c:v>0.29627129837134564</c:v>
                </c:pt>
                <c:pt idx="598">
                  <c:v>0.2935167391897085</c:v>
                </c:pt>
                <c:pt idx="599">
                  <c:v>0.29290086803247389</c:v>
                </c:pt>
                <c:pt idx="600">
                  <c:v>0.28923226376156924</c:v>
                </c:pt>
                <c:pt idx="601">
                  <c:v>0.29090594243958723</c:v>
                </c:pt>
                <c:pt idx="602">
                  <c:v>0.28890214262253283</c:v>
                </c:pt>
                <c:pt idx="603">
                  <c:v>0.28512882250645</c:v>
                </c:pt>
                <c:pt idx="604">
                  <c:v>0.2840266438648284</c:v>
                </c:pt>
                <c:pt idx="605">
                  <c:v>0.27930023207314042</c:v>
                </c:pt>
                <c:pt idx="606">
                  <c:v>0.27986463273020268</c:v>
                </c:pt>
                <c:pt idx="607">
                  <c:v>0.27670895861618794</c:v>
                </c:pt>
                <c:pt idx="608">
                  <c:v>0.27372189476135844</c:v>
                </c:pt>
                <c:pt idx="609">
                  <c:v>0.27061414145784901</c:v>
                </c:pt>
                <c:pt idx="610">
                  <c:v>0.26757383225801362</c:v>
                </c:pt>
                <c:pt idx="611">
                  <c:v>0.26462936467918885</c:v>
                </c:pt>
                <c:pt idx="612">
                  <c:v>0.26101400575329009</c:v>
                </c:pt>
                <c:pt idx="613">
                  <c:v>0.25950716248962385</c:v>
                </c:pt>
                <c:pt idx="614">
                  <c:v>0.2580571142606306</c:v>
                </c:pt>
                <c:pt idx="615">
                  <c:v>0.25400159381601661</c:v>
                </c:pt>
                <c:pt idx="616">
                  <c:v>0.2507057069601531</c:v>
                </c:pt>
                <c:pt idx="617">
                  <c:v>0.24726428282794014</c:v>
                </c:pt>
                <c:pt idx="618">
                  <c:v>0.24130435387694943</c:v>
                </c:pt>
                <c:pt idx="619">
                  <c:v>0.23960405252642855</c:v>
                </c:pt>
                <c:pt idx="620">
                  <c:v>0.23779371079622885</c:v>
                </c:pt>
                <c:pt idx="621">
                  <c:v>0.23342404281608023</c:v>
                </c:pt>
                <c:pt idx="622">
                  <c:v>0.23054524449609601</c:v>
                </c:pt>
                <c:pt idx="623">
                  <c:v>0.22650037312048321</c:v>
                </c:pt>
                <c:pt idx="624">
                  <c:v>0.22436168509608065</c:v>
                </c:pt>
                <c:pt idx="625">
                  <c:v>0.2197666118220738</c:v>
                </c:pt>
                <c:pt idx="626">
                  <c:v>0.21493903387487465</c:v>
                </c:pt>
                <c:pt idx="627">
                  <c:v>0.21205668586522339</c:v>
                </c:pt>
                <c:pt idx="628">
                  <c:v>0.2081342787831241</c:v>
                </c:pt>
                <c:pt idx="629">
                  <c:v>0.2051791621352981</c:v>
                </c:pt>
                <c:pt idx="630">
                  <c:v>0.20065863234429951</c:v>
                </c:pt>
                <c:pt idx="631">
                  <c:v>0.19783307936932118</c:v>
                </c:pt>
                <c:pt idx="632">
                  <c:v>0.19290788495627792</c:v>
                </c:pt>
                <c:pt idx="633">
                  <c:v>0.18920200894386915</c:v>
                </c:pt>
                <c:pt idx="634">
                  <c:v>0.18558842486280391</c:v>
                </c:pt>
                <c:pt idx="635">
                  <c:v>0.18249309547312917</c:v>
                </c:pt>
                <c:pt idx="636">
                  <c:v>0.17964446951531493</c:v>
                </c:pt>
                <c:pt idx="637">
                  <c:v>0.17402158359821143</c:v>
                </c:pt>
                <c:pt idx="638">
                  <c:v>0.16932889385836045</c:v>
                </c:pt>
                <c:pt idx="639">
                  <c:v>0.16466708641861294</c:v>
                </c:pt>
                <c:pt idx="640">
                  <c:v>0.16246397152675326</c:v>
                </c:pt>
                <c:pt idx="641">
                  <c:v>0.15760089668288355</c:v>
                </c:pt>
                <c:pt idx="642">
                  <c:v>0.15436269228410968</c:v>
                </c:pt>
                <c:pt idx="643">
                  <c:v>0.15174834584432131</c:v>
                </c:pt>
                <c:pt idx="644">
                  <c:v>0.14701093001466542</c:v>
                </c:pt>
                <c:pt idx="645">
                  <c:v>0.14275715940214626</c:v>
                </c:pt>
                <c:pt idx="646">
                  <c:v>0.14104425665330733</c:v>
                </c:pt>
                <c:pt idx="647">
                  <c:v>0.13562814015930991</c:v>
                </c:pt>
                <c:pt idx="648">
                  <c:v>0.13280897662573229</c:v>
                </c:pt>
                <c:pt idx="649">
                  <c:v>0.12951681694401918</c:v>
                </c:pt>
                <c:pt idx="650">
                  <c:v>0.12563700613792456</c:v>
                </c:pt>
                <c:pt idx="651">
                  <c:v>0.12214127175380564</c:v>
                </c:pt>
                <c:pt idx="652">
                  <c:v>0.11929637297014184</c:v>
                </c:pt>
                <c:pt idx="653">
                  <c:v>0.11539082691396105</c:v>
                </c:pt>
                <c:pt idx="654">
                  <c:v>0.11224864162068114</c:v>
                </c:pt>
                <c:pt idx="655">
                  <c:v>0.10863878471376628</c:v>
                </c:pt>
                <c:pt idx="656">
                  <c:v>0.10678194204892816</c:v>
                </c:pt>
                <c:pt idx="657">
                  <c:v>0.1026437138350717</c:v>
                </c:pt>
                <c:pt idx="658">
                  <c:v>9.9598257585219105E-2</c:v>
                </c:pt>
                <c:pt idx="659">
                  <c:v>9.6489261890326194E-2</c:v>
                </c:pt>
                <c:pt idx="660">
                  <c:v>9.4935385238571465E-2</c:v>
                </c:pt>
                <c:pt idx="661">
                  <c:v>9.0702202826121209E-2</c:v>
                </c:pt>
                <c:pt idx="662">
                  <c:v>8.7987932622205167E-2</c:v>
                </c:pt>
                <c:pt idx="663">
                  <c:v>8.4994301841491621E-2</c:v>
                </c:pt>
                <c:pt idx="664">
                  <c:v>8.1705691849445553E-2</c:v>
                </c:pt>
                <c:pt idx="665">
                  <c:v>7.9729224642827543E-2</c:v>
                </c:pt>
                <c:pt idx="666">
                  <c:v>7.7492920152580885E-2</c:v>
                </c:pt>
                <c:pt idx="667">
                  <c:v>7.5701036808649896E-2</c:v>
                </c:pt>
                <c:pt idx="668">
                  <c:v>7.3251750938379726E-2</c:v>
                </c:pt>
                <c:pt idx="669">
                  <c:v>7.1542220394724507E-2</c:v>
                </c:pt>
                <c:pt idx="670">
                  <c:v>6.8490729672437925E-2</c:v>
                </c:pt>
                <c:pt idx="671">
                  <c:v>6.7406121994668292E-2</c:v>
                </c:pt>
                <c:pt idx="672">
                  <c:v>6.4236071637501974E-2</c:v>
                </c:pt>
                <c:pt idx="673">
                  <c:v>6.2407271521033585E-2</c:v>
                </c:pt>
                <c:pt idx="674">
                  <c:v>6.1387623164171116E-2</c:v>
                </c:pt>
                <c:pt idx="675">
                  <c:v>5.9128245691088571E-2</c:v>
                </c:pt>
                <c:pt idx="676">
                  <c:v>5.6986895399435709E-2</c:v>
                </c:pt>
                <c:pt idx="677">
                  <c:v>5.5603226367216416E-2</c:v>
                </c:pt>
                <c:pt idx="678">
                  <c:v>5.3343138956200457E-2</c:v>
                </c:pt>
                <c:pt idx="679">
                  <c:v>5.2264210781898121E-2</c:v>
                </c:pt>
                <c:pt idx="680">
                  <c:v>5.1458076258509206E-2</c:v>
                </c:pt>
                <c:pt idx="681">
                  <c:v>4.9738784068269572E-2</c:v>
                </c:pt>
                <c:pt idx="682">
                  <c:v>4.8788532144398093E-2</c:v>
                </c:pt>
                <c:pt idx="683">
                  <c:v>4.727299214104759E-2</c:v>
                </c:pt>
                <c:pt idx="684">
                  <c:v>4.511673315279309E-2</c:v>
                </c:pt>
                <c:pt idx="685">
                  <c:v>4.4041887121607858E-2</c:v>
                </c:pt>
                <c:pt idx="686">
                  <c:v>4.3315265646761053E-2</c:v>
                </c:pt>
                <c:pt idx="687">
                  <c:v>4.2882735960830004E-2</c:v>
                </c:pt>
                <c:pt idx="688">
                  <c:v>4.1208702313845359E-2</c:v>
                </c:pt>
                <c:pt idx="689">
                  <c:v>4.0571178049641707E-2</c:v>
                </c:pt>
                <c:pt idx="690">
                  <c:v>3.9753329550351491E-2</c:v>
                </c:pt>
                <c:pt idx="691">
                  <c:v>3.8763143617725607E-2</c:v>
                </c:pt>
                <c:pt idx="692">
                  <c:v>3.7237309514340643E-2</c:v>
                </c:pt>
                <c:pt idx="693">
                  <c:v>3.6829805140562367E-2</c:v>
                </c:pt>
                <c:pt idx="694">
                  <c:v>3.6778867093840081E-2</c:v>
                </c:pt>
                <c:pt idx="695">
                  <c:v>3.5449330829043425E-2</c:v>
                </c:pt>
                <c:pt idx="696">
                  <c:v>3.5435664523825253E-2</c:v>
                </c:pt>
                <c:pt idx="697">
                  <c:v>3.4160970964384654E-2</c:v>
                </c:pt>
                <c:pt idx="698">
                  <c:v>3.3874333523769701E-2</c:v>
                </c:pt>
                <c:pt idx="699">
                  <c:v>3.3691169536949506E-2</c:v>
                </c:pt>
                <c:pt idx="700">
                  <c:v>3.3078138131448553E-2</c:v>
                </c:pt>
                <c:pt idx="701">
                  <c:v>3.23161972444145E-2</c:v>
                </c:pt>
                <c:pt idx="702">
                  <c:v>3.1830244728994241E-2</c:v>
                </c:pt>
                <c:pt idx="703">
                  <c:v>3.1211001366575935E-2</c:v>
                </c:pt>
                <c:pt idx="704">
                  <c:v>3.1234074349411813E-2</c:v>
                </c:pt>
                <c:pt idx="705">
                  <c:v>3.0532300702234408E-2</c:v>
                </c:pt>
                <c:pt idx="706">
                  <c:v>3.0842366094651946E-2</c:v>
                </c:pt>
                <c:pt idx="707">
                  <c:v>3.0327483608445151E-2</c:v>
                </c:pt>
                <c:pt idx="708">
                  <c:v>2.9765567734149838E-2</c:v>
                </c:pt>
                <c:pt idx="709">
                  <c:v>2.9015518307500435E-2</c:v>
                </c:pt>
                <c:pt idx="710">
                  <c:v>2.9366050162122438E-2</c:v>
                </c:pt>
                <c:pt idx="711">
                  <c:v>2.9108165207810663E-2</c:v>
                </c:pt>
                <c:pt idx="712">
                  <c:v>2.9158215832116179E-2</c:v>
                </c:pt>
                <c:pt idx="713">
                  <c:v>2.795984060051733E-2</c:v>
                </c:pt>
                <c:pt idx="714">
                  <c:v>2.8166432539140116E-2</c:v>
                </c:pt>
                <c:pt idx="715">
                  <c:v>2.8041128493892967E-2</c:v>
                </c:pt>
                <c:pt idx="716">
                  <c:v>2.8050712655994021E-2</c:v>
                </c:pt>
                <c:pt idx="717">
                  <c:v>2.7848557829455056E-2</c:v>
                </c:pt>
                <c:pt idx="718">
                  <c:v>2.7757508289495011E-2</c:v>
                </c:pt>
                <c:pt idx="719">
                  <c:v>2.778484089993136E-2</c:v>
                </c:pt>
                <c:pt idx="720">
                  <c:v>2.709424877520519E-2</c:v>
                </c:pt>
                <c:pt idx="721">
                  <c:v>2.760984119934539E-2</c:v>
                </c:pt>
                <c:pt idx="722">
                  <c:v>2.6475360381753587E-2</c:v>
                </c:pt>
                <c:pt idx="723">
                  <c:v>2.7306520217295269E-2</c:v>
                </c:pt>
                <c:pt idx="724">
                  <c:v>2.6772114437919655E-2</c:v>
                </c:pt>
                <c:pt idx="725">
                  <c:v>2.6206116420507224E-2</c:v>
                </c:pt>
                <c:pt idx="726">
                  <c:v>2.7190267880699111E-2</c:v>
                </c:pt>
                <c:pt idx="727">
                  <c:v>2.639478242631137E-2</c:v>
                </c:pt>
                <c:pt idx="728">
                  <c:v>2.6848077796794701E-2</c:v>
                </c:pt>
                <c:pt idx="729">
                  <c:v>2.655150122511199E-2</c:v>
                </c:pt>
                <c:pt idx="730">
                  <c:v>2.6686211947976848E-2</c:v>
                </c:pt>
                <c:pt idx="731">
                  <c:v>2.6365320002074786E-2</c:v>
                </c:pt>
                <c:pt idx="732">
                  <c:v>2.647589283520365E-2</c:v>
                </c:pt>
                <c:pt idx="733">
                  <c:v>2.5869783324553461E-2</c:v>
                </c:pt>
                <c:pt idx="734">
                  <c:v>2.6380406183159785E-2</c:v>
                </c:pt>
                <c:pt idx="735">
                  <c:v>2.613317029784918E-2</c:v>
                </c:pt>
                <c:pt idx="736">
                  <c:v>2.5953733485179389E-2</c:v>
                </c:pt>
                <c:pt idx="737">
                  <c:v>2.591468689884175E-2</c:v>
                </c:pt>
                <c:pt idx="738">
                  <c:v>2.5725133470620838E-2</c:v>
                </c:pt>
                <c:pt idx="739">
                  <c:v>2.5152923496291058E-2</c:v>
                </c:pt>
                <c:pt idx="740">
                  <c:v>2.5331117917577382E-2</c:v>
                </c:pt>
                <c:pt idx="741">
                  <c:v>2.5623967315109682E-2</c:v>
                </c:pt>
                <c:pt idx="742">
                  <c:v>2.5760452882808069E-2</c:v>
                </c:pt>
                <c:pt idx="743">
                  <c:v>2.4784110739883708E-2</c:v>
                </c:pt>
                <c:pt idx="744">
                  <c:v>2.5557410633852341E-2</c:v>
                </c:pt>
                <c:pt idx="745">
                  <c:v>2.5320468848576205E-2</c:v>
                </c:pt>
                <c:pt idx="746">
                  <c:v>2.5285149436388973E-2</c:v>
                </c:pt>
                <c:pt idx="747">
                  <c:v>2.5173866665326703E-2</c:v>
                </c:pt>
                <c:pt idx="748">
                  <c:v>2.5359692919397197E-2</c:v>
                </c:pt>
                <c:pt idx="749">
                  <c:v>2.5050514949396429E-2</c:v>
                </c:pt>
                <c:pt idx="750">
                  <c:v>2.5538774763100288E-2</c:v>
                </c:pt>
                <c:pt idx="751">
                  <c:v>2.514759896179047E-2</c:v>
                </c:pt>
                <c:pt idx="752">
                  <c:v>2.5286036858805743E-2</c:v>
                </c:pt>
                <c:pt idx="753">
                  <c:v>2.4613548151381566E-2</c:v>
                </c:pt>
                <c:pt idx="754">
                  <c:v>2.4965677366353738E-2</c:v>
                </c:pt>
                <c:pt idx="755">
                  <c:v>2.5283374591555448E-2</c:v>
                </c:pt>
                <c:pt idx="756">
                  <c:v>2.5034186376927961E-2</c:v>
                </c:pt>
                <c:pt idx="757">
                  <c:v>2.5320646333059558E-2</c:v>
                </c:pt>
                <c:pt idx="758">
                  <c:v>2.5093821163334543E-2</c:v>
                </c:pt>
                <c:pt idx="759">
                  <c:v>2.5122751134121064E-2</c:v>
                </c:pt>
                <c:pt idx="760">
                  <c:v>2.4251834774308333E-2</c:v>
                </c:pt>
                <c:pt idx="761">
                  <c:v>2.4522498611421525E-2</c:v>
                </c:pt>
                <c:pt idx="762">
                  <c:v>2.4903025343730161E-2</c:v>
                </c:pt>
                <c:pt idx="763">
                  <c:v>2.4631651568683563E-2</c:v>
                </c:pt>
                <c:pt idx="764">
                  <c:v>2.4353888352236258E-2</c:v>
                </c:pt>
                <c:pt idx="765">
                  <c:v>2.4472270502632648E-2</c:v>
                </c:pt>
                <c:pt idx="766">
                  <c:v>2.4789612758867652E-2</c:v>
                </c:pt>
                <c:pt idx="767">
                  <c:v>2.470033806374114E-2</c:v>
                </c:pt>
                <c:pt idx="768">
                  <c:v>2.4410328417942485E-2</c:v>
                </c:pt>
                <c:pt idx="769">
                  <c:v>2.4628634332466561E-2</c:v>
                </c:pt>
                <c:pt idx="770">
                  <c:v>2.4691463839573491E-2</c:v>
                </c:pt>
                <c:pt idx="771">
                  <c:v>2.4001049199330673E-2</c:v>
                </c:pt>
                <c:pt idx="772">
                  <c:v>2.398152590616185E-2</c:v>
                </c:pt>
                <c:pt idx="773">
                  <c:v>2.3841313164313052E-2</c:v>
                </c:pt>
                <c:pt idx="774">
                  <c:v>2.4203736479319695E-2</c:v>
                </c:pt>
                <c:pt idx="775">
                  <c:v>2.4435353730095245E-2</c:v>
                </c:pt>
                <c:pt idx="776">
                  <c:v>2.4204446417253105E-2</c:v>
                </c:pt>
                <c:pt idx="777">
                  <c:v>2.4201251696552756E-2</c:v>
                </c:pt>
                <c:pt idx="778">
                  <c:v>2.3846815183296993E-2</c:v>
                </c:pt>
                <c:pt idx="779">
                  <c:v>2.4013828082132076E-2</c:v>
                </c:pt>
                <c:pt idx="780">
                  <c:v>2.4481144726800293E-2</c:v>
                </c:pt>
                <c:pt idx="781">
                  <c:v>2.3999274354497144E-2</c:v>
                </c:pt>
                <c:pt idx="782">
                  <c:v>2.4397194566174368E-2</c:v>
                </c:pt>
                <c:pt idx="783">
                  <c:v>2.3810075895242939E-2</c:v>
                </c:pt>
                <c:pt idx="784">
                  <c:v>2.4839485898689818E-2</c:v>
                </c:pt>
                <c:pt idx="785">
                  <c:v>2.4252012258791686E-2</c:v>
                </c:pt>
                <c:pt idx="786">
                  <c:v>2.4017732740765844E-2</c:v>
                </c:pt>
                <c:pt idx="787">
                  <c:v>2.3892606180002041E-2</c:v>
                </c:pt>
                <c:pt idx="788">
                  <c:v>2.4143214270496351E-2</c:v>
                </c:pt>
                <c:pt idx="789">
                  <c:v>2.3760912693354189E-2</c:v>
                </c:pt>
                <c:pt idx="790">
                  <c:v>2.4086774204790128E-2</c:v>
                </c:pt>
                <c:pt idx="791">
                  <c:v>2.3550238611614281E-2</c:v>
                </c:pt>
                <c:pt idx="792">
                  <c:v>2.4040273270151666E-2</c:v>
                </c:pt>
                <c:pt idx="793">
                  <c:v>2.4092631192740774E-2</c:v>
                </c:pt>
                <c:pt idx="794">
                  <c:v>2.3672880389611139E-2</c:v>
                </c:pt>
                <c:pt idx="795">
                  <c:v>2.3295370893519501E-2</c:v>
                </c:pt>
                <c:pt idx="796">
                  <c:v>2.3282414526234741E-2</c:v>
                </c:pt>
                <c:pt idx="797">
                  <c:v>2.3398844347314249E-2</c:v>
                </c:pt>
                <c:pt idx="798">
                  <c:v>2.3837231021195934E-2</c:v>
                </c:pt>
                <c:pt idx="799">
                  <c:v>2.3737484741551598E-2</c:v>
                </c:pt>
                <c:pt idx="800">
                  <c:v>2.3462738761321295E-2</c:v>
                </c:pt>
                <c:pt idx="801">
                  <c:v>2.3461851338904528E-2</c:v>
                </c:pt>
                <c:pt idx="802">
                  <c:v>2.4407311181725483E-2</c:v>
                </c:pt>
                <c:pt idx="803">
                  <c:v>2.3504625099392582E-2</c:v>
                </c:pt>
                <c:pt idx="804">
                  <c:v>2.3691871229329899E-2</c:v>
                </c:pt>
                <c:pt idx="805">
                  <c:v>2.3616795292871619E-2</c:v>
                </c:pt>
                <c:pt idx="806">
                  <c:v>2.3229701634678926E-2</c:v>
                </c:pt>
                <c:pt idx="807">
                  <c:v>2.3467530842371825E-2</c:v>
                </c:pt>
                <c:pt idx="808">
                  <c:v>2.3799781795208471E-2</c:v>
                </c:pt>
                <c:pt idx="809">
                  <c:v>2.3509772149409816E-2</c:v>
                </c:pt>
                <c:pt idx="810">
                  <c:v>2.3404878819748245E-2</c:v>
                </c:pt>
                <c:pt idx="811">
                  <c:v>2.4136469860128941E-2</c:v>
                </c:pt>
                <c:pt idx="812">
                  <c:v>2.344712012678624E-2</c:v>
                </c:pt>
                <c:pt idx="813">
                  <c:v>2.3575796377217097E-2</c:v>
                </c:pt>
                <c:pt idx="814">
                  <c:v>2.3884619378251162E-2</c:v>
                </c:pt>
                <c:pt idx="815">
                  <c:v>2.380830105040941E-2</c:v>
                </c:pt>
                <c:pt idx="816">
                  <c:v>2.3608453522154037E-2</c:v>
                </c:pt>
                <c:pt idx="817">
                  <c:v>2.3061623828943719E-2</c:v>
                </c:pt>
                <c:pt idx="818">
                  <c:v>2.3175036413806225E-2</c:v>
                </c:pt>
                <c:pt idx="819">
                  <c:v>2.3149478648203409E-2</c:v>
                </c:pt>
                <c:pt idx="820">
                  <c:v>2.3314539217721617E-2</c:v>
                </c:pt>
                <c:pt idx="821">
                  <c:v>2.328365691761821E-2</c:v>
                </c:pt>
                <c:pt idx="822">
                  <c:v>2.3804751360742355E-2</c:v>
                </c:pt>
                <c:pt idx="823">
                  <c:v>2.4116414113510065E-2</c:v>
                </c:pt>
                <c:pt idx="824">
                  <c:v>2.3488296526924114E-2</c:v>
                </c:pt>
                <c:pt idx="825">
                  <c:v>2.3701632875914314E-2</c:v>
                </c:pt>
                <c:pt idx="826">
                  <c:v>2.3326075709139554E-2</c:v>
                </c:pt>
                <c:pt idx="827">
                  <c:v>2.340310397491472E-2</c:v>
                </c:pt>
                <c:pt idx="828">
                  <c:v>2.3724528374266841E-2</c:v>
                </c:pt>
                <c:pt idx="829">
                  <c:v>2.3286319184868502E-2</c:v>
                </c:pt>
                <c:pt idx="830">
                  <c:v>2.3486521682090585E-2</c:v>
                </c:pt>
                <c:pt idx="831">
                  <c:v>2.3826404467711407E-2</c:v>
                </c:pt>
                <c:pt idx="832">
                  <c:v>2.3391922452463486E-2</c:v>
                </c:pt>
                <c:pt idx="833">
                  <c:v>2.2609393365360501E-2</c:v>
                </c:pt>
                <c:pt idx="834">
                  <c:v>2.3299098067669912E-2</c:v>
                </c:pt>
                <c:pt idx="835">
                  <c:v>2.2880234686957046E-2</c:v>
                </c:pt>
                <c:pt idx="836">
                  <c:v>2.3298920583186559E-2</c:v>
                </c:pt>
                <c:pt idx="837">
                  <c:v>2.3638980853290734E-2</c:v>
                </c:pt>
                <c:pt idx="838">
                  <c:v>2.3144686567152881E-2</c:v>
                </c:pt>
                <c:pt idx="839">
                  <c:v>2.3002344011503847E-2</c:v>
                </c:pt>
                <c:pt idx="840">
                  <c:v>2.299755193045332E-2</c:v>
                </c:pt>
                <c:pt idx="841">
                  <c:v>2.35087072425097E-2</c:v>
                </c:pt>
                <c:pt idx="842">
                  <c:v>2.3099960477347949E-2</c:v>
                </c:pt>
                <c:pt idx="843">
                  <c:v>2.2762207505527363E-2</c:v>
                </c:pt>
                <c:pt idx="844">
                  <c:v>2.2904195092209687E-2</c:v>
                </c:pt>
                <c:pt idx="845">
                  <c:v>2.3289336421085504E-2</c:v>
                </c:pt>
                <c:pt idx="846">
                  <c:v>2.3020802397772547E-2</c:v>
                </c:pt>
                <c:pt idx="847">
                  <c:v>2.3115224142916297E-2</c:v>
                </c:pt>
                <c:pt idx="848">
                  <c:v>2.3107769794615478E-2</c:v>
                </c:pt>
                <c:pt idx="849">
                  <c:v>2.2945194007864211E-2</c:v>
                </c:pt>
                <c:pt idx="850">
                  <c:v>2.3267860798599799E-2</c:v>
                </c:pt>
                <c:pt idx="851">
                  <c:v>2.3152318399937057E-2</c:v>
                </c:pt>
                <c:pt idx="852">
                  <c:v>2.324052818816345E-2</c:v>
                </c:pt>
                <c:pt idx="853">
                  <c:v>2.3217100236360869E-2</c:v>
                </c:pt>
                <c:pt idx="854">
                  <c:v>2.294164431819715E-2</c:v>
                </c:pt>
                <c:pt idx="855">
                  <c:v>2.3280107227951152E-2</c:v>
                </c:pt>
                <c:pt idx="856">
                  <c:v>2.2952115902714974E-2</c:v>
                </c:pt>
                <c:pt idx="857">
                  <c:v>2.3264488593416097E-2</c:v>
                </c:pt>
                <c:pt idx="858">
                  <c:v>2.3325720740172851E-2</c:v>
                </c:pt>
                <c:pt idx="859">
                  <c:v>2.2834088721285287E-2</c:v>
                </c:pt>
                <c:pt idx="860">
                  <c:v>2.2581173332507389E-2</c:v>
                </c:pt>
                <c:pt idx="861">
                  <c:v>2.0982393106464381E-2</c:v>
                </c:pt>
                <c:pt idx="862">
                  <c:v>2.0613047896606975E-2</c:v>
                </c:pt>
                <c:pt idx="863">
                  <c:v>2.0756277874672768E-2</c:v>
                </c:pt>
                <c:pt idx="864">
                  <c:v>2.0762667316073475E-2</c:v>
                </c:pt>
                <c:pt idx="865">
                  <c:v>2.2679499736284903E-2</c:v>
                </c:pt>
                <c:pt idx="866">
                  <c:v>2.3692226198296612E-2</c:v>
                </c:pt>
                <c:pt idx="867">
                  <c:v>2.3802799031425469E-2</c:v>
                </c:pt>
                <c:pt idx="868">
                  <c:v>2.3695598403480313E-2</c:v>
                </c:pt>
                <c:pt idx="869">
                  <c:v>2.4415830436926425E-2</c:v>
                </c:pt>
                <c:pt idx="870">
                  <c:v>2.4078432434072539E-2</c:v>
                </c:pt>
                <c:pt idx="871">
                  <c:v>2.4715956698276195E-2</c:v>
                </c:pt>
                <c:pt idx="872">
                  <c:v>2.380102418659194E-2</c:v>
                </c:pt>
                <c:pt idx="873">
                  <c:v>2.4073995321988718E-2</c:v>
                </c:pt>
                <c:pt idx="874">
                  <c:v>2.4664131229137142E-2</c:v>
                </c:pt>
                <c:pt idx="875">
                  <c:v>2.3683529458612317E-2</c:v>
                </c:pt>
                <c:pt idx="876">
                  <c:v>2.4209770951753695E-2</c:v>
                </c:pt>
                <c:pt idx="877">
                  <c:v>2.4358680433286786E-2</c:v>
                </c:pt>
                <c:pt idx="878">
                  <c:v>2.4486114292334177E-2</c:v>
                </c:pt>
                <c:pt idx="879">
                  <c:v>2.3447652580236299E-2</c:v>
                </c:pt>
                <c:pt idx="880">
                  <c:v>2.4247752631191215E-2</c:v>
                </c:pt>
                <c:pt idx="881">
                  <c:v>2.384521782294682E-2</c:v>
                </c:pt>
                <c:pt idx="882">
                  <c:v>2.4409795964492421E-2</c:v>
                </c:pt>
                <c:pt idx="883">
                  <c:v>2.3414462981849304E-2</c:v>
                </c:pt>
                <c:pt idx="884">
                  <c:v>2.3834746238428996E-2</c:v>
                </c:pt>
                <c:pt idx="885">
                  <c:v>2.4648512594602087E-2</c:v>
                </c:pt>
                <c:pt idx="886">
                  <c:v>2.4631829053166913E-2</c:v>
                </c:pt>
                <c:pt idx="887">
                  <c:v>2.4039208363251546E-2</c:v>
                </c:pt>
                <c:pt idx="888">
                  <c:v>2.4244735394974216E-2</c:v>
                </c:pt>
                <c:pt idx="889">
                  <c:v>2.3932895157723157E-2</c:v>
                </c:pt>
                <c:pt idx="890">
                  <c:v>2.4036368611517898E-2</c:v>
                </c:pt>
                <c:pt idx="891">
                  <c:v>2.4677265080905262E-2</c:v>
                </c:pt>
                <c:pt idx="892">
                  <c:v>2.393325012668986E-2</c:v>
                </c:pt>
                <c:pt idx="893">
                  <c:v>2.3904852609353395E-2</c:v>
                </c:pt>
                <c:pt idx="894">
                  <c:v>2.4422752331777188E-2</c:v>
                </c:pt>
                <c:pt idx="895">
                  <c:v>2.3751328531253123E-2</c:v>
                </c:pt>
                <c:pt idx="896">
                  <c:v>2.4282894558895093E-2</c:v>
                </c:pt>
                <c:pt idx="897">
                  <c:v>2.4187940360301287E-2</c:v>
                </c:pt>
                <c:pt idx="898">
                  <c:v>2.4517351561404291E-2</c:v>
                </c:pt>
                <c:pt idx="899">
                  <c:v>2.3983833204445436E-2</c:v>
                </c:pt>
                <c:pt idx="900">
                  <c:v>2.378860027275724E-2</c:v>
                </c:pt>
                <c:pt idx="901">
                  <c:v>2.4161672656765054E-2</c:v>
                </c:pt>
                <c:pt idx="902">
                  <c:v>2.4162382594698467E-2</c:v>
                </c:pt>
                <c:pt idx="903">
                  <c:v>2.4168239582649114E-2</c:v>
                </c:pt>
                <c:pt idx="904">
                  <c:v>2.3733225113951133E-2</c:v>
                </c:pt>
                <c:pt idx="905">
                  <c:v>2.4436596121478714E-2</c:v>
                </c:pt>
                <c:pt idx="906">
                  <c:v>2.4143391754979704E-2</c:v>
                </c:pt>
                <c:pt idx="907">
                  <c:v>2.3481197147589998E-2</c:v>
                </c:pt>
                <c:pt idx="908">
                  <c:v>2.4494633547535116E-2</c:v>
                </c:pt>
                <c:pt idx="909">
                  <c:v>2.4052519699503012E-2</c:v>
                </c:pt>
                <c:pt idx="910">
                  <c:v>2.4379978571289134E-2</c:v>
                </c:pt>
                <c:pt idx="911">
                  <c:v>2.386988816613287E-2</c:v>
                </c:pt>
                <c:pt idx="912">
                  <c:v>2.4185455577534345E-2</c:v>
                </c:pt>
                <c:pt idx="913">
                  <c:v>2.4360987731570374E-2</c:v>
                </c:pt>
                <c:pt idx="914">
                  <c:v>2.4458071743964412E-2</c:v>
                </c:pt>
                <c:pt idx="915">
                  <c:v>2.4070268147838306E-2</c:v>
                </c:pt>
                <c:pt idx="916">
                  <c:v>2.4308807293464619E-2</c:v>
                </c:pt>
                <c:pt idx="917">
                  <c:v>2.4096713335857892E-2</c:v>
                </c:pt>
                <c:pt idx="918">
                  <c:v>2.3943011773274268E-2</c:v>
                </c:pt>
                <c:pt idx="919">
                  <c:v>2.423887840702357E-2</c:v>
                </c:pt>
                <c:pt idx="920">
                  <c:v>2.4104522653125418E-2</c:v>
                </c:pt>
                <c:pt idx="921">
                  <c:v>2.4181728403383933E-2</c:v>
                </c:pt>
                <c:pt idx="922">
                  <c:v>2.4141794394629532E-2</c:v>
                </c:pt>
                <c:pt idx="923">
                  <c:v>2.4039740816701606E-2</c:v>
                </c:pt>
                <c:pt idx="924">
                  <c:v>2.3881602142034164E-2</c:v>
                </c:pt>
                <c:pt idx="925">
                  <c:v>2.4250059929474804E-2</c:v>
                </c:pt>
                <c:pt idx="926">
                  <c:v>2.4079319856489305E-2</c:v>
                </c:pt>
                <c:pt idx="927">
                  <c:v>2.4465703576748592E-2</c:v>
                </c:pt>
                <c:pt idx="928">
                  <c:v>2.4505105132052937E-2</c:v>
                </c:pt>
                <c:pt idx="929">
                  <c:v>2.409493849102436E-2</c:v>
                </c:pt>
                <c:pt idx="930">
                  <c:v>2.4141971879112881E-2</c:v>
                </c:pt>
                <c:pt idx="931">
                  <c:v>2.4136114891162234E-2</c:v>
                </c:pt>
                <c:pt idx="932">
                  <c:v>2.3422804752566893E-2</c:v>
                </c:pt>
                <c:pt idx="933">
                  <c:v>2.3965552302660089E-2</c:v>
                </c:pt>
                <c:pt idx="934">
                  <c:v>2.4165754799882172E-2</c:v>
                </c:pt>
                <c:pt idx="935">
                  <c:v>2.3853737078147755E-2</c:v>
                </c:pt>
                <c:pt idx="936">
                  <c:v>2.4663598775687086E-2</c:v>
                </c:pt>
                <c:pt idx="937">
                  <c:v>2.4143036786012997E-2</c:v>
                </c:pt>
                <c:pt idx="938">
                  <c:v>2.4509364759653408E-2</c:v>
                </c:pt>
                <c:pt idx="939">
                  <c:v>2.3984543142378852E-2</c:v>
                </c:pt>
                <c:pt idx="940">
                  <c:v>2.4064411159887663E-2</c:v>
                </c:pt>
                <c:pt idx="941">
                  <c:v>2.4058554171937016E-2</c:v>
                </c:pt>
                <c:pt idx="942">
                  <c:v>2.443215900939489E-2</c:v>
                </c:pt>
                <c:pt idx="943">
                  <c:v>2.4025542058033374E-2</c:v>
                </c:pt>
                <c:pt idx="944">
                  <c:v>2.4436063668028658E-2</c:v>
                </c:pt>
                <c:pt idx="945">
                  <c:v>2.4349273755669081E-2</c:v>
                </c:pt>
                <c:pt idx="946">
                  <c:v>2.3776176358922534E-2</c:v>
                </c:pt>
                <c:pt idx="947">
                  <c:v>2.431271195209838E-2</c:v>
                </c:pt>
                <c:pt idx="948">
                  <c:v>2.4445292861163006E-2</c:v>
                </c:pt>
                <c:pt idx="949">
                  <c:v>2.4911899567897806E-2</c:v>
                </c:pt>
                <c:pt idx="950">
                  <c:v>2.3945141587074503E-2</c:v>
                </c:pt>
                <c:pt idx="951">
                  <c:v>2.1510586928922638E-2</c:v>
                </c:pt>
                <c:pt idx="952">
                  <c:v>2.189324347503151E-2</c:v>
                </c:pt>
                <c:pt idx="953">
                  <c:v>2.3968037085427035E-2</c:v>
                </c:pt>
                <c:pt idx="954">
                  <c:v>2.4539359637340049E-2</c:v>
                </c:pt>
                <c:pt idx="955">
                  <c:v>2.4603431535830448E-2</c:v>
                </c:pt>
                <c:pt idx="956">
                  <c:v>2.5108019922002772E-2</c:v>
                </c:pt>
                <c:pt idx="957">
                  <c:v>2.5096838399551537E-2</c:v>
                </c:pt>
                <c:pt idx="958">
                  <c:v>2.4484161963017292E-2</c:v>
                </c:pt>
                <c:pt idx="959">
                  <c:v>2.5053354701130078E-2</c:v>
                </c:pt>
                <c:pt idx="960">
                  <c:v>2.469306119992367E-2</c:v>
                </c:pt>
                <c:pt idx="961">
                  <c:v>2.429496350376309E-2</c:v>
                </c:pt>
                <c:pt idx="962">
                  <c:v>2.420746365347011E-2</c:v>
                </c:pt>
                <c:pt idx="963">
                  <c:v>2.4047550133969132E-2</c:v>
                </c:pt>
                <c:pt idx="964">
                  <c:v>2.4108604796242536E-2</c:v>
                </c:pt>
                <c:pt idx="965">
                  <c:v>2.4133452623911943E-2</c:v>
                </c:pt>
                <c:pt idx="966">
                  <c:v>2.4600236815130096E-2</c:v>
                </c:pt>
                <c:pt idx="967">
                  <c:v>2.4646382780801852E-2</c:v>
                </c:pt>
                <c:pt idx="968">
                  <c:v>2.5340702079678437E-2</c:v>
                </c:pt>
                <c:pt idx="969">
                  <c:v>2.5130560451388593E-2</c:v>
                </c:pt>
                <c:pt idx="970">
                  <c:v>2.4774704062266006E-2</c:v>
                </c:pt>
                <c:pt idx="971">
                  <c:v>2.5192857505045463E-2</c:v>
                </c:pt>
                <c:pt idx="972">
                  <c:v>2.4670875639504555E-2</c:v>
                </c:pt>
                <c:pt idx="973">
                  <c:v>2.5361645248714083E-2</c:v>
                </c:pt>
                <c:pt idx="974">
                  <c:v>2.5508069947480231E-2</c:v>
                </c:pt>
                <c:pt idx="975">
                  <c:v>2.5388445405700372E-2</c:v>
                </c:pt>
                <c:pt idx="976">
                  <c:v>2.4700515548224489E-2</c:v>
                </c:pt>
                <c:pt idx="977">
                  <c:v>2.4594734796146159E-2</c:v>
                </c:pt>
                <c:pt idx="978">
                  <c:v>2.5137659830722709E-2</c:v>
                </c:pt>
                <c:pt idx="979">
                  <c:v>2.5082639640883309E-2</c:v>
                </c:pt>
                <c:pt idx="980">
                  <c:v>2.454965373737452E-2</c:v>
                </c:pt>
                <c:pt idx="981">
                  <c:v>2.5156828154924822E-2</c:v>
                </c:pt>
                <c:pt idx="982">
                  <c:v>2.4413345654159483E-2</c:v>
                </c:pt>
                <c:pt idx="983">
                  <c:v>2.4933375190383508E-2</c:v>
                </c:pt>
                <c:pt idx="984">
                  <c:v>2.4881194752277753E-2</c:v>
                </c:pt>
                <c:pt idx="985">
                  <c:v>2.4894328604045869E-2</c:v>
                </c:pt>
                <c:pt idx="986">
                  <c:v>2.5157360608374882E-2</c:v>
                </c:pt>
                <c:pt idx="987">
                  <c:v>2.4969582024987502E-2</c:v>
                </c:pt>
                <c:pt idx="988">
                  <c:v>2.4522853580388228E-2</c:v>
                </c:pt>
                <c:pt idx="989">
                  <c:v>2.5509312338863704E-2</c:v>
                </c:pt>
                <c:pt idx="990">
                  <c:v>2.5499905661245999E-2</c:v>
                </c:pt>
                <c:pt idx="991">
                  <c:v>2.4715956698276195E-2</c:v>
                </c:pt>
                <c:pt idx="992">
                  <c:v>2.4903735281663571E-2</c:v>
                </c:pt>
                <c:pt idx="993">
                  <c:v>2.5242730644867633E-2</c:v>
                </c:pt>
                <c:pt idx="994">
                  <c:v>2.5282487169138682E-2</c:v>
                </c:pt>
                <c:pt idx="995">
                  <c:v>2.2394282171536776E-2</c:v>
                </c:pt>
                <c:pt idx="996">
                  <c:v>2.2060256373866598E-2</c:v>
                </c:pt>
                <c:pt idx="997">
                  <c:v>2.4831854065905642E-2</c:v>
                </c:pt>
                <c:pt idx="998">
                  <c:v>2.5241310769000807E-2</c:v>
                </c:pt>
                <c:pt idx="999">
                  <c:v>2.4501022988935819E-2</c:v>
                </c:pt>
                <c:pt idx="1000">
                  <c:v>2.4643543029068207E-2</c:v>
                </c:pt>
                <c:pt idx="1001">
                  <c:v>2.4675845205038436E-2</c:v>
                </c:pt>
                <c:pt idx="1002">
                  <c:v>2.5179013715343937E-2</c:v>
                </c:pt>
                <c:pt idx="1003">
                  <c:v>2.5384540747066607E-2</c:v>
                </c:pt>
                <c:pt idx="1004">
                  <c:v>2.5488724138794765E-2</c:v>
                </c:pt>
                <c:pt idx="1005">
                  <c:v>2.5237761079333745E-2</c:v>
                </c:pt>
                <c:pt idx="1006">
                  <c:v>2.4765297384648301E-2</c:v>
                </c:pt>
                <c:pt idx="1007">
                  <c:v>2.5126123339304772E-2</c:v>
                </c:pt>
                <c:pt idx="1008">
                  <c:v>2.5033298954511198E-2</c:v>
                </c:pt>
                <c:pt idx="1009">
                  <c:v>2.5428734383421477E-2</c:v>
                </c:pt>
                <c:pt idx="1010">
                  <c:v>2.5489789045694881E-2</c:v>
                </c:pt>
                <c:pt idx="1011">
                  <c:v>2.4903735281663571E-2</c:v>
                </c:pt>
                <c:pt idx="1012">
                  <c:v>2.5370696957365081E-2</c:v>
                </c:pt>
                <c:pt idx="1013">
                  <c:v>2.4879952360894284E-2</c:v>
                </c:pt>
                <c:pt idx="1014">
                  <c:v>2.5525995880298875E-2</c:v>
                </c:pt>
                <c:pt idx="1015">
                  <c:v>2.4784465708850418E-2</c:v>
                </c:pt>
                <c:pt idx="1016">
                  <c:v>2.4917756555848453E-2</c:v>
                </c:pt>
                <c:pt idx="1017">
                  <c:v>2.4953075968035685E-2</c:v>
                </c:pt>
                <c:pt idx="1018">
                  <c:v>2.5154165887674527E-2</c:v>
                </c:pt>
                <c:pt idx="1019">
                  <c:v>2.4855814471158286E-2</c:v>
                </c:pt>
                <c:pt idx="1020">
                  <c:v>2.5271128162204094E-2</c:v>
                </c:pt>
                <c:pt idx="1021">
                  <c:v>2.5287279250189209E-2</c:v>
                </c:pt>
                <c:pt idx="1022">
                  <c:v>2.4449375004280124E-2</c:v>
                </c:pt>
                <c:pt idx="1023">
                  <c:v>2.5206523810263635E-2</c:v>
                </c:pt>
                <c:pt idx="1024">
                  <c:v>2.5155940732508059E-2</c:v>
                </c:pt>
                <c:pt idx="1025">
                  <c:v>2.5278050057054857E-2</c:v>
                </c:pt>
                <c:pt idx="1026">
                  <c:v>2.4652772222202558E-2</c:v>
                </c:pt>
                <c:pt idx="1027">
                  <c:v>2.5379571181532726E-2</c:v>
                </c:pt>
                <c:pt idx="1028">
                  <c:v>2.5291716362273033E-2</c:v>
                </c:pt>
                <c:pt idx="1029">
                  <c:v>2.5295621020906798E-2</c:v>
                </c:pt>
                <c:pt idx="1030">
                  <c:v>2.4727848158660838E-2</c:v>
                </c:pt>
                <c:pt idx="1031">
                  <c:v>2.5208298655097161E-2</c:v>
                </c:pt>
                <c:pt idx="1032">
                  <c:v>2.544719276969018E-2</c:v>
                </c:pt>
                <c:pt idx="1033">
                  <c:v>2.5597699611573453E-2</c:v>
                </c:pt>
                <c:pt idx="1034">
                  <c:v>2.5354013415929907E-2</c:v>
                </c:pt>
                <c:pt idx="1035">
                  <c:v>2.5459439199041534E-2</c:v>
                </c:pt>
                <c:pt idx="1036">
                  <c:v>2.5336087483111263E-2</c:v>
                </c:pt>
                <c:pt idx="1037">
                  <c:v>2.5048917589046253E-2</c:v>
                </c:pt>
                <c:pt idx="1038">
                  <c:v>2.5339637172778321E-2</c:v>
                </c:pt>
                <c:pt idx="1039">
                  <c:v>2.4982005938822206E-2</c:v>
                </c:pt>
                <c:pt idx="1040">
                  <c:v>2.5843338136533878E-2</c:v>
                </c:pt>
                <c:pt idx="1041">
                  <c:v>2.2540884354786281E-2</c:v>
                </c:pt>
                <c:pt idx="1042">
                  <c:v>2.4681702192989083E-2</c:v>
                </c:pt>
                <c:pt idx="1043">
                  <c:v>2.5249475055235043E-2</c:v>
                </c:pt>
                <c:pt idx="1044">
                  <c:v>2.4811088381353354E-2</c:v>
                </c:pt>
                <c:pt idx="1045">
                  <c:v>2.5724955986137485E-2</c:v>
                </c:pt>
                <c:pt idx="1046">
                  <c:v>2.4922371152415627E-2</c:v>
                </c:pt>
                <c:pt idx="1047">
                  <c:v>2.5632664054793974E-2</c:v>
                </c:pt>
                <c:pt idx="1048">
                  <c:v>2.5430509228255009E-2</c:v>
                </c:pt>
                <c:pt idx="1049">
                  <c:v>2.5351351148679608E-2</c:v>
                </c:pt>
                <c:pt idx="1050">
                  <c:v>2.5436543700689009E-2</c:v>
                </c:pt>
                <c:pt idx="1051">
                  <c:v>2.4537407308023167E-2</c:v>
                </c:pt>
                <c:pt idx="1052">
                  <c:v>2.5805888910546415E-2</c:v>
                </c:pt>
                <c:pt idx="1053">
                  <c:v>2.5759210491424597E-2</c:v>
                </c:pt>
                <c:pt idx="1054">
                  <c:v>2.5154165887674527E-2</c:v>
                </c:pt>
                <c:pt idx="1055">
                  <c:v>2.5682359710132791E-2</c:v>
                </c:pt>
                <c:pt idx="1056">
                  <c:v>2.5380813572916192E-2</c:v>
                </c:pt>
                <c:pt idx="1057">
                  <c:v>2.4497650783752115E-2</c:v>
                </c:pt>
                <c:pt idx="1058">
                  <c:v>2.5362710155614202E-2</c:v>
                </c:pt>
                <c:pt idx="1059">
                  <c:v>2.5345671645212318E-2</c:v>
                </c:pt>
                <c:pt idx="1060">
                  <c:v>2.5223562320665516E-2</c:v>
                </c:pt>
                <c:pt idx="1061">
                  <c:v>2.5305560151974559E-2</c:v>
                </c:pt>
                <c:pt idx="1062">
                  <c:v>2.5089739020217425E-2</c:v>
                </c:pt>
                <c:pt idx="1063">
                  <c:v>2.5069860758081895E-2</c:v>
                </c:pt>
                <c:pt idx="1064">
                  <c:v>2.5581903492555045E-2</c:v>
                </c:pt>
                <c:pt idx="1065">
                  <c:v>2.5361290279747376E-2</c:v>
                </c:pt>
                <c:pt idx="1066">
                  <c:v>2.5289054095022738E-2</c:v>
                </c:pt>
                <c:pt idx="1067">
                  <c:v>2.5635681291010973E-2</c:v>
                </c:pt>
                <c:pt idx="1068">
                  <c:v>2.5275387789804565E-2</c:v>
                </c:pt>
                <c:pt idx="1069">
                  <c:v>2.5737557384455545E-2</c:v>
                </c:pt>
                <c:pt idx="1070">
                  <c:v>2.5326680805493558E-2</c:v>
                </c:pt>
                <c:pt idx="1071">
                  <c:v>2.620203427739011E-2</c:v>
                </c:pt>
                <c:pt idx="1072">
                  <c:v>2.5881497300454755E-2</c:v>
                </c:pt>
                <c:pt idx="1073">
                  <c:v>2.6289356643199743E-2</c:v>
                </c:pt>
                <c:pt idx="1074">
                  <c:v>2.7327285901847558E-2</c:v>
                </c:pt>
                <c:pt idx="1075">
                  <c:v>2.3408428509415307E-2</c:v>
                </c:pt>
                <c:pt idx="1076">
                  <c:v>2.424988244499145E-2</c:v>
                </c:pt>
                <c:pt idx="1077">
                  <c:v>2.5529900538932639E-2</c:v>
                </c:pt>
                <c:pt idx="1078">
                  <c:v>2.5484996964644353E-2</c:v>
                </c:pt>
                <c:pt idx="1079">
                  <c:v>2.561047849437486E-2</c:v>
                </c:pt>
                <c:pt idx="1080">
                  <c:v>2.5535402557916576E-2</c:v>
                </c:pt>
                <c:pt idx="1081">
                  <c:v>2.5127898184138298E-2</c:v>
                </c:pt>
                <c:pt idx="1082">
                  <c:v>2.4849779998724286E-2</c:v>
                </c:pt>
                <c:pt idx="1083">
                  <c:v>2.5086721784000423E-2</c:v>
                </c:pt>
                <c:pt idx="1084">
                  <c:v>2.6265573722430449E-2</c:v>
                </c:pt>
                <c:pt idx="1085">
                  <c:v>2.4789435274384299E-2</c:v>
                </c:pt>
                <c:pt idx="1086">
                  <c:v>2.500490143717473E-2</c:v>
                </c:pt>
                <c:pt idx="1087">
                  <c:v>2.5826832079582057E-2</c:v>
                </c:pt>
                <c:pt idx="1088">
                  <c:v>2.5316741674425793E-2</c:v>
                </c:pt>
                <c:pt idx="1089">
                  <c:v>2.559042274775598E-2</c:v>
                </c:pt>
                <c:pt idx="1090">
                  <c:v>2.5656801944529968E-2</c:v>
                </c:pt>
                <c:pt idx="1091">
                  <c:v>2.6078327592493129E-2</c:v>
                </c:pt>
                <c:pt idx="1092">
                  <c:v>2.5760985336258126E-2</c:v>
                </c:pt>
                <c:pt idx="1093">
                  <c:v>2.5859844193485696E-2</c:v>
                </c:pt>
                <c:pt idx="1094">
                  <c:v>2.5053177216646724E-2</c:v>
                </c:pt>
                <c:pt idx="1095">
                  <c:v>2.5462456435258532E-2</c:v>
                </c:pt>
                <c:pt idx="1096">
                  <c:v>2.5830204284765765E-2</c:v>
                </c:pt>
                <c:pt idx="1097">
                  <c:v>2.5053354701130078E-2</c:v>
                </c:pt>
                <c:pt idx="1098">
                  <c:v>2.5742704434472779E-2</c:v>
                </c:pt>
                <c:pt idx="1099">
                  <c:v>2.5845112981367407E-2</c:v>
                </c:pt>
                <c:pt idx="1100">
                  <c:v>2.5485706902577763E-2</c:v>
                </c:pt>
                <c:pt idx="1101">
                  <c:v>2.595923550416333E-2</c:v>
                </c:pt>
                <c:pt idx="1102">
                  <c:v>2.5487481747411292E-2</c:v>
                </c:pt>
                <c:pt idx="1103">
                  <c:v>2.5593617468456335E-2</c:v>
                </c:pt>
                <c:pt idx="1104">
                  <c:v>2.5304672729557796E-2</c:v>
                </c:pt>
                <c:pt idx="1105">
                  <c:v>2.5723713594754016E-2</c:v>
                </c:pt>
                <c:pt idx="1106">
                  <c:v>2.525976915526951E-2</c:v>
                </c:pt>
                <c:pt idx="1107">
                  <c:v>2.5906522612607515E-2</c:v>
                </c:pt>
                <c:pt idx="1108">
                  <c:v>2.5712887041269488E-2</c:v>
                </c:pt>
                <c:pt idx="1109">
                  <c:v>2.6058271845874253E-2</c:v>
                </c:pt>
                <c:pt idx="1110">
                  <c:v>2.5750868720707015E-2</c:v>
                </c:pt>
                <c:pt idx="1111">
                  <c:v>2.5608348680574624E-2</c:v>
                </c:pt>
                <c:pt idx="1112">
                  <c:v>2.5131447873805356E-2</c:v>
                </c:pt>
                <c:pt idx="1113">
                  <c:v>2.5962075255896975E-2</c:v>
                </c:pt>
                <c:pt idx="1114">
                  <c:v>2.5708094960218961E-2</c:v>
                </c:pt>
                <c:pt idx="1115">
                  <c:v>2.5669048373881322E-2</c:v>
                </c:pt>
                <c:pt idx="1116">
                  <c:v>2.5500260630212702E-2</c:v>
                </c:pt>
                <c:pt idx="1117">
                  <c:v>2.5925690936809628E-2</c:v>
                </c:pt>
                <c:pt idx="1118">
                  <c:v>2.5481092306010589E-2</c:v>
                </c:pt>
                <c:pt idx="1119">
                  <c:v>2.6287226829399508E-2</c:v>
                </c:pt>
                <c:pt idx="1120">
                  <c:v>2.5875107859054048E-2</c:v>
                </c:pt>
                <c:pt idx="1121">
                  <c:v>2.5146001601440291E-2</c:v>
                </c:pt>
                <c:pt idx="1122">
                  <c:v>2.7610373652795447E-2</c:v>
                </c:pt>
                <c:pt idx="1123">
                  <c:v>2.3843975431563347E-2</c:v>
                </c:pt>
                <c:pt idx="1124">
                  <c:v>2.6275335369014861E-2</c:v>
                </c:pt>
                <c:pt idx="1125">
                  <c:v>2.5718566544736785E-2</c:v>
                </c:pt>
                <c:pt idx="1126">
                  <c:v>2.580375909674618E-2</c:v>
                </c:pt>
                <c:pt idx="1127">
                  <c:v>2.5411695873019603E-2</c:v>
                </c:pt>
                <c:pt idx="1128">
                  <c:v>2.5580306132204866E-2</c:v>
                </c:pt>
                <c:pt idx="1129">
                  <c:v>2.6679467537609438E-2</c:v>
                </c:pt>
                <c:pt idx="1130">
                  <c:v>2.4994784821623615E-2</c:v>
                </c:pt>
                <c:pt idx="1131">
                  <c:v>2.5329343072743853E-2</c:v>
                </c:pt>
                <c:pt idx="1132">
                  <c:v>2.6039635975122197E-2</c:v>
                </c:pt>
                <c:pt idx="1133">
                  <c:v>2.6325740962287091E-2</c:v>
                </c:pt>
                <c:pt idx="1134">
                  <c:v>2.5762582696608305E-2</c:v>
                </c:pt>
                <c:pt idx="1135">
                  <c:v>2.6401704321162133E-2</c:v>
                </c:pt>
                <c:pt idx="1136">
                  <c:v>2.5830914222699175E-2</c:v>
                </c:pt>
                <c:pt idx="1137">
                  <c:v>2.5881319815971401E-2</c:v>
                </c:pt>
                <c:pt idx="1138">
                  <c:v>2.5767374777658832E-2</c:v>
                </c:pt>
                <c:pt idx="1139">
                  <c:v>2.5894453667739518E-2</c:v>
                </c:pt>
                <c:pt idx="1140">
                  <c:v>2.5065778614964777E-2</c:v>
                </c:pt>
                <c:pt idx="1141">
                  <c:v>2.5693363748100672E-2</c:v>
                </c:pt>
                <c:pt idx="1142">
                  <c:v>2.5697978344667843E-2</c:v>
                </c:pt>
                <c:pt idx="1143">
                  <c:v>2.6372064412442196E-2</c:v>
                </c:pt>
                <c:pt idx="1144">
                  <c:v>2.56465078444955E-2</c:v>
                </c:pt>
                <c:pt idx="1145">
                  <c:v>2.6211263470524462E-2</c:v>
                </c:pt>
                <c:pt idx="1146">
                  <c:v>2.6162100268635705E-2</c:v>
                </c:pt>
                <c:pt idx="1147">
                  <c:v>2.5683247132549554E-2</c:v>
                </c:pt>
                <c:pt idx="1148">
                  <c:v>2.6012125880202495E-2</c:v>
                </c:pt>
                <c:pt idx="1149">
                  <c:v>2.5823637358881706E-2</c:v>
                </c:pt>
                <c:pt idx="1150">
                  <c:v>2.6147901509967472E-2</c:v>
                </c:pt>
                <c:pt idx="1151">
                  <c:v>2.60520598889569E-2</c:v>
                </c:pt>
                <c:pt idx="1152">
                  <c:v>2.5517831594064639E-2</c:v>
                </c:pt>
                <c:pt idx="1153">
                  <c:v>2.6181623561804524E-2</c:v>
                </c:pt>
                <c:pt idx="1154">
                  <c:v>2.6179138779037586E-2</c:v>
                </c:pt>
                <c:pt idx="1155">
                  <c:v>2.5587937964989038E-2</c:v>
                </c:pt>
                <c:pt idx="1156">
                  <c:v>2.5583323368421864E-2</c:v>
                </c:pt>
                <c:pt idx="1157">
                  <c:v>2.643933103163295E-2</c:v>
                </c:pt>
                <c:pt idx="1158">
                  <c:v>2.6087556785627481E-2</c:v>
                </c:pt>
                <c:pt idx="1159">
                  <c:v>2.5978581312848796E-2</c:v>
                </c:pt>
                <c:pt idx="1160">
                  <c:v>2.5639585949644737E-2</c:v>
                </c:pt>
                <c:pt idx="1161">
                  <c:v>2.6303377917384619E-2</c:v>
                </c:pt>
                <c:pt idx="1162">
                  <c:v>2.574767400000666E-2</c:v>
                </c:pt>
                <c:pt idx="1163">
                  <c:v>2.5946101652395213E-2</c:v>
                </c:pt>
                <c:pt idx="1164">
                  <c:v>2.6078150108009776E-2</c:v>
                </c:pt>
                <c:pt idx="1165">
                  <c:v>2.5929595595443392E-2</c:v>
                </c:pt>
                <c:pt idx="1166">
                  <c:v>2.5562557683869572E-2</c:v>
                </c:pt>
                <c:pt idx="1167">
                  <c:v>2.6213925737774754E-2</c:v>
                </c:pt>
                <c:pt idx="1168">
                  <c:v>2.635768816929061E-2</c:v>
                </c:pt>
                <c:pt idx="1169">
                  <c:v>2.6825004813958823E-2</c:v>
                </c:pt>
                <c:pt idx="1170">
                  <c:v>2.5962785193830388E-2</c:v>
                </c:pt>
                <c:pt idx="1171">
                  <c:v>2.6088621692527601E-2</c:v>
                </c:pt>
                <c:pt idx="1172">
                  <c:v>2.6498078395622762E-2</c:v>
                </c:pt>
                <c:pt idx="1173">
                  <c:v>2.5670113280781438E-2</c:v>
                </c:pt>
                <c:pt idx="1174">
                  <c:v>2.6182688468704644E-2</c:v>
                </c:pt>
                <c:pt idx="1175">
                  <c:v>2.6000766873267907E-2</c:v>
                </c:pt>
                <c:pt idx="1176">
                  <c:v>2.5670823218714851E-2</c:v>
                </c:pt>
                <c:pt idx="1177">
                  <c:v>2.577784636217665E-2</c:v>
                </c:pt>
                <c:pt idx="1178">
                  <c:v>2.6259539249996453E-2</c:v>
                </c:pt>
                <c:pt idx="1179">
                  <c:v>2.556663982698669E-2</c:v>
                </c:pt>
                <c:pt idx="1180">
                  <c:v>2.5992070133583619E-2</c:v>
                </c:pt>
                <c:pt idx="1181">
                  <c:v>2.6043363149272608E-2</c:v>
                </c:pt>
                <c:pt idx="1182">
                  <c:v>2.6311719688102208E-2</c:v>
                </c:pt>
                <c:pt idx="1183">
                  <c:v>2.5874397921120638E-2</c:v>
                </c:pt>
                <c:pt idx="1184">
                  <c:v>2.609589855634507E-2</c:v>
                </c:pt>
                <c:pt idx="1185">
                  <c:v>2.6208423718790813E-2</c:v>
                </c:pt>
                <c:pt idx="1186">
                  <c:v>2.6331420465754381E-2</c:v>
                </c:pt>
                <c:pt idx="1187">
                  <c:v>2.5611543401274979E-2</c:v>
                </c:pt>
                <c:pt idx="1188">
                  <c:v>2.621996021020875E-2</c:v>
                </c:pt>
                <c:pt idx="1189">
                  <c:v>2.6435426372999189E-2</c:v>
                </c:pt>
                <c:pt idx="1190">
                  <c:v>2.6474472959336824E-2</c:v>
                </c:pt>
                <c:pt idx="1191">
                  <c:v>2.6358930560674079E-2</c:v>
                </c:pt>
                <c:pt idx="1192">
                  <c:v>2.562893688064356E-2</c:v>
                </c:pt>
                <c:pt idx="1193">
                  <c:v>2.6536237559543638E-2</c:v>
                </c:pt>
                <c:pt idx="1194">
                  <c:v>2.6523281192258878E-2</c:v>
                </c:pt>
                <c:pt idx="1195">
                  <c:v>2.6100158183945541E-2</c:v>
                </c:pt>
                <c:pt idx="1196">
                  <c:v>2.5743414372406188E-2</c:v>
                </c:pt>
                <c:pt idx="1197">
                  <c:v>2.5959767957613386E-2</c:v>
                </c:pt>
                <c:pt idx="1198">
                  <c:v>2.6144884273750474E-2</c:v>
                </c:pt>
                <c:pt idx="1199">
                  <c:v>2.6141867037533472E-2</c:v>
                </c:pt>
                <c:pt idx="1200">
                  <c:v>2.6281902294898921E-2</c:v>
                </c:pt>
                <c:pt idx="1201">
                  <c:v>2.6209488625690933E-2</c:v>
                </c:pt>
                <c:pt idx="1202">
                  <c:v>2.6086846847694072E-2</c:v>
                </c:pt>
                <c:pt idx="1203">
                  <c:v>2.6109742346046596E-2</c:v>
                </c:pt>
                <c:pt idx="1204">
                  <c:v>2.5693541232584018E-2</c:v>
                </c:pt>
                <c:pt idx="1205">
                  <c:v>2.6523636161225585E-2</c:v>
                </c:pt>
                <c:pt idx="1206">
                  <c:v>2.5921253824725803E-2</c:v>
                </c:pt>
                <c:pt idx="1207">
                  <c:v>2.5999879450851145E-2</c:v>
                </c:pt>
                <c:pt idx="1208">
                  <c:v>2.6490801531805296E-2</c:v>
                </c:pt>
                <c:pt idx="1209">
                  <c:v>2.6295036146667033E-2</c:v>
                </c:pt>
                <c:pt idx="1210">
                  <c:v>2.5867653510753229E-2</c:v>
                </c:pt>
                <c:pt idx="1211">
                  <c:v>2.6344554317522494E-2</c:v>
                </c:pt>
                <c:pt idx="1212">
                  <c:v>2.6087556785627481E-2</c:v>
                </c:pt>
                <c:pt idx="1213">
                  <c:v>2.610761253224636E-2</c:v>
                </c:pt>
                <c:pt idx="1214">
                  <c:v>2.5928708173026629E-2</c:v>
                </c:pt>
                <c:pt idx="1215">
                  <c:v>2.683813866572694E-2</c:v>
                </c:pt>
                <c:pt idx="1216">
                  <c:v>2.6045137994106137E-2</c:v>
                </c:pt>
                <c:pt idx="1217">
                  <c:v>2.6329468136437495E-2</c:v>
                </c:pt>
                <c:pt idx="1218">
                  <c:v>2.6616815514985862E-2</c:v>
                </c:pt>
                <c:pt idx="1219">
                  <c:v>2.5993490009450441E-2</c:v>
                </c:pt>
                <c:pt idx="1220">
                  <c:v>2.6084362064927129E-2</c:v>
                </c:pt>
                <c:pt idx="1221">
                  <c:v>2.5799676953629062E-2</c:v>
                </c:pt>
                <c:pt idx="1222">
                  <c:v>2.6360527921024259E-2</c:v>
                </c:pt>
                <c:pt idx="1223">
                  <c:v>2.6357333200323907E-2</c:v>
                </c:pt>
                <c:pt idx="1224">
                  <c:v>2.5740574620672543E-2</c:v>
                </c:pt>
                <c:pt idx="1225">
                  <c:v>2.6110629768463362E-2</c:v>
                </c:pt>
                <c:pt idx="1226">
                  <c:v>2.6190675270455526E-2</c:v>
                </c:pt>
                <c:pt idx="1227">
                  <c:v>2.6300538165650974E-2</c:v>
                </c:pt>
                <c:pt idx="1228">
                  <c:v>2.569105644981708E-2</c:v>
                </c:pt>
                <c:pt idx="1229">
                  <c:v>2.6645745485772383E-2</c:v>
                </c:pt>
                <c:pt idx="1230">
                  <c:v>2.6605633992534627E-2</c:v>
                </c:pt>
                <c:pt idx="1231">
                  <c:v>2.6047090323423023E-2</c:v>
                </c:pt>
                <c:pt idx="1232">
                  <c:v>2.5848840155517819E-2</c:v>
                </c:pt>
                <c:pt idx="1233">
                  <c:v>2.5950006311028978E-2</c:v>
                </c:pt>
                <c:pt idx="1234">
                  <c:v>2.5760097913841363E-2</c:v>
                </c:pt>
                <c:pt idx="1235">
                  <c:v>2.6856242083028937E-2</c:v>
                </c:pt>
                <c:pt idx="1236">
                  <c:v>2.6465598735169179E-2</c:v>
                </c:pt>
                <c:pt idx="1237">
                  <c:v>2.6065726194175073E-2</c:v>
                </c:pt>
                <c:pt idx="1238">
                  <c:v>2.6511389731874231E-2</c:v>
                </c:pt>
                <c:pt idx="1239">
                  <c:v>2.660155184941751E-2</c:v>
                </c:pt>
                <c:pt idx="1240">
                  <c:v>2.6380051214193082E-2</c:v>
                </c:pt>
                <c:pt idx="1241">
                  <c:v>2.5882384722871517E-2</c:v>
                </c:pt>
                <c:pt idx="1242">
                  <c:v>2.6199194525656461E-2</c:v>
                </c:pt>
                <c:pt idx="1243">
                  <c:v>2.6402591743578899E-2</c:v>
                </c:pt>
                <c:pt idx="1244">
                  <c:v>2.6356090808940434E-2</c:v>
                </c:pt>
                <c:pt idx="1245">
                  <c:v>2.5718744029220138E-2</c:v>
                </c:pt>
                <c:pt idx="1246">
                  <c:v>2.6634918932287859E-2</c:v>
                </c:pt>
                <c:pt idx="1247">
                  <c:v>2.653268786987658E-2</c:v>
                </c:pt>
                <c:pt idx="1248">
                  <c:v>2.6421582583297659E-2</c:v>
                </c:pt>
                <c:pt idx="1249">
                  <c:v>2.5587760480505688E-2</c:v>
                </c:pt>
                <c:pt idx="1250">
                  <c:v>2.6449980100634124E-2</c:v>
                </c:pt>
                <c:pt idx="1251">
                  <c:v>2.6277997636265156E-2</c:v>
                </c:pt>
                <c:pt idx="1252">
                  <c:v>2.5899245748790045E-2</c:v>
                </c:pt>
                <c:pt idx="1253">
                  <c:v>2.5980711126649028E-2</c:v>
                </c:pt>
                <c:pt idx="1254">
                  <c:v>2.6161745299668998E-2</c:v>
                </c:pt>
                <c:pt idx="1255">
                  <c:v>2.686813354341358E-2</c:v>
                </c:pt>
                <c:pt idx="1256">
                  <c:v>2.6262733970696804E-2</c:v>
                </c:pt>
                <c:pt idx="1257">
                  <c:v>2.5904037829840576E-2</c:v>
                </c:pt>
                <c:pt idx="1258">
                  <c:v>2.587706018837093E-2</c:v>
                </c:pt>
                <c:pt idx="1259">
                  <c:v>2.6184640798021522E-2</c:v>
                </c:pt>
                <c:pt idx="1260">
                  <c:v>2.5681827256682735E-2</c:v>
                </c:pt>
                <c:pt idx="1261">
                  <c:v>2.6445010535100243E-2</c:v>
                </c:pt>
                <c:pt idx="1262">
                  <c:v>2.6557713182029343E-2</c:v>
                </c:pt>
                <c:pt idx="1263">
                  <c:v>2.6052769826890313E-2</c:v>
                </c:pt>
                <c:pt idx="1264">
                  <c:v>2.6331242981271027E-2</c:v>
                </c:pt>
                <c:pt idx="1265">
                  <c:v>2.6513519545674463E-2</c:v>
                </c:pt>
                <c:pt idx="1266">
                  <c:v>2.5986035661149619E-2</c:v>
                </c:pt>
                <c:pt idx="1267">
                  <c:v>2.6353783510656845E-2</c:v>
                </c:pt>
                <c:pt idx="1268">
                  <c:v>2.705520218886755E-2</c:v>
                </c:pt>
                <c:pt idx="1269">
                  <c:v>2.6829974379492704E-2</c:v>
                </c:pt>
                <c:pt idx="1270">
                  <c:v>2.5841918260667056E-2</c:v>
                </c:pt>
                <c:pt idx="1271">
                  <c:v>2.6273738008664685E-2</c:v>
                </c:pt>
                <c:pt idx="1272">
                  <c:v>2.6219605241242047E-2</c:v>
                </c:pt>
                <c:pt idx="1273">
                  <c:v>2.6559310542379515E-2</c:v>
                </c:pt>
                <c:pt idx="1274">
                  <c:v>2.6518844080175054E-2</c:v>
                </c:pt>
                <c:pt idx="1275">
                  <c:v>2.613991470821659E-2</c:v>
                </c:pt>
                <c:pt idx="1276">
                  <c:v>2.664539051680568E-2</c:v>
                </c:pt>
                <c:pt idx="1277">
                  <c:v>2.6479797493837411E-2</c:v>
                </c:pt>
                <c:pt idx="1278">
                  <c:v>2.5932435347177037E-2</c:v>
                </c:pt>
                <c:pt idx="1279">
                  <c:v>2.6194402444605931E-2</c:v>
                </c:pt>
                <c:pt idx="1280">
                  <c:v>2.6406673886696014E-2</c:v>
                </c:pt>
                <c:pt idx="1281">
                  <c:v>2.6446252926483716E-2</c:v>
                </c:pt>
                <c:pt idx="1282">
                  <c:v>2.6316511769152739E-2</c:v>
                </c:pt>
                <c:pt idx="1283">
                  <c:v>2.6430989260915361E-2</c:v>
                </c:pt>
                <c:pt idx="1284">
                  <c:v>2.684985264162823E-2</c:v>
                </c:pt>
                <c:pt idx="1285">
                  <c:v>2.5944859261011744E-2</c:v>
                </c:pt>
                <c:pt idx="1286">
                  <c:v>2.6605988961501334E-2</c:v>
                </c:pt>
                <c:pt idx="1287">
                  <c:v>2.6272495617281212E-2</c:v>
                </c:pt>
                <c:pt idx="1288">
                  <c:v>2.6387683046977251E-2</c:v>
                </c:pt>
                <c:pt idx="1289">
                  <c:v>2.6025614700937318E-2</c:v>
                </c:pt>
                <c:pt idx="1290">
                  <c:v>2.6318641582952971E-2</c:v>
                </c:pt>
                <c:pt idx="1291">
                  <c:v>2.6364432579658023E-2</c:v>
                </c:pt>
                <c:pt idx="1292">
                  <c:v>2.6686211947976848E-2</c:v>
                </c:pt>
                <c:pt idx="1293">
                  <c:v>2.6542627000944344E-2</c:v>
                </c:pt>
                <c:pt idx="1294">
                  <c:v>2.6555760852712461E-2</c:v>
                </c:pt>
                <c:pt idx="1295">
                  <c:v>2.6292906332866801E-2</c:v>
                </c:pt>
                <c:pt idx="1296">
                  <c:v>2.6904162893534221E-2</c:v>
                </c:pt>
                <c:pt idx="1297">
                  <c:v>2.658149610279863E-2</c:v>
                </c:pt>
                <c:pt idx="1298">
                  <c:v>2.6411998421196601E-2</c:v>
                </c:pt>
                <c:pt idx="1299">
                  <c:v>2.6421937552264366E-2</c:v>
                </c:pt>
                <c:pt idx="1300">
                  <c:v>2.6270720772447687E-2</c:v>
                </c:pt>
                <c:pt idx="1301">
                  <c:v>2.5917349166092042E-2</c:v>
                </c:pt>
                <c:pt idx="1302">
                  <c:v>2.65065976508237E-2</c:v>
                </c:pt>
                <c:pt idx="1303">
                  <c:v>2.6164762535886E-2</c:v>
                </c:pt>
                <c:pt idx="1304">
                  <c:v>2.7013315850796263E-2</c:v>
                </c:pt>
                <c:pt idx="1305">
                  <c:v>2.580269418984606E-2</c:v>
                </c:pt>
                <c:pt idx="1306">
                  <c:v>2.6640953404721855E-2</c:v>
                </c:pt>
                <c:pt idx="1307">
                  <c:v>2.6271253225897743E-2</c:v>
                </c:pt>
                <c:pt idx="1308">
                  <c:v>2.6403834134962365E-2</c:v>
                </c:pt>
                <c:pt idx="1309">
                  <c:v>2.6798559625939238E-2</c:v>
                </c:pt>
                <c:pt idx="1310">
                  <c:v>2.6597824675267098E-2</c:v>
                </c:pt>
                <c:pt idx="1311">
                  <c:v>2.6558068150996046E-2</c:v>
                </c:pt>
                <c:pt idx="1312">
                  <c:v>2.6809563663907118E-2</c:v>
                </c:pt>
                <c:pt idx="1313">
                  <c:v>2.6143109428916941E-2</c:v>
                </c:pt>
                <c:pt idx="1314">
                  <c:v>2.6274625431081448E-2</c:v>
                </c:pt>
                <c:pt idx="1315">
                  <c:v>2.6672723127242025E-2</c:v>
                </c:pt>
                <c:pt idx="1316">
                  <c:v>2.6580786164865221E-2</c:v>
                </c:pt>
                <c:pt idx="1317">
                  <c:v>2.6553276069945519E-2</c:v>
                </c:pt>
                <c:pt idx="1318">
                  <c:v>2.576542244834195E-2</c:v>
                </c:pt>
                <c:pt idx="1319">
                  <c:v>2.6135655080616119E-2</c:v>
                </c:pt>
                <c:pt idx="1320">
                  <c:v>2.7521808895602351E-2</c:v>
                </c:pt>
                <c:pt idx="1321">
                  <c:v>2.6358930560674079E-2</c:v>
                </c:pt>
                <c:pt idx="1322">
                  <c:v>2.6679112568642731E-2</c:v>
                </c:pt>
                <c:pt idx="1323">
                  <c:v>2.6541029640594169E-2</c:v>
                </c:pt>
                <c:pt idx="1324">
                  <c:v>2.6483702152471176E-2</c:v>
                </c:pt>
                <c:pt idx="1325">
                  <c:v>2.6306395153601617E-2</c:v>
                </c:pt>
                <c:pt idx="1326">
                  <c:v>2.6449625131667417E-2</c:v>
                </c:pt>
                <c:pt idx="1327">
                  <c:v>2.5786898070827655E-2</c:v>
                </c:pt>
                <c:pt idx="1328">
                  <c:v>2.6347216584772789E-2</c:v>
                </c:pt>
                <c:pt idx="1329">
                  <c:v>2.6438266124732834E-2</c:v>
                </c:pt>
                <c:pt idx="1330">
                  <c:v>2.6745491765416719E-2</c:v>
                </c:pt>
                <c:pt idx="1331">
                  <c:v>2.6242855708561275E-2</c:v>
                </c:pt>
                <c:pt idx="1332">
                  <c:v>2.6514584452574586E-2</c:v>
                </c:pt>
                <c:pt idx="1333">
                  <c:v>2.6480329947287475E-2</c:v>
                </c:pt>
                <c:pt idx="1334">
                  <c:v>2.659409750111669E-2</c:v>
                </c:pt>
                <c:pt idx="1335">
                  <c:v>2.6425487241931424E-2</c:v>
                </c:pt>
                <c:pt idx="1336">
                  <c:v>2.7008701254229082E-2</c:v>
                </c:pt>
                <c:pt idx="1337">
                  <c:v>2.6344021864072437E-2</c:v>
                </c:pt>
                <c:pt idx="1338">
                  <c:v>2.6308347482918503E-2</c:v>
                </c:pt>
                <c:pt idx="1339">
                  <c:v>2.6455304635134711E-2</c:v>
                </c:pt>
                <c:pt idx="1340">
                  <c:v>2.6110274799496652E-2</c:v>
                </c:pt>
                <c:pt idx="1341">
                  <c:v>2.6544756814744577E-2</c:v>
                </c:pt>
                <c:pt idx="1342">
                  <c:v>2.6577768928648222E-2</c:v>
                </c:pt>
                <c:pt idx="1343">
                  <c:v>2.6554695945812341E-2</c:v>
                </c:pt>
                <c:pt idx="1344">
                  <c:v>2.6489914109388529E-2</c:v>
                </c:pt>
                <c:pt idx="1345">
                  <c:v>2.6985805755876557E-2</c:v>
                </c:pt>
                <c:pt idx="1346">
                  <c:v>2.6237176205093984E-2</c:v>
                </c:pt>
                <c:pt idx="1347">
                  <c:v>2.6765902481002305E-2</c:v>
                </c:pt>
                <c:pt idx="1348">
                  <c:v>2.6621607596036389E-2</c:v>
                </c:pt>
                <c:pt idx="1349">
                  <c:v>2.6241968286144515E-2</c:v>
                </c:pt>
                <c:pt idx="1350">
                  <c:v>2.662657716157027E-2</c:v>
                </c:pt>
                <c:pt idx="1351">
                  <c:v>2.6217830396408522E-2</c:v>
                </c:pt>
                <c:pt idx="1352">
                  <c:v>2.595799311277986E-2</c:v>
                </c:pt>
                <c:pt idx="1353">
                  <c:v>2.6980836190342677E-2</c:v>
                </c:pt>
                <c:pt idx="1354">
                  <c:v>2.5784590772544063E-2</c:v>
                </c:pt>
                <c:pt idx="1355">
                  <c:v>2.6136542503032888E-2</c:v>
                </c:pt>
                <c:pt idx="1356">
                  <c:v>2.685056257956164E-2</c:v>
                </c:pt>
                <c:pt idx="1357">
                  <c:v>2.7076322842386542E-2</c:v>
                </c:pt>
                <c:pt idx="1358">
                  <c:v>2.701864038529685E-2</c:v>
                </c:pt>
                <c:pt idx="1359">
                  <c:v>2.6392297643544428E-2</c:v>
                </c:pt>
                <c:pt idx="1360">
                  <c:v>2.6715674372213432E-2</c:v>
                </c:pt>
                <c:pt idx="1361">
                  <c:v>2.6232029155076751E-2</c:v>
                </c:pt>
                <c:pt idx="1362">
                  <c:v>2.6700588191128433E-2</c:v>
                </c:pt>
                <c:pt idx="1363">
                  <c:v>2.6517069235341525E-2</c:v>
                </c:pt>
                <c:pt idx="1364">
                  <c:v>2.6646987877155855E-2</c:v>
                </c:pt>
                <c:pt idx="1365">
                  <c:v>2.6626222192603567E-2</c:v>
                </c:pt>
                <c:pt idx="1366">
                  <c:v>2.6325740962287091E-2</c:v>
                </c:pt>
                <c:pt idx="1367">
                  <c:v>2.6369402145191904E-2</c:v>
                </c:pt>
                <c:pt idx="1368">
                  <c:v>2.6847900312311348E-2</c:v>
                </c:pt>
                <c:pt idx="1369">
                  <c:v>2.6554873430295698E-2</c:v>
                </c:pt>
                <c:pt idx="1370">
                  <c:v>2.6757915679251426E-2</c:v>
                </c:pt>
                <c:pt idx="1371">
                  <c:v>2.6576704021748103E-2</c:v>
                </c:pt>
                <c:pt idx="1372">
                  <c:v>2.6580786164865221E-2</c:v>
                </c:pt>
                <c:pt idx="1373">
                  <c:v>2.6277997636265156E-2</c:v>
                </c:pt>
                <c:pt idx="1374">
                  <c:v>2.6694553718694437E-2</c:v>
                </c:pt>
                <c:pt idx="1375">
                  <c:v>2.6939127336754746E-2</c:v>
                </c:pt>
                <c:pt idx="1376">
                  <c:v>2.6527895788826052E-2</c:v>
                </c:pt>
                <c:pt idx="1377">
                  <c:v>2.6425842210898127E-2</c:v>
                </c:pt>
                <c:pt idx="1378">
                  <c:v>2.6760577946501718E-2</c:v>
                </c:pt>
                <c:pt idx="1379">
                  <c:v>2.6783828413820949E-2</c:v>
                </c:pt>
                <c:pt idx="1380">
                  <c:v>2.7017220509430024E-2</c:v>
                </c:pt>
                <c:pt idx="1381">
                  <c:v>2.6465066281719119E-2</c:v>
                </c:pt>
                <c:pt idx="1382">
                  <c:v>2.6617702937402624E-2</c:v>
                </c:pt>
                <c:pt idx="1383">
                  <c:v>2.6354848417556965E-2</c:v>
                </c:pt>
                <c:pt idx="1384">
                  <c:v>2.6527540819859346E-2</c:v>
                </c:pt>
                <c:pt idx="1385">
                  <c:v>2.6249245149961981E-2</c:v>
                </c:pt>
                <c:pt idx="1386">
                  <c:v>2.6128378216798653E-2</c:v>
                </c:pt>
                <c:pt idx="1387">
                  <c:v>2.6393540034927901E-2</c:v>
                </c:pt>
                <c:pt idx="1388">
                  <c:v>2.6626222192603567E-2</c:v>
                </c:pt>
                <c:pt idx="1389">
                  <c:v>2.7013315850796263E-2</c:v>
                </c:pt>
                <c:pt idx="1390">
                  <c:v>2.6542627000944344E-2</c:v>
                </c:pt>
                <c:pt idx="1391">
                  <c:v>2.6243388162011338E-2</c:v>
                </c:pt>
                <c:pt idx="1392">
                  <c:v>2.7062301568201663E-2</c:v>
                </c:pt>
                <c:pt idx="1393">
                  <c:v>2.6706267694595727E-2</c:v>
                </c:pt>
                <c:pt idx="1394">
                  <c:v>2.6490979016288645E-2</c:v>
                </c:pt>
                <c:pt idx="1395">
                  <c:v>2.6340649658888736E-2</c:v>
                </c:pt>
                <c:pt idx="1396">
                  <c:v>2.6222977446425755E-2</c:v>
                </c:pt>
                <c:pt idx="1397">
                  <c:v>2.6679112568642731E-2</c:v>
                </c:pt>
                <c:pt idx="1398">
                  <c:v>2.6700233222161727E-2</c:v>
                </c:pt>
                <c:pt idx="1399">
                  <c:v>2.7103122999372835E-2</c:v>
                </c:pt>
                <c:pt idx="1400">
                  <c:v>2.6751703722334073E-2</c:v>
                </c:pt>
                <c:pt idx="1401">
                  <c:v>2.6518666595691697E-2</c:v>
                </c:pt>
                <c:pt idx="1402">
                  <c:v>2.6862276555462933E-2</c:v>
                </c:pt>
                <c:pt idx="1403">
                  <c:v>2.6470390816219706E-2</c:v>
                </c:pt>
                <c:pt idx="1404">
                  <c:v>2.7070998307885955E-2</c:v>
                </c:pt>
                <c:pt idx="1405">
                  <c:v>2.6442170783366598E-2</c:v>
                </c:pt>
                <c:pt idx="1406">
                  <c:v>2.6518311626724994E-2</c:v>
                </c:pt>
                <c:pt idx="1407">
                  <c:v>2.681985776394159E-2</c:v>
                </c:pt>
                <c:pt idx="1408">
                  <c:v>2.6273383039697978E-2</c:v>
                </c:pt>
                <c:pt idx="1409">
                  <c:v>2.6621075142586333E-2</c:v>
                </c:pt>
                <c:pt idx="1410">
                  <c:v>2.6574929176914574E-2</c:v>
                </c:pt>
                <c:pt idx="1411">
                  <c:v>2.6758270648218129E-2</c:v>
                </c:pt>
                <c:pt idx="1412">
                  <c:v>2.635822062274067E-2</c:v>
                </c:pt>
                <c:pt idx="1413">
                  <c:v>2.6421227614330953E-2</c:v>
                </c:pt>
                <c:pt idx="1414">
                  <c:v>2.7067093649252194E-2</c:v>
                </c:pt>
                <c:pt idx="1415">
                  <c:v>2.6928300783270215E-2</c:v>
                </c:pt>
                <c:pt idx="1416">
                  <c:v>2.6517069235341525E-2</c:v>
                </c:pt>
                <c:pt idx="1417">
                  <c:v>2.670076567561179E-2</c:v>
                </c:pt>
                <c:pt idx="1418">
                  <c:v>2.6410223576363072E-2</c:v>
                </c:pt>
                <c:pt idx="1419">
                  <c:v>2.6229899341276518E-2</c:v>
                </c:pt>
                <c:pt idx="1420">
                  <c:v>2.6942677026421804E-2</c:v>
                </c:pt>
                <c:pt idx="1421">
                  <c:v>2.6558778088929459E-2</c:v>
                </c:pt>
                <c:pt idx="1422">
                  <c:v>2.6792170184538531E-2</c:v>
                </c:pt>
                <c:pt idx="1423">
                  <c:v>2.7002489297311735E-2</c:v>
                </c:pt>
                <c:pt idx="1424">
                  <c:v>2.6651602473723029E-2</c:v>
                </c:pt>
                <c:pt idx="1425">
                  <c:v>2.6745136796450016E-2</c:v>
                </c:pt>
                <c:pt idx="1426">
                  <c:v>2.630816999843515E-2</c:v>
                </c:pt>
                <c:pt idx="1427">
                  <c:v>2.7146784182277648E-2</c:v>
                </c:pt>
                <c:pt idx="1428">
                  <c:v>2.6840268479527175E-2</c:v>
                </c:pt>
                <c:pt idx="1429">
                  <c:v>2.6456014573068124E-2</c:v>
                </c:pt>
                <c:pt idx="1430">
                  <c:v>2.6436668764382658E-2</c:v>
                </c:pt>
                <c:pt idx="1431">
                  <c:v>2.704366569744961E-2</c:v>
                </c:pt>
                <c:pt idx="1432">
                  <c:v>2.6648407753022681E-2</c:v>
                </c:pt>
                <c:pt idx="1433">
                  <c:v>2.6688519246260436E-2</c:v>
                </c:pt>
                <c:pt idx="1434">
                  <c:v>2.6583980885565569E-2</c:v>
                </c:pt>
                <c:pt idx="1435">
                  <c:v>2.6733422820548722E-2</c:v>
                </c:pt>
                <c:pt idx="1436">
                  <c:v>2.6618057906369331E-2</c:v>
                </c:pt>
                <c:pt idx="1437">
                  <c:v>2.6863873915813109E-2</c:v>
                </c:pt>
                <c:pt idx="1438">
                  <c:v>2.6901855595250629E-2</c:v>
                </c:pt>
                <c:pt idx="1439">
                  <c:v>2.659427498560004E-2</c:v>
                </c:pt>
                <c:pt idx="1440">
                  <c:v>2.7097088526938835E-2</c:v>
                </c:pt>
                <c:pt idx="1441">
                  <c:v>2.6116486756414006E-2</c:v>
                </c:pt>
                <c:pt idx="1442">
                  <c:v>2.6865116307196579E-2</c:v>
                </c:pt>
                <c:pt idx="1443">
                  <c:v>2.6559665511346219E-2</c:v>
                </c:pt>
                <c:pt idx="1444">
                  <c:v>2.6670415828958436E-2</c:v>
                </c:pt>
                <c:pt idx="1445">
                  <c:v>2.7100105763155836E-2</c:v>
                </c:pt>
                <c:pt idx="1446">
                  <c:v>2.6724193627414371E-2</c:v>
                </c:pt>
                <c:pt idx="1447">
                  <c:v>2.6720998906714019E-2</c:v>
                </c:pt>
                <c:pt idx="1448">
                  <c:v>2.6859791772695991E-2</c:v>
                </c:pt>
                <c:pt idx="1449">
                  <c:v>2.6857306989929053E-2</c:v>
                </c:pt>
                <c:pt idx="1450">
                  <c:v>2.6598534613200511E-2</c:v>
                </c:pt>
                <c:pt idx="1451">
                  <c:v>2.6330710527820968E-2</c:v>
                </c:pt>
                <c:pt idx="1452">
                  <c:v>2.7003731688695205E-2</c:v>
                </c:pt>
                <c:pt idx="1453">
                  <c:v>2.6614685701185626E-2</c:v>
                </c:pt>
                <c:pt idx="1454">
                  <c:v>2.6960780443723797E-2</c:v>
                </c:pt>
                <c:pt idx="1455">
                  <c:v>2.6861211648562817E-2</c:v>
                </c:pt>
                <c:pt idx="1456">
                  <c:v>2.631988397433644E-2</c:v>
                </c:pt>
                <c:pt idx="1457">
                  <c:v>2.7169502196146823E-2</c:v>
                </c:pt>
                <c:pt idx="1458">
                  <c:v>2.6664381356524443E-2</c:v>
                </c:pt>
                <c:pt idx="1459">
                  <c:v>2.7195769899683055E-2</c:v>
                </c:pt>
                <c:pt idx="1460">
                  <c:v>2.6674320487592204E-2</c:v>
                </c:pt>
                <c:pt idx="1461">
                  <c:v>2.6756850772351307E-2</c:v>
                </c:pt>
                <c:pt idx="1462">
                  <c:v>2.6937884945371273E-2</c:v>
                </c:pt>
                <c:pt idx="1463">
                  <c:v>2.6854112269228701E-2</c:v>
                </c:pt>
                <c:pt idx="1464">
                  <c:v>2.707419302858631E-2</c:v>
                </c:pt>
                <c:pt idx="1465">
                  <c:v>2.7150156387461356E-2</c:v>
                </c:pt>
                <c:pt idx="1466">
                  <c:v>2.6820922670841706E-2</c:v>
                </c:pt>
                <c:pt idx="1467">
                  <c:v>2.6977109016192269E-2</c:v>
                </c:pt>
                <c:pt idx="1468">
                  <c:v>2.7116256851140951E-2</c:v>
                </c:pt>
                <c:pt idx="1469">
                  <c:v>2.6918361652202457E-2</c:v>
                </c:pt>
                <c:pt idx="1470">
                  <c:v>2.7352311214000318E-2</c:v>
                </c:pt>
                <c:pt idx="1471">
                  <c:v>2.714873651159453E-2</c:v>
                </c:pt>
                <c:pt idx="1472">
                  <c:v>2.7053959797484078E-2</c:v>
                </c:pt>
                <c:pt idx="1473">
                  <c:v>2.7039051100882436E-2</c:v>
                </c:pt>
                <c:pt idx="1474">
                  <c:v>2.7150688840911413E-2</c:v>
                </c:pt>
                <c:pt idx="1475">
                  <c:v>2.6692423904894201E-2</c:v>
                </c:pt>
                <c:pt idx="1476">
                  <c:v>2.6599067066650571E-2</c:v>
                </c:pt>
                <c:pt idx="1477">
                  <c:v>2.703709877156555E-2</c:v>
                </c:pt>
                <c:pt idx="1478">
                  <c:v>2.7513289640401409E-2</c:v>
                </c:pt>
                <c:pt idx="1479">
                  <c:v>2.6833169100193059E-2</c:v>
                </c:pt>
                <c:pt idx="1480">
                  <c:v>2.6830329348459411E-2</c:v>
                </c:pt>
                <c:pt idx="1481">
                  <c:v>2.7222215087702634E-2</c:v>
                </c:pt>
                <c:pt idx="1482">
                  <c:v>2.6919604043585923E-2</c:v>
                </c:pt>
                <c:pt idx="1483">
                  <c:v>2.6876475314131169E-2</c:v>
                </c:pt>
                <c:pt idx="1484">
                  <c:v>2.6619300297752804E-2</c:v>
                </c:pt>
                <c:pt idx="1485">
                  <c:v>2.7174649246164057E-2</c:v>
                </c:pt>
                <c:pt idx="1486">
                  <c:v>2.6612910856352097E-2</c:v>
                </c:pt>
                <c:pt idx="1487">
                  <c:v>2.6547774050961578E-2</c:v>
                </c:pt>
                <c:pt idx="1488">
                  <c:v>2.6901855595250629E-2</c:v>
                </c:pt>
                <c:pt idx="1489">
                  <c:v>2.6890319103832695E-2</c:v>
                </c:pt>
                <c:pt idx="1490">
                  <c:v>2.7164887599579645E-2</c:v>
                </c:pt>
                <c:pt idx="1491">
                  <c:v>2.7069400947535779E-2</c:v>
                </c:pt>
                <c:pt idx="1492">
                  <c:v>2.6821987577741825E-2</c:v>
                </c:pt>
                <c:pt idx="1493">
                  <c:v>2.6563925138946693E-2</c:v>
                </c:pt>
                <c:pt idx="1494">
                  <c:v>2.772875580319184E-2</c:v>
                </c:pt>
                <c:pt idx="1495">
                  <c:v>2.7465368829896124E-2</c:v>
                </c:pt>
                <c:pt idx="1496">
                  <c:v>2.7427564634941951E-2</c:v>
                </c:pt>
                <c:pt idx="1497">
                  <c:v>2.7023964919797437E-2</c:v>
                </c:pt>
                <c:pt idx="1498">
                  <c:v>2.7606291509678336E-2</c:v>
                </c:pt>
                <c:pt idx="1499">
                  <c:v>2.7237833722237693E-2</c:v>
                </c:pt>
                <c:pt idx="1500">
                  <c:v>2.7303325496594918E-2</c:v>
                </c:pt>
                <c:pt idx="1501">
                  <c:v>2.7139684802943532E-2</c:v>
                </c:pt>
                <c:pt idx="1502">
                  <c:v>2.7417980472840896E-2</c:v>
                </c:pt>
                <c:pt idx="1503">
                  <c:v>2.774082474805984E-2</c:v>
                </c:pt>
                <c:pt idx="1504">
                  <c:v>2.6828199534659175E-2</c:v>
                </c:pt>
                <c:pt idx="1505">
                  <c:v>2.7460221779878891E-2</c:v>
                </c:pt>
                <c:pt idx="1506">
                  <c:v>2.6340117205438673E-2</c:v>
                </c:pt>
                <c:pt idx="1507">
                  <c:v>2.548428702671094E-2</c:v>
                </c:pt>
                <c:pt idx="1508">
                  <c:v>2.3450492331969944E-2</c:v>
                </c:pt>
                <c:pt idx="1509">
                  <c:v>2.4316971579698855E-2</c:v>
                </c:pt>
                <c:pt idx="1510">
                  <c:v>2.6225284744709341E-2</c:v>
                </c:pt>
                <c:pt idx="1511">
                  <c:v>2.6845947982994466E-2</c:v>
                </c:pt>
                <c:pt idx="1512">
                  <c:v>2.6724193627414371E-2</c:v>
                </c:pt>
                <c:pt idx="1513">
                  <c:v>2.6971252028241622E-2</c:v>
                </c:pt>
                <c:pt idx="1514">
                  <c:v>2.6643615671972147E-2</c:v>
                </c:pt>
                <c:pt idx="1515">
                  <c:v>2.6461694076535414E-2</c:v>
                </c:pt>
                <c:pt idx="1516">
                  <c:v>2.7016333087013261E-2</c:v>
                </c:pt>
                <c:pt idx="1517">
                  <c:v>2.7419755317674425E-2</c:v>
                </c:pt>
                <c:pt idx="1518">
                  <c:v>2.7243868194671693E-2</c:v>
                </c:pt>
                <c:pt idx="1519">
                  <c:v>2.6592855109733218E-2</c:v>
                </c:pt>
                <c:pt idx="1520">
                  <c:v>2.7522518833535761E-2</c:v>
                </c:pt>
                <c:pt idx="1521">
                  <c:v>2.6820035248424943E-2</c:v>
                </c:pt>
                <c:pt idx="1522">
                  <c:v>2.708697191138772E-2</c:v>
                </c:pt>
                <c:pt idx="1523">
                  <c:v>2.7707990118639548E-2</c:v>
                </c:pt>
                <c:pt idx="1524">
                  <c:v>2.7222925025636051E-2</c:v>
                </c:pt>
                <c:pt idx="1525">
                  <c:v>2.7583218526842458E-2</c:v>
                </c:pt>
                <c:pt idx="1526">
                  <c:v>2.6847190374377938E-2</c:v>
                </c:pt>
                <c:pt idx="1527">
                  <c:v>2.7795312484449185E-2</c:v>
                </c:pt>
                <c:pt idx="1528">
                  <c:v>2.6754365989584365E-2</c:v>
                </c:pt>
                <c:pt idx="1529">
                  <c:v>2.68936913090164E-2</c:v>
                </c:pt>
                <c:pt idx="1530">
                  <c:v>2.6711414744612961E-2</c:v>
                </c:pt>
                <c:pt idx="1531">
                  <c:v>2.7226119746336399E-2</c:v>
                </c:pt>
                <c:pt idx="1532">
                  <c:v>2.7387630626187549E-2</c:v>
                </c:pt>
                <c:pt idx="1533">
                  <c:v>2.7012605912862846E-2</c:v>
                </c:pt>
                <c:pt idx="1534">
                  <c:v>2.7210856080768051E-2</c:v>
                </c:pt>
                <c:pt idx="1535">
                  <c:v>2.6970897059274915E-2</c:v>
                </c:pt>
                <c:pt idx="1536">
                  <c:v>2.7281494905142506E-2</c:v>
                </c:pt>
                <c:pt idx="1537">
                  <c:v>2.747921261959765E-2</c:v>
                </c:pt>
                <c:pt idx="1538">
                  <c:v>2.7246885430888688E-2</c:v>
                </c:pt>
                <c:pt idx="1539">
                  <c:v>2.7166839928896527E-2</c:v>
                </c:pt>
                <c:pt idx="1540">
                  <c:v>2.8263871520500864E-2</c:v>
                </c:pt>
                <c:pt idx="1541">
                  <c:v>2.8061539209478546E-2</c:v>
                </c:pt>
                <c:pt idx="1542">
                  <c:v>2.7275282948225153E-2</c:v>
                </c:pt>
                <c:pt idx="1543">
                  <c:v>2.7750408910160899E-2</c:v>
                </c:pt>
                <c:pt idx="1544">
                  <c:v>2.7718106734190669E-2</c:v>
                </c:pt>
                <c:pt idx="1545">
                  <c:v>2.7515241969718291E-2</c:v>
                </c:pt>
                <c:pt idx="1546">
                  <c:v>2.7400054540022253E-2</c:v>
                </c:pt>
                <c:pt idx="1547">
                  <c:v>2.7178376420314468E-2</c:v>
                </c:pt>
                <c:pt idx="1548">
                  <c:v>2.8014860790356731E-2</c:v>
                </c:pt>
                <c:pt idx="1549">
                  <c:v>2.7705860304839316E-2</c:v>
                </c:pt>
                <c:pt idx="1550">
                  <c:v>2.6943386964355213E-2</c:v>
                </c:pt>
                <c:pt idx="1551">
                  <c:v>2.6512277154290997E-2</c:v>
                </c:pt>
                <c:pt idx="1552">
                  <c:v>2.6706267694595727E-2</c:v>
                </c:pt>
                <c:pt idx="1553">
                  <c:v>2.5838013602033291E-2</c:v>
                </c:pt>
                <c:pt idx="1554">
                  <c:v>2.5033121470027845E-2</c:v>
                </c:pt>
                <c:pt idx="1555">
                  <c:v>2.4812330772736823E-2</c:v>
                </c:pt>
                <c:pt idx="1556">
                  <c:v>2.577713642424324E-2</c:v>
                </c:pt>
                <c:pt idx="1557">
                  <c:v>2.678808804142142E-2</c:v>
                </c:pt>
                <c:pt idx="1558">
                  <c:v>2.6986160724843267E-2</c:v>
                </c:pt>
                <c:pt idx="1559">
                  <c:v>2.7091763992438248E-2</c:v>
                </c:pt>
                <c:pt idx="1560">
                  <c:v>2.7886007055442519E-2</c:v>
                </c:pt>
                <c:pt idx="1561">
                  <c:v>2.7289304222410039E-2</c:v>
                </c:pt>
                <c:pt idx="1562">
                  <c:v>2.8193055211643055E-2</c:v>
                </c:pt>
                <c:pt idx="1563">
                  <c:v>2.7455784667795066E-2</c:v>
                </c:pt>
                <c:pt idx="1564">
                  <c:v>2.8198379746143639E-2</c:v>
                </c:pt>
                <c:pt idx="1565">
                  <c:v>2.7391712769304667E-2</c:v>
                </c:pt>
                <c:pt idx="1566">
                  <c:v>2.7984333459220034E-2</c:v>
                </c:pt>
                <c:pt idx="1567">
                  <c:v>2.7178376420314468E-2</c:v>
                </c:pt>
                <c:pt idx="1568">
                  <c:v>2.7505302838650526E-2</c:v>
                </c:pt>
                <c:pt idx="1569">
                  <c:v>2.7709409994506374E-2</c:v>
                </c:pt>
                <c:pt idx="1570">
                  <c:v>2.7320541491480149E-2</c:v>
                </c:pt>
                <c:pt idx="1571">
                  <c:v>2.7620667752829921E-2</c:v>
                </c:pt>
                <c:pt idx="1572">
                  <c:v>2.7889024291659521E-2</c:v>
                </c:pt>
                <c:pt idx="1573">
                  <c:v>2.7658294463300738E-2</c:v>
                </c:pt>
                <c:pt idx="1574">
                  <c:v>2.7712782199690079E-2</c:v>
                </c:pt>
                <c:pt idx="1575">
                  <c:v>2.8128628344185946E-2</c:v>
                </c:pt>
                <c:pt idx="1576">
                  <c:v>2.8652917508010443E-2</c:v>
                </c:pt>
                <c:pt idx="1577">
                  <c:v>2.7500688242083352E-2</c:v>
                </c:pt>
                <c:pt idx="1578">
                  <c:v>2.7919374138312868E-2</c:v>
                </c:pt>
                <c:pt idx="1579">
                  <c:v>2.7893106434776632E-2</c:v>
                </c:pt>
                <c:pt idx="1580">
                  <c:v>2.8074140607796606E-2</c:v>
                </c:pt>
                <c:pt idx="1581">
                  <c:v>2.8644398252809504E-2</c:v>
                </c:pt>
                <c:pt idx="1582">
                  <c:v>2.7626702225263918E-2</c:v>
                </c:pt>
                <c:pt idx="1583">
                  <c:v>2.74059115279729E-2</c:v>
                </c:pt>
                <c:pt idx="1584">
                  <c:v>2.7587478154442922E-2</c:v>
                </c:pt>
                <c:pt idx="1585">
                  <c:v>2.7859029413972881E-2</c:v>
                </c:pt>
                <c:pt idx="1586">
                  <c:v>2.8246123072165574E-2</c:v>
                </c:pt>
                <c:pt idx="1587">
                  <c:v>2.7671428315068851E-2</c:v>
                </c:pt>
                <c:pt idx="1588">
                  <c:v>2.7988238117853795E-2</c:v>
                </c:pt>
                <c:pt idx="1589">
                  <c:v>2.7540799735321111E-2</c:v>
                </c:pt>
                <c:pt idx="1590">
                  <c:v>2.7890089198559637E-2</c:v>
                </c:pt>
                <c:pt idx="1591">
                  <c:v>2.825198006011622E-2</c:v>
                </c:pt>
                <c:pt idx="1592">
                  <c:v>2.8290494193003803E-2</c:v>
                </c:pt>
                <c:pt idx="1593">
                  <c:v>2.8538617500731171E-2</c:v>
                </c:pt>
                <c:pt idx="1594">
                  <c:v>2.8792775280892535E-2</c:v>
                </c:pt>
                <c:pt idx="1595">
                  <c:v>2.8236183941097812E-2</c:v>
                </c:pt>
                <c:pt idx="1596">
                  <c:v>2.8262629129117395E-2</c:v>
                </c:pt>
                <c:pt idx="1597">
                  <c:v>2.8414555846867483E-2</c:v>
                </c:pt>
                <c:pt idx="1598">
                  <c:v>2.8311082393072739E-2</c:v>
                </c:pt>
                <c:pt idx="1599">
                  <c:v>2.8211868566878462E-2</c:v>
                </c:pt>
                <c:pt idx="1600">
                  <c:v>2.7809333758634064E-2</c:v>
                </c:pt>
                <c:pt idx="1601">
                  <c:v>2.766716868746838E-2</c:v>
                </c:pt>
                <c:pt idx="1602">
                  <c:v>2.8281974937802861E-2</c:v>
                </c:pt>
                <c:pt idx="1603">
                  <c:v>2.7463416500579239E-2</c:v>
                </c:pt>
                <c:pt idx="1604">
                  <c:v>2.7302970527628211E-2</c:v>
                </c:pt>
                <c:pt idx="1605">
                  <c:v>2.7251322542972516E-2</c:v>
                </c:pt>
                <c:pt idx="1606">
                  <c:v>2.6634386478837799E-2</c:v>
                </c:pt>
                <c:pt idx="1607">
                  <c:v>2.6769629655152716E-2</c:v>
                </c:pt>
                <c:pt idx="1608">
                  <c:v>2.5868895902136695E-2</c:v>
                </c:pt>
                <c:pt idx="1609">
                  <c:v>2.6022952433687022E-2</c:v>
                </c:pt>
                <c:pt idx="1610">
                  <c:v>2.6217475427441808E-2</c:v>
                </c:pt>
                <c:pt idx="1611">
                  <c:v>2.6569959611380693E-2</c:v>
                </c:pt>
                <c:pt idx="1612">
                  <c:v>2.6234691422327046E-2</c:v>
                </c:pt>
                <c:pt idx="1613">
                  <c:v>2.7296048632777448E-2</c:v>
                </c:pt>
                <c:pt idx="1614">
                  <c:v>2.6941967088488391E-2</c:v>
                </c:pt>
                <c:pt idx="1615">
                  <c:v>2.6958650629923565E-2</c:v>
                </c:pt>
                <c:pt idx="1616">
                  <c:v>2.7324623634597266E-2</c:v>
                </c:pt>
                <c:pt idx="1617">
                  <c:v>2.7550738866388872E-2</c:v>
                </c:pt>
                <c:pt idx="1618">
                  <c:v>2.7167904835796643E-2</c:v>
                </c:pt>
                <c:pt idx="1619">
                  <c:v>2.7501575664500118E-2</c:v>
                </c:pt>
                <c:pt idx="1620">
                  <c:v>2.8126143561419008E-2</c:v>
                </c:pt>
                <c:pt idx="1621">
                  <c:v>2.8701193287482434E-2</c:v>
                </c:pt>
                <c:pt idx="1622">
                  <c:v>2.8027817157641497E-2</c:v>
                </c:pt>
                <c:pt idx="1623">
                  <c:v>2.8117269337251363E-2</c:v>
                </c:pt>
                <c:pt idx="1624">
                  <c:v>2.805372989221102E-2</c:v>
                </c:pt>
                <c:pt idx="1625">
                  <c:v>2.8084257223347717E-2</c:v>
                </c:pt>
                <c:pt idx="1626">
                  <c:v>2.8037756288709258E-2</c:v>
                </c:pt>
                <c:pt idx="1627">
                  <c:v>2.8186310801275642E-2</c:v>
                </c:pt>
                <c:pt idx="1628">
                  <c:v>2.8828804631013175E-2</c:v>
                </c:pt>
                <c:pt idx="1629">
                  <c:v>2.859647744230422E-2</c:v>
                </c:pt>
                <c:pt idx="1630">
                  <c:v>2.8602334430254867E-2</c:v>
                </c:pt>
                <c:pt idx="1631">
                  <c:v>2.8516609424795409E-2</c:v>
                </c:pt>
                <c:pt idx="1632">
                  <c:v>2.8755148570421721E-2</c:v>
                </c:pt>
                <c:pt idx="1633">
                  <c:v>2.8420590319301487E-2</c:v>
                </c:pt>
                <c:pt idx="1634">
                  <c:v>2.8080707533680662E-2</c:v>
                </c:pt>
                <c:pt idx="1635">
                  <c:v>2.8464428986689654E-2</c:v>
                </c:pt>
                <c:pt idx="1636">
                  <c:v>2.8202816858227463E-2</c:v>
                </c:pt>
                <c:pt idx="1637">
                  <c:v>2.8178323999524763E-2</c:v>
                </c:pt>
                <c:pt idx="1638">
                  <c:v>2.9051725142104433E-2</c:v>
                </c:pt>
                <c:pt idx="1639">
                  <c:v>2.8588490640553341E-2</c:v>
                </c:pt>
                <c:pt idx="1640">
                  <c:v>2.8825254941346117E-2</c:v>
                </c:pt>
                <c:pt idx="1641">
                  <c:v>2.7636996325298386E-2</c:v>
                </c:pt>
                <c:pt idx="1642">
                  <c:v>2.760487163381151E-2</c:v>
                </c:pt>
                <c:pt idx="1643">
                  <c:v>2.7486134514448413E-2</c:v>
                </c:pt>
                <c:pt idx="1644">
                  <c:v>2.7583396011325808E-2</c:v>
                </c:pt>
                <c:pt idx="1645">
                  <c:v>2.8382963608830667E-2</c:v>
                </c:pt>
                <c:pt idx="1646">
                  <c:v>2.7777209067147184E-2</c:v>
                </c:pt>
                <c:pt idx="1647">
                  <c:v>2.9268256211794984E-2</c:v>
                </c:pt>
                <c:pt idx="1648">
                  <c:v>2.8693383970214908E-2</c:v>
                </c:pt>
                <c:pt idx="1649">
                  <c:v>2.8967242528028452E-2</c:v>
                </c:pt>
                <c:pt idx="1650">
                  <c:v>2.9012501071283441E-2</c:v>
                </c:pt>
                <c:pt idx="1651">
                  <c:v>2.8827207270663006E-2</c:v>
                </c:pt>
                <c:pt idx="1652">
                  <c:v>2.9148454185531775E-2</c:v>
                </c:pt>
                <c:pt idx="1653">
                  <c:v>2.8807861461977537E-2</c:v>
                </c:pt>
                <c:pt idx="1654">
                  <c:v>2.9002384455732326E-2</c:v>
                </c:pt>
                <c:pt idx="1655">
                  <c:v>2.8375509260529844E-2</c:v>
                </c:pt>
                <c:pt idx="1656">
                  <c:v>2.8450407712504774E-2</c:v>
                </c:pt>
                <c:pt idx="1657">
                  <c:v>2.8777511615324183E-2</c:v>
                </c:pt>
                <c:pt idx="1658">
                  <c:v>2.8851700129365703E-2</c:v>
                </c:pt>
                <c:pt idx="1659">
                  <c:v>2.8519094207562351E-2</c:v>
                </c:pt>
                <c:pt idx="1660">
                  <c:v>2.9352738825870969E-2</c:v>
                </c:pt>
                <c:pt idx="1661">
                  <c:v>2.8608723871655566E-2</c:v>
                </c:pt>
                <c:pt idx="1662">
                  <c:v>2.8483242341925067E-2</c:v>
                </c:pt>
                <c:pt idx="1663">
                  <c:v>2.850187821267712E-2</c:v>
                </c:pt>
                <c:pt idx="1664">
                  <c:v>2.7686159527187143E-2</c:v>
                </c:pt>
                <c:pt idx="1665">
                  <c:v>2.8581036292252514E-2</c:v>
                </c:pt>
                <c:pt idx="1666">
                  <c:v>2.8411183641683782E-2</c:v>
                </c:pt>
                <c:pt idx="1667">
                  <c:v>2.8595767504370807E-2</c:v>
                </c:pt>
                <c:pt idx="1668">
                  <c:v>2.8075028030213368E-2</c:v>
                </c:pt>
                <c:pt idx="1669">
                  <c:v>2.8441533488337126E-2</c:v>
                </c:pt>
                <c:pt idx="1670">
                  <c:v>2.8416153207217663E-2</c:v>
                </c:pt>
                <c:pt idx="1671">
                  <c:v>2.7922746343496573E-2</c:v>
                </c:pt>
                <c:pt idx="1672">
                  <c:v>2.8219855368629344E-2</c:v>
                </c:pt>
                <c:pt idx="1673">
                  <c:v>2.8652207570077033E-2</c:v>
                </c:pt>
                <c:pt idx="1674">
                  <c:v>2.8577309118102103E-2</c:v>
                </c:pt>
                <c:pt idx="1675">
                  <c:v>2.8113897132067654E-2</c:v>
                </c:pt>
                <c:pt idx="1676">
                  <c:v>2.8695691268498497E-2</c:v>
                </c:pt>
                <c:pt idx="1677">
                  <c:v>2.8168562352940352E-2</c:v>
                </c:pt>
                <c:pt idx="1678">
                  <c:v>2.7997644795471496E-2</c:v>
                </c:pt>
                <c:pt idx="1679">
                  <c:v>2.820867384617811E-2</c:v>
                </c:pt>
                <c:pt idx="1680">
                  <c:v>2.8239911115248224E-2</c:v>
                </c:pt>
                <c:pt idx="1681">
                  <c:v>2.8236893879031222E-2</c:v>
                </c:pt>
                <c:pt idx="1682">
                  <c:v>2.8350483948377084E-2</c:v>
                </c:pt>
                <c:pt idx="1683">
                  <c:v>2.828374978263639E-2</c:v>
                </c:pt>
                <c:pt idx="1684">
                  <c:v>2.8273100713635216E-2</c:v>
                </c:pt>
                <c:pt idx="1685">
                  <c:v>2.8501345759227057E-2</c:v>
                </c:pt>
                <c:pt idx="1686">
                  <c:v>2.8236183941097812E-2</c:v>
                </c:pt>
                <c:pt idx="1687">
                  <c:v>2.8088161881981485E-2</c:v>
                </c:pt>
                <c:pt idx="1688">
                  <c:v>2.8084612192314423E-2</c:v>
                </c:pt>
                <c:pt idx="1689">
                  <c:v>2.8050712655994021E-2</c:v>
                </c:pt>
                <c:pt idx="1690">
                  <c:v>2.9108165207810663E-2</c:v>
                </c:pt>
                <c:pt idx="1691">
                  <c:v>2.908136505082437E-2</c:v>
                </c:pt>
                <c:pt idx="1692">
                  <c:v>2.9435091626146714E-2</c:v>
                </c:pt>
                <c:pt idx="1693">
                  <c:v>2.9600507164631633E-2</c:v>
                </c:pt>
                <c:pt idx="1694">
                  <c:v>2.8500635821293648E-2</c:v>
                </c:pt>
                <c:pt idx="1695">
                  <c:v>2.8986588336713914E-2</c:v>
                </c:pt>
                <c:pt idx="1696">
                  <c:v>2.9664756547605382E-2</c:v>
                </c:pt>
                <c:pt idx="1697">
                  <c:v>2.9585775952513337E-2</c:v>
                </c:pt>
                <c:pt idx="1698">
                  <c:v>2.998547100902409E-2</c:v>
                </c:pt>
                <c:pt idx="1699">
                  <c:v>2.9721729066761668E-2</c:v>
                </c:pt>
                <c:pt idx="1700">
                  <c:v>2.9889274419046812E-2</c:v>
                </c:pt>
                <c:pt idx="1701">
                  <c:v>3.0206261706315112E-2</c:v>
                </c:pt>
                <c:pt idx="1702">
                  <c:v>3.0377356748267321E-2</c:v>
                </c:pt>
                <c:pt idx="1703">
                  <c:v>3.0373452089633553E-2</c:v>
                </c:pt>
                <c:pt idx="1704">
                  <c:v>3.0421727869105544E-2</c:v>
                </c:pt>
                <c:pt idx="1705">
                  <c:v>3.0369902399966495E-2</c:v>
                </c:pt>
                <c:pt idx="1706">
                  <c:v>2.9670968504522739E-2</c:v>
                </c:pt>
                <c:pt idx="1707">
                  <c:v>3.0855854915386768E-2</c:v>
                </c:pt>
                <c:pt idx="1708">
                  <c:v>3.1119596857649187E-2</c:v>
                </c:pt>
                <c:pt idx="1709">
                  <c:v>3.0923653988027575E-2</c:v>
                </c:pt>
                <c:pt idx="1710">
                  <c:v>3.0652457697464327E-2</c:v>
                </c:pt>
                <c:pt idx="1711">
                  <c:v>3.0381261406901082E-2</c:v>
                </c:pt>
                <c:pt idx="1712">
                  <c:v>3.089543395517446E-2</c:v>
                </c:pt>
                <c:pt idx="1713">
                  <c:v>3.117727931473888E-2</c:v>
                </c:pt>
                <c:pt idx="1714">
                  <c:v>3.1558338500497579E-2</c:v>
                </c:pt>
                <c:pt idx="1715">
                  <c:v>3.1715412268264902E-2</c:v>
                </c:pt>
                <c:pt idx="1716">
                  <c:v>3.1280930253016981E-2</c:v>
                </c:pt>
                <c:pt idx="1717">
                  <c:v>3.0836154137734589E-2</c:v>
                </c:pt>
                <c:pt idx="1718">
                  <c:v>3.1811076404792124E-2</c:v>
                </c:pt>
                <c:pt idx="1719">
                  <c:v>3.1650985400807803E-2</c:v>
                </c:pt>
                <c:pt idx="1720">
                  <c:v>3.1585848595417278E-2</c:v>
                </c:pt>
                <c:pt idx="1721">
                  <c:v>3.2010213995114091E-2</c:v>
                </c:pt>
                <c:pt idx="1722">
                  <c:v>3.1541832443545761E-2</c:v>
                </c:pt>
                <c:pt idx="1723">
                  <c:v>3.1703165838913555E-2</c:v>
                </c:pt>
                <c:pt idx="1724">
                  <c:v>3.1977734334660508E-2</c:v>
                </c:pt>
                <c:pt idx="1725">
                  <c:v>3.2395355323989905E-2</c:v>
                </c:pt>
                <c:pt idx="1726">
                  <c:v>3.2600172417779162E-2</c:v>
                </c:pt>
                <c:pt idx="1727">
                  <c:v>3.3445531011989077E-2</c:v>
                </c:pt>
                <c:pt idx="1728">
                  <c:v>3.2050680457318549E-2</c:v>
                </c:pt>
                <c:pt idx="1729">
                  <c:v>3.3427427594687073E-2</c:v>
                </c:pt>
                <c:pt idx="1730">
                  <c:v>3.3053290303779147E-2</c:v>
                </c:pt>
                <c:pt idx="1731">
                  <c:v>3.2984248839754864E-2</c:v>
                </c:pt>
                <c:pt idx="1732">
                  <c:v>3.319563285942817E-2</c:v>
                </c:pt>
                <c:pt idx="1733">
                  <c:v>3.3576337076220167E-2</c:v>
                </c:pt>
                <c:pt idx="1734">
                  <c:v>3.3353239080645566E-2</c:v>
                </c:pt>
                <c:pt idx="1735">
                  <c:v>3.3286504914904869E-2</c:v>
                </c:pt>
                <c:pt idx="1736">
                  <c:v>3.2989218405288741E-2</c:v>
                </c:pt>
                <c:pt idx="1737">
                  <c:v>3.3353416565128913E-2</c:v>
                </c:pt>
                <c:pt idx="1738">
                  <c:v>3.4013836327685093E-2</c:v>
                </c:pt>
                <c:pt idx="1739">
                  <c:v>3.3488837225927187E-2</c:v>
                </c:pt>
                <c:pt idx="1740">
                  <c:v>3.388267529448729E-2</c:v>
                </c:pt>
                <c:pt idx="1741">
                  <c:v>3.4047735864005495E-2</c:v>
                </c:pt>
                <c:pt idx="1742">
                  <c:v>3.3667564100663565E-2</c:v>
                </c:pt>
                <c:pt idx="1743">
                  <c:v>3.4504758408639237E-2</c:v>
                </c:pt>
                <c:pt idx="1744">
                  <c:v>3.5180086867797063E-2</c:v>
                </c:pt>
                <c:pt idx="1745">
                  <c:v>3.4334373304620448E-2</c:v>
                </c:pt>
                <c:pt idx="1746">
                  <c:v>3.5017156112079097E-2</c:v>
                </c:pt>
                <c:pt idx="1747">
                  <c:v>3.4696974104110441E-2</c:v>
                </c:pt>
                <c:pt idx="1748">
                  <c:v>3.3552731639934226E-2</c:v>
                </c:pt>
                <c:pt idx="1749">
                  <c:v>3.3985438810348621E-2</c:v>
                </c:pt>
                <c:pt idx="1750">
                  <c:v>3.4168425312685477E-2</c:v>
                </c:pt>
                <c:pt idx="1751">
                  <c:v>3.4622785590068927E-2</c:v>
                </c:pt>
                <c:pt idx="1752">
                  <c:v>3.41513868022836E-2</c:v>
                </c:pt>
                <c:pt idx="1753">
                  <c:v>3.4707623173111615E-2</c:v>
                </c:pt>
                <c:pt idx="1754">
                  <c:v>3.4967815425706983E-2</c:v>
                </c:pt>
                <c:pt idx="1755">
                  <c:v>3.4756431406033662E-2</c:v>
                </c:pt>
                <c:pt idx="1756">
                  <c:v>3.4937465579053639E-2</c:v>
                </c:pt>
                <c:pt idx="1757">
                  <c:v>3.4436781851515073E-2</c:v>
                </c:pt>
                <c:pt idx="1758">
                  <c:v>3.453794800702624E-2</c:v>
                </c:pt>
                <c:pt idx="1759">
                  <c:v>3.4904275980666644E-2</c:v>
                </c:pt>
                <c:pt idx="1760">
                  <c:v>3.535366669251621E-2</c:v>
                </c:pt>
                <c:pt idx="1761">
                  <c:v>3.5790456006047723E-2</c:v>
                </c:pt>
                <c:pt idx="1762">
                  <c:v>3.5828792654451956E-2</c:v>
                </c:pt>
                <c:pt idx="1763">
                  <c:v>3.63200697043728E-2</c:v>
                </c:pt>
                <c:pt idx="1764">
                  <c:v>3.5674913607384978E-2</c:v>
                </c:pt>
                <c:pt idx="1765">
                  <c:v>3.5712362833372445E-2</c:v>
                </c:pt>
                <c:pt idx="1766">
                  <c:v>3.5865709426989356E-2</c:v>
                </c:pt>
                <c:pt idx="1767">
                  <c:v>3.5196415440265534E-2</c:v>
                </c:pt>
                <c:pt idx="1768">
                  <c:v>3.5104478477888723E-2</c:v>
                </c:pt>
                <c:pt idx="1769">
                  <c:v>3.6128208977868309E-2</c:v>
                </c:pt>
                <c:pt idx="1770">
                  <c:v>3.5953209277282343E-2</c:v>
                </c:pt>
                <c:pt idx="1771">
                  <c:v>3.5891799646042229E-2</c:v>
                </c:pt>
                <c:pt idx="1772">
                  <c:v>3.6749227185120137E-2</c:v>
                </c:pt>
                <c:pt idx="1773">
                  <c:v>3.6069284129395147E-2</c:v>
                </c:pt>
                <c:pt idx="1774">
                  <c:v>3.6348289737225918E-2</c:v>
                </c:pt>
                <c:pt idx="1775">
                  <c:v>3.5581556769141341E-2</c:v>
                </c:pt>
                <c:pt idx="1776">
                  <c:v>3.5215051311017584E-2</c:v>
                </c:pt>
                <c:pt idx="1777">
                  <c:v>3.5831632406185601E-2</c:v>
                </c:pt>
                <c:pt idx="1778">
                  <c:v>3.580855942334972E-2</c:v>
                </c:pt>
                <c:pt idx="1779">
                  <c:v>3.6460992384155011E-2</c:v>
                </c:pt>
                <c:pt idx="1780">
                  <c:v>3.6134420934785666E-2</c:v>
                </c:pt>
                <c:pt idx="1781">
                  <c:v>3.6298594081887105E-2</c:v>
                </c:pt>
                <c:pt idx="1782">
                  <c:v>3.583979669241983E-2</c:v>
                </c:pt>
                <c:pt idx="1783">
                  <c:v>3.6240556655830702E-2</c:v>
                </c:pt>
                <c:pt idx="1784">
                  <c:v>3.5141572734909483E-2</c:v>
                </c:pt>
                <c:pt idx="1785">
                  <c:v>3.679377579044172E-2</c:v>
                </c:pt>
                <c:pt idx="1786">
                  <c:v>3.6393193311514201E-2</c:v>
                </c:pt>
                <c:pt idx="1787">
                  <c:v>3.6685510255596444E-2</c:v>
                </c:pt>
                <c:pt idx="1788">
                  <c:v>3.7248313552308523E-2</c:v>
                </c:pt>
                <c:pt idx="1789">
                  <c:v>3.6200622647076297E-2</c:v>
                </c:pt>
                <c:pt idx="1790">
                  <c:v>3.6726154202284263E-2</c:v>
                </c:pt>
                <c:pt idx="1791">
                  <c:v>3.6569967856933706E-2</c:v>
                </c:pt>
                <c:pt idx="1792">
                  <c:v>3.682519054399519E-2</c:v>
                </c:pt>
                <c:pt idx="1793">
                  <c:v>3.6175597334923537E-2</c:v>
                </c:pt>
                <c:pt idx="1794">
                  <c:v>3.632645914577351E-2</c:v>
                </c:pt>
                <c:pt idx="1795">
                  <c:v>3.6419993468500493E-2</c:v>
                </c:pt>
                <c:pt idx="1796">
                  <c:v>3.609590680189808E-2</c:v>
                </c:pt>
                <c:pt idx="1797">
                  <c:v>3.5437616853142138E-2</c:v>
                </c:pt>
                <c:pt idx="1798">
                  <c:v>3.6695094417697506E-2</c:v>
                </c:pt>
                <c:pt idx="1799">
                  <c:v>3.6297529174986985E-2</c:v>
                </c:pt>
                <c:pt idx="1800">
                  <c:v>3.6615581369155395E-2</c:v>
                </c:pt>
                <c:pt idx="1801">
                  <c:v>3.7089464939707675E-2</c:v>
                </c:pt>
                <c:pt idx="1802">
                  <c:v>3.6546007451681059E-2</c:v>
                </c:pt>
                <c:pt idx="1803">
                  <c:v>3.6135308357202425E-2</c:v>
                </c:pt>
                <c:pt idx="1804">
                  <c:v>3.5693549478137035E-2</c:v>
                </c:pt>
                <c:pt idx="1805">
                  <c:v>3.5401232534054791E-2</c:v>
                </c:pt>
                <c:pt idx="1806">
                  <c:v>3.5338935480397918E-2</c:v>
                </c:pt>
                <c:pt idx="1807">
                  <c:v>3.5484117787780593E-2</c:v>
                </c:pt>
                <c:pt idx="1808">
                  <c:v>3.694286275645816E-2</c:v>
                </c:pt>
                <c:pt idx="1809">
                  <c:v>3.5664087053900451E-2</c:v>
                </c:pt>
                <c:pt idx="1810">
                  <c:v>3.6145779941720246E-2</c:v>
                </c:pt>
                <c:pt idx="1811">
                  <c:v>3.5838021847586304E-2</c:v>
                </c:pt>
                <c:pt idx="1812">
                  <c:v>3.6537665680963477E-2</c:v>
                </c:pt>
                <c:pt idx="1813">
                  <c:v>3.5835892033786065E-2</c:v>
                </c:pt>
                <c:pt idx="1814">
                  <c:v>3.5312135323411632E-2</c:v>
                </c:pt>
                <c:pt idx="1815">
                  <c:v>3.6296996721536925E-2</c:v>
                </c:pt>
                <c:pt idx="1816">
                  <c:v>3.4996212943043448E-2</c:v>
                </c:pt>
                <c:pt idx="1817">
                  <c:v>3.5506303348199708E-2</c:v>
                </c:pt>
                <c:pt idx="1818">
                  <c:v>3.6383609149413146E-2</c:v>
                </c:pt>
                <c:pt idx="1819">
                  <c:v>3.6361068620027324E-2</c:v>
                </c:pt>
                <c:pt idx="1820">
                  <c:v>3.8078230996466733E-2</c:v>
                </c:pt>
                <c:pt idx="1821">
                  <c:v>3.7377344771706088E-2</c:v>
                </c:pt>
                <c:pt idx="1822">
                  <c:v>3.5654325407316036E-2</c:v>
                </c:pt>
                <c:pt idx="1823">
                  <c:v>3.4677983264391678E-2</c:v>
                </c:pt>
                <c:pt idx="1824">
                  <c:v>3.4900371322032879E-2</c:v>
                </c:pt>
                <c:pt idx="1825">
                  <c:v>3.4181914133420296E-2</c:v>
                </c:pt>
                <c:pt idx="1826">
                  <c:v>3.4341295199471211E-2</c:v>
                </c:pt>
                <c:pt idx="1827">
                  <c:v>3.4371290077157855E-2</c:v>
                </c:pt>
                <c:pt idx="1828">
                  <c:v>3.4614621303834692E-2</c:v>
                </c:pt>
                <c:pt idx="1829">
                  <c:v>3.3699156338700381E-2</c:v>
                </c:pt>
                <c:pt idx="1830">
                  <c:v>3.4269946437163343E-2</c:v>
                </c:pt>
                <c:pt idx="1831">
                  <c:v>3.3758436156140249E-2</c:v>
                </c:pt>
                <c:pt idx="1832">
                  <c:v>3.3385718741099142E-2</c:v>
                </c:pt>
                <c:pt idx="1833">
                  <c:v>3.2912012655030229E-2</c:v>
                </c:pt>
                <c:pt idx="1834">
                  <c:v>3.4238354199126526E-2</c:v>
                </c:pt>
                <c:pt idx="1835">
                  <c:v>3.2421800512009484E-2</c:v>
                </c:pt>
                <c:pt idx="1836">
                  <c:v>3.2694061709472852E-2</c:v>
                </c:pt>
                <c:pt idx="1837">
                  <c:v>3.2034174400366731E-2</c:v>
                </c:pt>
                <c:pt idx="1838">
                  <c:v>3.2024057784815617E-2</c:v>
                </c:pt>
                <c:pt idx="1839">
                  <c:v>3.1465514115704009E-2</c:v>
                </c:pt>
                <c:pt idx="1840">
                  <c:v>3.1752506525285662E-2</c:v>
                </c:pt>
                <c:pt idx="1841">
                  <c:v>3.2123626579976597E-2</c:v>
                </c:pt>
                <c:pt idx="1842">
                  <c:v>3.0795687675530124E-2</c:v>
                </c:pt>
                <c:pt idx="1843">
                  <c:v>3.3162620745524535E-2</c:v>
                </c:pt>
                <c:pt idx="1844">
                  <c:v>3.324639342166711E-2</c:v>
                </c:pt>
                <c:pt idx="1845">
                  <c:v>3.311594232640272E-2</c:v>
                </c:pt>
                <c:pt idx="1846">
                  <c:v>1.8886301358066508E-2</c:v>
                </c:pt>
                <c:pt idx="1847">
                  <c:v>2.7007991316295672E-2</c:v>
                </c:pt>
                <c:pt idx="1848">
                  <c:v>2.8788160684325357E-2</c:v>
                </c:pt>
                <c:pt idx="1849">
                  <c:v>2.8241508475598403E-2</c:v>
                </c:pt>
                <c:pt idx="1850">
                  <c:v>2.7358878139884375E-2</c:v>
                </c:pt>
                <c:pt idx="1851">
                  <c:v>2.6803351706989772E-2</c:v>
                </c:pt>
                <c:pt idx="1852">
                  <c:v>2.6333372795071263E-2</c:v>
                </c:pt>
                <c:pt idx="1853">
                  <c:v>2.6109387377079893E-2</c:v>
                </c:pt>
                <c:pt idx="1854">
                  <c:v>2.5100388089218596E-2</c:v>
                </c:pt>
                <c:pt idx="1855">
                  <c:v>2.5259059217336097E-2</c:v>
                </c:pt>
                <c:pt idx="1856">
                  <c:v>2.5202441667146518E-2</c:v>
                </c:pt>
                <c:pt idx="1857">
                  <c:v>2.6029519359571082E-2</c:v>
                </c:pt>
                <c:pt idx="1858">
                  <c:v>2.4998511995774027E-2</c:v>
                </c:pt>
                <c:pt idx="1859">
                  <c:v>2.4189182751684753E-2</c:v>
                </c:pt>
                <c:pt idx="1860">
                  <c:v>2.3591060042785449E-2</c:v>
                </c:pt>
                <c:pt idx="1861">
                  <c:v>2.3804751360742355E-2</c:v>
                </c:pt>
                <c:pt idx="1862">
                  <c:v>2.2715884055372251E-2</c:v>
                </c:pt>
                <c:pt idx="1863">
                  <c:v>2.1489111306436937E-2</c:v>
                </c:pt>
                <c:pt idx="1864">
                  <c:v>2.1462133664967294E-2</c:v>
                </c:pt>
                <c:pt idx="1865">
                  <c:v>2.039829167174995E-2</c:v>
                </c:pt>
                <c:pt idx="1866">
                  <c:v>1.905047450516795E-2</c:v>
                </c:pt>
                <c:pt idx="1867">
                  <c:v>1.8379938127060659E-2</c:v>
                </c:pt>
                <c:pt idx="1868">
                  <c:v>1.7912976451359152E-2</c:v>
                </c:pt>
                <c:pt idx="1869">
                  <c:v>1.6244906283015163E-2</c:v>
                </c:pt>
                <c:pt idx="1870">
                  <c:v>1.5108650620589833E-2</c:v>
                </c:pt>
                <c:pt idx="1871">
                  <c:v>1.4339219888358299E-2</c:v>
                </c:pt>
                <c:pt idx="1872">
                  <c:v>1.1219078167910809E-2</c:v>
                </c:pt>
                <c:pt idx="1873">
                  <c:v>1.0111947709203692E-2</c:v>
                </c:pt>
                <c:pt idx="1874">
                  <c:v>1.7468182587628427E-2</c:v>
                </c:pt>
                <c:pt idx="1875">
                  <c:v>2.1022859568668846E-2</c:v>
                </c:pt>
                <c:pt idx="1876">
                  <c:v>1.7602733574458265E-2</c:v>
                </c:pt>
                <c:pt idx="1877">
                  <c:v>1.6344705808004505E-2</c:v>
                </c:pt>
                <c:pt idx="1878">
                  <c:v>1.3591708489820845E-2</c:v>
                </c:pt>
                <c:pt idx="1879">
                  <c:v>1.2320227399528932E-2</c:v>
                </c:pt>
                <c:pt idx="1880">
                  <c:v>1.1048071868200279E-2</c:v>
                </c:pt>
                <c:pt idx="1881">
                  <c:v>1.1059661604963225E-2</c:v>
                </c:pt>
                <c:pt idx="1882">
                  <c:v>1.037001014799882E-2</c:v>
                </c:pt>
                <c:pt idx="1883">
                  <c:v>9.9589915814501523E-3</c:v>
                </c:pt>
                <c:pt idx="1884">
                  <c:v>9.9895899063801932E-3</c:v>
                </c:pt>
                <c:pt idx="1885">
                  <c:v>9.4728438330981962E-3</c:v>
                </c:pt>
                <c:pt idx="1886">
                  <c:v>9.2721621277710616E-3</c:v>
                </c:pt>
                <c:pt idx="1887">
                  <c:v>8.86368158933434E-3</c:v>
                </c:pt>
                <c:pt idx="1888">
                  <c:v>8.8936587185726463E-3</c:v>
                </c:pt>
                <c:pt idx="1889">
                  <c:v>9.0064856046400913E-3</c:v>
                </c:pt>
                <c:pt idx="1890">
                  <c:v>9.0965767283900274E-3</c:v>
                </c:pt>
                <c:pt idx="1891">
                  <c:v>8.9334152428436984E-3</c:v>
                </c:pt>
                <c:pt idx="1892">
                  <c:v>9.3797709700279303E-3</c:v>
                </c:pt>
                <c:pt idx="1893">
                  <c:v>9.5751813861994842E-3</c:v>
                </c:pt>
                <c:pt idx="1894">
                  <c:v>9.5439263686810365E-3</c:v>
                </c:pt>
                <c:pt idx="1895">
                  <c:v>1.0180864934089625E-2</c:v>
                </c:pt>
                <c:pt idx="1896">
                  <c:v>1.0046526928639809E-2</c:v>
                </c:pt>
                <c:pt idx="1897">
                  <c:v>1.0537200531317263E-2</c:v>
                </c:pt>
                <c:pt idx="1898">
                  <c:v>1.0243534705161539E-2</c:v>
                </c:pt>
                <c:pt idx="1899">
                  <c:v>1.0592841916848401E-2</c:v>
                </c:pt>
                <c:pt idx="1900">
                  <c:v>1.044185586686008E-2</c:v>
                </c:pt>
                <c:pt idx="1901">
                  <c:v>8.7362832271836201E-3</c:v>
                </c:pt>
                <c:pt idx="1902">
                  <c:v>7.9456963445364171E-3</c:v>
                </c:pt>
                <c:pt idx="1903">
                  <c:v>7.8761046786137417E-3</c:v>
                </c:pt>
                <c:pt idx="1904">
                  <c:v>7.9090990440690481E-3</c:v>
                </c:pt>
                <c:pt idx="1905">
                  <c:v>8.6390039818578911E-3</c:v>
                </c:pt>
                <c:pt idx="1906">
                  <c:v>8.5918108577343524E-3</c:v>
                </c:pt>
                <c:pt idx="1907">
                  <c:v>8.6901372615118648E-3</c:v>
                </c:pt>
                <c:pt idx="1908">
                  <c:v>8.7924215692681447E-3</c:v>
                </c:pt>
                <c:pt idx="1909">
                  <c:v>8.174083377714943E-3</c:v>
                </c:pt>
                <c:pt idx="1910">
                  <c:v>8.1491468078038597E-3</c:v>
                </c:pt>
                <c:pt idx="1911">
                  <c:v>8.4666310516255446E-3</c:v>
                </c:pt>
                <c:pt idx="1912">
                  <c:v>7.6885390766063865E-3</c:v>
                </c:pt>
                <c:pt idx="1913">
                  <c:v>6.4664341695832546E-3</c:v>
                </c:pt>
                <c:pt idx="1914">
                  <c:v>7.0072648872562416E-3</c:v>
                </c:pt>
                <c:pt idx="1915">
                  <c:v>6.4947251962297076E-3</c:v>
                </c:pt>
                <c:pt idx="1916">
                  <c:v>7.2895539580290448E-3</c:v>
                </c:pt>
                <c:pt idx="1917">
                  <c:v>6.5580871567866962E-3</c:v>
                </c:pt>
                <c:pt idx="1918">
                  <c:v>6.3120581659628925E-3</c:v>
                </c:pt>
                <c:pt idx="1919">
                  <c:v>6.0729333215415173E-3</c:v>
                </c:pt>
                <c:pt idx="1920">
                  <c:v>4.6836735280966135E-3</c:v>
                </c:pt>
                <c:pt idx="1921">
                  <c:v>4.7084326135243444E-3</c:v>
                </c:pt>
                <c:pt idx="1922">
                  <c:v>5.2922323246170711E-3</c:v>
                </c:pt>
                <c:pt idx="1923">
                  <c:v>4.8051794054000153E-3</c:v>
                </c:pt>
                <c:pt idx="1924">
                  <c:v>5.0041217627902921E-3</c:v>
                </c:pt>
                <c:pt idx="1925">
                  <c:v>4.6025631192043344E-3</c:v>
                </c:pt>
                <c:pt idx="1926">
                  <c:v>4.610922638370255E-3</c:v>
                </c:pt>
                <c:pt idx="1927">
                  <c:v>3.938629163877768E-3</c:v>
                </c:pt>
                <c:pt idx="1928">
                  <c:v>3.8221638459015883E-3</c:v>
                </c:pt>
                <c:pt idx="1929">
                  <c:v>3.5860562376972124E-3</c:v>
                </c:pt>
                <c:pt idx="1930">
                  <c:v>3.0022565266044849E-3</c:v>
                </c:pt>
                <c:pt idx="1931">
                  <c:v>2.7962325383284275E-3</c:v>
                </c:pt>
                <c:pt idx="1932">
                  <c:v>1.8960312387624673E-3</c:v>
                </c:pt>
                <c:pt idx="1933">
                  <c:v>2.8621147785490276E-3</c:v>
                </c:pt>
                <c:pt idx="1934">
                  <c:v>3.0488817003812944E-3</c:v>
                </c:pt>
                <c:pt idx="1935">
                  <c:v>3.3990763344849215E-3</c:v>
                </c:pt>
                <c:pt idx="1936">
                  <c:v>2.9617368190550156E-3</c:v>
                </c:pt>
                <c:pt idx="1937">
                  <c:v>3.1131665802517187E-3</c:v>
                </c:pt>
                <c:pt idx="1938">
                  <c:v>2.6570492064830749E-3</c:v>
                </c:pt>
                <c:pt idx="1939">
                  <c:v>2.5037026128661606E-3</c:v>
                </c:pt>
                <c:pt idx="1940">
                  <c:v>2.6557535697545984E-3</c:v>
                </c:pt>
                <c:pt idx="1941">
                  <c:v>2.4668568341220964E-3</c:v>
                </c:pt>
                <c:pt idx="1942">
                  <c:v>2.5602314208140625E-3</c:v>
                </c:pt>
                <c:pt idx="1943">
                  <c:v>2.2248922379670744E-3</c:v>
                </c:pt>
                <c:pt idx="1944">
                  <c:v>1.0629900676972488E-3</c:v>
                </c:pt>
                <c:pt idx="1945">
                  <c:v>1.0102736264517675E-3</c:v>
                </c:pt>
                <c:pt idx="1946">
                  <c:v>1.0407104405019581E-3</c:v>
                </c:pt>
                <c:pt idx="1947">
                  <c:v>9.9714687406298624E-4</c:v>
                </c:pt>
                <c:pt idx="1948">
                  <c:v>6.973312105590829E-4</c:v>
                </c:pt>
                <c:pt idx="1949">
                  <c:v>8.9775733823019017E-4</c:v>
                </c:pt>
                <c:pt idx="1950">
                  <c:v>8.1005160593651613E-4</c:v>
                </c:pt>
                <c:pt idx="1951">
                  <c:v>7.0412176689216538E-4</c:v>
                </c:pt>
                <c:pt idx="1952">
                  <c:v>6.7742277606138704E-4</c:v>
                </c:pt>
                <c:pt idx="1953">
                  <c:v>9.8695748987369576E-4</c:v>
                </c:pt>
                <c:pt idx="1954">
                  <c:v>9.9990143324462342E-4</c:v>
                </c:pt>
                <c:pt idx="1955">
                  <c:v>7.6025300959735656E-4</c:v>
                </c:pt>
                <c:pt idx="1956">
                  <c:v>5.0036780515819103E-4</c:v>
                </c:pt>
                <c:pt idx="1957">
                  <c:v>6.7040858927928004E-4</c:v>
                </c:pt>
                <c:pt idx="1958">
                  <c:v>5.9593077552989838E-4</c:v>
                </c:pt>
                <c:pt idx="1959">
                  <c:v>4.6958844605512936E-4</c:v>
                </c:pt>
                <c:pt idx="1960">
                  <c:v>3.4026970179453208E-4</c:v>
                </c:pt>
                <c:pt idx="1961">
                  <c:v>2.9829462148156884E-4</c:v>
                </c:pt>
                <c:pt idx="1962">
                  <c:v>4.3726674679173095E-4</c:v>
                </c:pt>
                <c:pt idx="1963">
                  <c:v>2.9587195828380161E-4</c:v>
                </c:pt>
                <c:pt idx="1964">
                  <c:v>4.1445821583604845E-4</c:v>
                </c:pt>
                <c:pt idx="1965">
                  <c:v>3.4927881416952581E-4</c:v>
                </c:pt>
                <c:pt idx="1966">
                  <c:v>2.8939554948625393E-4</c:v>
                </c:pt>
                <c:pt idx="1967">
                  <c:v>3.6444841296169898E-4</c:v>
                </c:pt>
                <c:pt idx="1968">
                  <c:v>2.658948290454951E-4</c:v>
                </c:pt>
                <c:pt idx="1969">
                  <c:v>3.392651396187546E-4</c:v>
                </c:pt>
                <c:pt idx="1970">
                  <c:v>1.2153516224315544E-4</c:v>
                </c:pt>
                <c:pt idx="1971">
                  <c:v>1.7097630483284219E-4</c:v>
                </c:pt>
                <c:pt idx="1972">
                  <c:v>1.7930192446244384E-4</c:v>
                </c:pt>
                <c:pt idx="1973">
                  <c:v>8.4254901483843395E-5</c:v>
                </c:pt>
                <c:pt idx="1974">
                  <c:v>1.5231718361346741E-4</c:v>
                </c:pt>
                <c:pt idx="1975">
                  <c:v>1.2277187412315852E-4</c:v>
                </c:pt>
                <c:pt idx="1976">
                  <c:v>7.5312878243557075E-5</c:v>
                </c:pt>
                <c:pt idx="1977">
                  <c:v>1.1456534658188666E-4</c:v>
                </c:pt>
                <c:pt idx="1978">
                  <c:v>5.5386340328559165E-5</c:v>
                </c:pt>
                <c:pt idx="1979">
                  <c:v>6.7197577726728626E-5</c:v>
                </c:pt>
                <c:pt idx="1980">
                  <c:v>6.785267295478421E-5</c:v>
                </c:pt>
                <c:pt idx="1981">
                  <c:v>9.3720681434504151E-5</c:v>
                </c:pt>
                <c:pt idx="1982">
                  <c:v>4.6460645660741322E-5</c:v>
                </c:pt>
                <c:pt idx="1983">
                  <c:v>3.888560791123912E-5</c:v>
                </c:pt>
                <c:pt idx="1984">
                  <c:v>6.5639973900823484E-5</c:v>
                </c:pt>
                <c:pt idx="1985">
                  <c:v>6.5425395160449818E-5</c:v>
                </c:pt>
                <c:pt idx="1986">
                  <c:v>1.8750170759334829E-5</c:v>
                </c:pt>
                <c:pt idx="1987">
                  <c:v>2.8423785040001839E-5</c:v>
                </c:pt>
                <c:pt idx="1988">
                  <c:v>1.8400171358162889E-5</c:v>
                </c:pt>
                <c:pt idx="1989">
                  <c:v>1.9041600281000305E-5</c:v>
                </c:pt>
                <c:pt idx="1990">
                  <c:v>2.9241988508258752E-5</c:v>
                </c:pt>
                <c:pt idx="1991">
                  <c:v>9.850033857119801E-6</c:v>
                </c:pt>
                <c:pt idx="1992">
                  <c:v>1.9391954651138951E-5</c:v>
                </c:pt>
                <c:pt idx="1993">
                  <c:v>0</c:v>
                </c:pt>
                <c:pt idx="1994">
                  <c:v>9.5849962781289023E-6</c:v>
                </c:pt>
                <c:pt idx="1995">
                  <c:v>0</c:v>
                </c:pt>
                <c:pt idx="1996">
                  <c:v>2.8529388307596819E-5</c:v>
                </c:pt>
                <c:pt idx="1997">
                  <c:v>9.3465458747442662E-6</c:v>
                </c:pt>
                <c:pt idx="1998">
                  <c:v>0</c:v>
                </c:pt>
                <c:pt idx="1999">
                  <c:v>9.6054069937144857E-6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36-4DBC-B031-B4F2DC0B846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'!$I$3:$I$2002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'!$K$3:$K$2002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3.6732948936972128E-6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6.8720269778536944E-6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7.7221407226504292E-6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7.9621871995960931E-6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8.49763466939596E-6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8.78661390153594E-6</c:v>
                </c:pt>
                <c:pt idx="411">
                  <c:v>0</c:v>
                </c:pt>
                <c:pt idx="412">
                  <c:v>9.1691597794542105E-6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8.8615521340027285E-6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1.8207867593325308E-5</c:v>
                </c:pt>
                <c:pt idx="421">
                  <c:v>8.9291133025085484E-6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9.4629155278279118E-6</c:v>
                </c:pt>
                <c:pt idx="429">
                  <c:v>0</c:v>
                </c:pt>
                <c:pt idx="430">
                  <c:v>1.9245804570912382E-5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1.9387507885846036E-5</c:v>
                </c:pt>
                <c:pt idx="437">
                  <c:v>0</c:v>
                </c:pt>
                <c:pt idx="438">
                  <c:v>0</c:v>
                </c:pt>
                <c:pt idx="439">
                  <c:v>1.954396532870162E-5</c:v>
                </c:pt>
                <c:pt idx="440">
                  <c:v>0</c:v>
                </c:pt>
                <c:pt idx="441">
                  <c:v>9.6048842047745515E-6</c:v>
                </c:pt>
                <c:pt idx="442">
                  <c:v>0</c:v>
                </c:pt>
                <c:pt idx="443">
                  <c:v>1.0214314603794461E-5</c:v>
                </c:pt>
                <c:pt idx="444">
                  <c:v>9.3543293921147063E-6</c:v>
                </c:pt>
                <c:pt idx="445">
                  <c:v>0</c:v>
                </c:pt>
                <c:pt idx="446">
                  <c:v>1.0312233186585693E-5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9.4953427658146021E-6</c:v>
                </c:pt>
                <c:pt idx="451">
                  <c:v>0</c:v>
                </c:pt>
                <c:pt idx="452">
                  <c:v>0</c:v>
                </c:pt>
                <c:pt idx="453">
                  <c:v>9.8568188999019159E-6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2.0117996435189416E-5</c:v>
                </c:pt>
                <c:pt idx="461">
                  <c:v>1.0300769547624769E-5</c:v>
                </c:pt>
                <c:pt idx="462">
                  <c:v>0</c:v>
                </c:pt>
                <c:pt idx="463">
                  <c:v>2.1241114618944475E-5</c:v>
                </c:pt>
                <c:pt idx="464">
                  <c:v>3.1780020037021417E-5</c:v>
                </c:pt>
                <c:pt idx="465">
                  <c:v>0</c:v>
                </c:pt>
                <c:pt idx="466">
                  <c:v>0</c:v>
                </c:pt>
                <c:pt idx="467">
                  <c:v>3.1561520955530083E-5</c:v>
                </c:pt>
                <c:pt idx="468">
                  <c:v>1.050722119372661E-5</c:v>
                </c:pt>
                <c:pt idx="469">
                  <c:v>0</c:v>
                </c:pt>
                <c:pt idx="470">
                  <c:v>2.1152430634205094E-5</c:v>
                </c:pt>
                <c:pt idx="471">
                  <c:v>3.2065337273382215E-5</c:v>
                </c:pt>
                <c:pt idx="472">
                  <c:v>2.1087841520244699E-5</c:v>
                </c:pt>
                <c:pt idx="473">
                  <c:v>1.0801507666126279E-5</c:v>
                </c:pt>
                <c:pt idx="474">
                  <c:v>1.0872359323593105E-5</c:v>
                </c:pt>
                <c:pt idx="475">
                  <c:v>3.2163574290589025E-5</c:v>
                </c:pt>
                <c:pt idx="476">
                  <c:v>0</c:v>
                </c:pt>
                <c:pt idx="477">
                  <c:v>2.1422781453033575E-5</c:v>
                </c:pt>
                <c:pt idx="478">
                  <c:v>1.1218444460927325E-5</c:v>
                </c:pt>
                <c:pt idx="479">
                  <c:v>3.2952124048373386E-5</c:v>
                </c:pt>
                <c:pt idx="480">
                  <c:v>0</c:v>
                </c:pt>
                <c:pt idx="481">
                  <c:v>1.1072070774565145E-5</c:v>
                </c:pt>
                <c:pt idx="482">
                  <c:v>2.2475578703347772E-5</c:v>
                </c:pt>
                <c:pt idx="483">
                  <c:v>0</c:v>
                </c:pt>
                <c:pt idx="484">
                  <c:v>0</c:v>
                </c:pt>
                <c:pt idx="485">
                  <c:v>1.1132042589499613E-5</c:v>
                </c:pt>
                <c:pt idx="486">
                  <c:v>1.0454414153142721E-5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1.1343748403458546E-5</c:v>
                </c:pt>
                <c:pt idx="491">
                  <c:v>2.2638829413735761E-5</c:v>
                </c:pt>
                <c:pt idx="492">
                  <c:v>1.1385463311899688E-5</c:v>
                </c:pt>
                <c:pt idx="493">
                  <c:v>0</c:v>
                </c:pt>
                <c:pt idx="494">
                  <c:v>3.3229321207136867E-5</c:v>
                </c:pt>
                <c:pt idx="495">
                  <c:v>4.5968236930062041E-5</c:v>
                </c:pt>
                <c:pt idx="496">
                  <c:v>2.2559592316658627E-5</c:v>
                </c:pt>
                <c:pt idx="497">
                  <c:v>2.2344702158543878E-5</c:v>
                </c:pt>
                <c:pt idx="498">
                  <c:v>3.416557146134833E-5</c:v>
                </c:pt>
                <c:pt idx="499">
                  <c:v>2.3133039626717852E-5</c:v>
                </c:pt>
                <c:pt idx="500">
                  <c:v>0</c:v>
                </c:pt>
                <c:pt idx="501">
                  <c:v>1.203480415767245E-5</c:v>
                </c:pt>
                <c:pt idx="502">
                  <c:v>0</c:v>
                </c:pt>
                <c:pt idx="503">
                  <c:v>3.4419045256151003E-5</c:v>
                </c:pt>
                <c:pt idx="504">
                  <c:v>3.4843624476925992E-5</c:v>
                </c:pt>
                <c:pt idx="505">
                  <c:v>4.6004644598243504E-5</c:v>
                </c:pt>
                <c:pt idx="506">
                  <c:v>6.9603394557748931E-5</c:v>
                </c:pt>
                <c:pt idx="507">
                  <c:v>5.8019811966955113E-5</c:v>
                </c:pt>
                <c:pt idx="508">
                  <c:v>5.731288756436474E-5</c:v>
                </c:pt>
                <c:pt idx="509">
                  <c:v>1.1452706045989929E-5</c:v>
                </c:pt>
                <c:pt idx="510">
                  <c:v>3.4610105905499745E-5</c:v>
                </c:pt>
                <c:pt idx="511">
                  <c:v>5.9785000077327153E-5</c:v>
                </c:pt>
                <c:pt idx="512">
                  <c:v>5.8207688272148036E-5</c:v>
                </c:pt>
                <c:pt idx="513">
                  <c:v>4.8072292331015145E-5</c:v>
                </c:pt>
                <c:pt idx="514">
                  <c:v>4.5906142219023698E-5</c:v>
                </c:pt>
                <c:pt idx="515">
                  <c:v>2.295874985658972E-5</c:v>
                </c:pt>
                <c:pt idx="516">
                  <c:v>4.7141137027452971E-5</c:v>
                </c:pt>
                <c:pt idx="517">
                  <c:v>5.9714944505899284E-5</c:v>
                </c:pt>
                <c:pt idx="518">
                  <c:v>8.2951634534888824E-5</c:v>
                </c:pt>
                <c:pt idx="519">
                  <c:v>3.5406245016855457E-5</c:v>
                </c:pt>
                <c:pt idx="520">
                  <c:v>3.6976232830476205E-5</c:v>
                </c:pt>
                <c:pt idx="521">
                  <c:v>3.5588761009386115E-5</c:v>
                </c:pt>
                <c:pt idx="522">
                  <c:v>8.3942496291372477E-5</c:v>
                </c:pt>
                <c:pt idx="523">
                  <c:v>2.3624596219570106E-5</c:v>
                </c:pt>
                <c:pt idx="524">
                  <c:v>4.8388444633284711E-5</c:v>
                </c:pt>
                <c:pt idx="525">
                  <c:v>0</c:v>
                </c:pt>
                <c:pt idx="526">
                  <c:v>3.5338153124323665E-5</c:v>
                </c:pt>
                <c:pt idx="527">
                  <c:v>3.5741450311657323E-5</c:v>
                </c:pt>
                <c:pt idx="528">
                  <c:v>7.4614490810945815E-5</c:v>
                </c:pt>
                <c:pt idx="529">
                  <c:v>6.0123602005895214E-5</c:v>
                </c:pt>
                <c:pt idx="530">
                  <c:v>5.0092705625475552E-5</c:v>
                </c:pt>
                <c:pt idx="531">
                  <c:v>4.9055034009901459E-5</c:v>
                </c:pt>
                <c:pt idx="532">
                  <c:v>3.656486863794783E-5</c:v>
                </c:pt>
                <c:pt idx="533">
                  <c:v>2.4608399346508365E-5</c:v>
                </c:pt>
                <c:pt idx="534">
                  <c:v>3.6645114110674305E-5</c:v>
                </c:pt>
                <c:pt idx="535">
                  <c:v>6.0238238395504456E-5</c:v>
                </c:pt>
                <c:pt idx="536">
                  <c:v>4.9909022040087765E-5</c:v>
                </c:pt>
                <c:pt idx="537">
                  <c:v>4.9109061715745077E-5</c:v>
                </c:pt>
                <c:pt idx="538">
                  <c:v>2.5015889253647169E-5</c:v>
                </c:pt>
                <c:pt idx="539">
                  <c:v>2.4222934486447262E-5</c:v>
                </c:pt>
                <c:pt idx="540">
                  <c:v>3.5860969362305485E-5</c:v>
                </c:pt>
                <c:pt idx="541">
                  <c:v>8.7818373853022221E-5</c:v>
                </c:pt>
                <c:pt idx="542">
                  <c:v>6.3562693694172687E-5</c:v>
                </c:pt>
                <c:pt idx="543">
                  <c:v>4.9690629103401622E-5</c:v>
                </c:pt>
                <c:pt idx="544">
                  <c:v>6.2289486755873658E-5</c:v>
                </c:pt>
                <c:pt idx="545">
                  <c:v>4.9344597038470007E-5</c:v>
                </c:pt>
                <c:pt idx="546">
                  <c:v>7.6141914557683858E-5</c:v>
                </c:pt>
                <c:pt idx="547">
                  <c:v>6.1286949070818702E-5</c:v>
                </c:pt>
                <c:pt idx="548">
                  <c:v>4.9916717538464309E-5</c:v>
                </c:pt>
                <c:pt idx="549">
                  <c:v>5.0014476904047753E-5</c:v>
                </c:pt>
                <c:pt idx="550">
                  <c:v>4.9052061955356045E-5</c:v>
                </c:pt>
                <c:pt idx="551">
                  <c:v>3.7485993257419182E-5</c:v>
                </c:pt>
                <c:pt idx="552">
                  <c:v>1.1414069336899404E-4</c:v>
                </c:pt>
                <c:pt idx="553">
                  <c:v>1.3787254891421243E-4</c:v>
                </c:pt>
                <c:pt idx="554">
                  <c:v>1.0265741761910831E-4</c:v>
                </c:pt>
                <c:pt idx="555">
                  <c:v>3.8237551550593527E-5</c:v>
                </c:pt>
                <c:pt idx="556">
                  <c:v>1.0046924246003918E-4</c:v>
                </c:pt>
                <c:pt idx="557">
                  <c:v>1.2919414964157152E-4</c:v>
                </c:pt>
                <c:pt idx="558">
                  <c:v>1.7747199138784436E-4</c:v>
                </c:pt>
                <c:pt idx="559">
                  <c:v>1.3875779658952832E-4</c:v>
                </c:pt>
                <c:pt idx="560">
                  <c:v>1.3952310063497522E-4</c:v>
                </c:pt>
                <c:pt idx="561">
                  <c:v>1.8091055235209584E-4</c:v>
                </c:pt>
                <c:pt idx="562">
                  <c:v>1.0370825119052643E-4</c:v>
                </c:pt>
                <c:pt idx="563">
                  <c:v>1.5136673799849372E-4</c:v>
                </c:pt>
                <c:pt idx="564">
                  <c:v>1.411640993232706E-4</c:v>
                </c:pt>
                <c:pt idx="565">
                  <c:v>8.9175965911450256E-5</c:v>
                </c:pt>
                <c:pt idx="566">
                  <c:v>1.1581884273910723E-4</c:v>
                </c:pt>
                <c:pt idx="567">
                  <c:v>1.5639959393675535E-4</c:v>
                </c:pt>
                <c:pt idx="568">
                  <c:v>1.6768119455677294E-4</c:v>
                </c:pt>
                <c:pt idx="569">
                  <c:v>2.5878209651041185E-4</c:v>
                </c:pt>
                <c:pt idx="570">
                  <c:v>6.3667246327288522E-5</c:v>
                </c:pt>
                <c:pt idx="571">
                  <c:v>1.3180849619349354E-4</c:v>
                </c:pt>
                <c:pt idx="572">
                  <c:v>1.9421580368313227E-4</c:v>
                </c:pt>
                <c:pt idx="573">
                  <c:v>1.15635742950148E-4</c:v>
                </c:pt>
                <c:pt idx="574">
                  <c:v>1.2954230460260701E-4</c:v>
                </c:pt>
                <c:pt idx="575">
                  <c:v>2.2303783336141689E-4</c:v>
                </c:pt>
                <c:pt idx="576">
                  <c:v>1.698571630632448E-4</c:v>
                </c:pt>
                <c:pt idx="577">
                  <c:v>2.6079300984480742E-4</c:v>
                </c:pt>
                <c:pt idx="578">
                  <c:v>2.5969175749092225E-4</c:v>
                </c:pt>
                <c:pt idx="579">
                  <c:v>1.93761503916903E-4</c:v>
                </c:pt>
                <c:pt idx="580">
                  <c:v>1.7115690620284223E-4</c:v>
                </c:pt>
                <c:pt idx="581">
                  <c:v>1.4231895480377858E-4</c:v>
                </c:pt>
                <c:pt idx="582">
                  <c:v>1.5730076333285027E-4</c:v>
                </c:pt>
                <c:pt idx="583">
                  <c:v>3.5034207474651373E-4</c:v>
                </c:pt>
                <c:pt idx="584">
                  <c:v>1.4453048181999035E-4</c:v>
                </c:pt>
                <c:pt idx="585">
                  <c:v>2.4992696613712335E-4</c:v>
                </c:pt>
                <c:pt idx="586">
                  <c:v>2.3574867378336833E-4</c:v>
                </c:pt>
                <c:pt idx="587">
                  <c:v>2.4936121432544067E-4</c:v>
                </c:pt>
                <c:pt idx="588">
                  <c:v>1.3149430757012007E-4</c:v>
                </c:pt>
                <c:pt idx="589">
                  <c:v>1.9758961631621556E-4</c:v>
                </c:pt>
                <c:pt idx="590">
                  <c:v>1.9508884470585089E-4</c:v>
                </c:pt>
                <c:pt idx="591">
                  <c:v>2.6414400134477407E-4</c:v>
                </c:pt>
                <c:pt idx="592">
                  <c:v>1.6643346237172043E-4</c:v>
                </c:pt>
                <c:pt idx="593">
                  <c:v>2.9939416042559216E-4</c:v>
                </c:pt>
                <c:pt idx="594">
                  <c:v>3.5567372831139571E-4</c:v>
                </c:pt>
                <c:pt idx="595">
                  <c:v>2.7550414912063504E-4</c:v>
                </c:pt>
                <c:pt idx="596">
                  <c:v>3.1279494208130292E-4</c:v>
                </c:pt>
                <c:pt idx="597">
                  <c:v>3.2544899503247568E-4</c:v>
                </c:pt>
                <c:pt idx="598">
                  <c:v>4.1900343415816817E-4</c:v>
                </c:pt>
                <c:pt idx="599">
                  <c:v>3.9751176472656383E-4</c:v>
                </c:pt>
                <c:pt idx="600">
                  <c:v>2.8998230054906241E-4</c:v>
                </c:pt>
                <c:pt idx="601">
                  <c:v>3.364949541849632E-4</c:v>
                </c:pt>
                <c:pt idx="602">
                  <c:v>2.5860271178963442E-4</c:v>
                </c:pt>
                <c:pt idx="603">
                  <c:v>2.9764913982820694E-4</c:v>
                </c:pt>
                <c:pt idx="604">
                  <c:v>2.9909005555871205E-4</c:v>
                </c:pt>
                <c:pt idx="605">
                  <c:v>3.5289114224324158E-4</c:v>
                </c:pt>
                <c:pt idx="606">
                  <c:v>3.5006609825300995E-4</c:v>
                </c:pt>
                <c:pt idx="607">
                  <c:v>4.5594766432987844E-4</c:v>
                </c:pt>
                <c:pt idx="608">
                  <c:v>1.9499384510520247E-4</c:v>
                </c:pt>
                <c:pt idx="609">
                  <c:v>3.2246048804224572E-4</c:v>
                </c:pt>
                <c:pt idx="610">
                  <c:v>3.263013378181815E-4</c:v>
                </c:pt>
                <c:pt idx="611">
                  <c:v>3.512814562724784E-4</c:v>
                </c:pt>
                <c:pt idx="612">
                  <c:v>2.7210645390638317E-4</c:v>
                </c:pt>
                <c:pt idx="613">
                  <c:v>3.6442324460351643E-4</c:v>
                </c:pt>
                <c:pt idx="614">
                  <c:v>3.8808982109354064E-4</c:v>
                </c:pt>
                <c:pt idx="615">
                  <c:v>3.1004419945470697E-4</c:v>
                </c:pt>
                <c:pt idx="616">
                  <c:v>3.8841886998964133E-4</c:v>
                </c:pt>
                <c:pt idx="617">
                  <c:v>4.6355400107006247E-4</c:v>
                </c:pt>
                <c:pt idx="618">
                  <c:v>2.9857366108144447E-4</c:v>
                </c:pt>
                <c:pt idx="619">
                  <c:v>4.5099017120330432E-4</c:v>
                </c:pt>
                <c:pt idx="620">
                  <c:v>4.9427973782949696E-4</c:v>
                </c:pt>
                <c:pt idx="621">
                  <c:v>4.0404073169403136E-4</c:v>
                </c:pt>
                <c:pt idx="622">
                  <c:v>4.9738341193336221E-4</c:v>
                </c:pt>
                <c:pt idx="623">
                  <c:v>4.423712130215719E-4</c:v>
                </c:pt>
                <c:pt idx="624">
                  <c:v>3.8234207989229914E-4</c:v>
                </c:pt>
                <c:pt idx="625">
                  <c:v>3.6907822503528837E-4</c:v>
                </c:pt>
                <c:pt idx="626">
                  <c:v>5.1137913522218399E-4</c:v>
                </c:pt>
                <c:pt idx="627">
                  <c:v>5.1299731277736267E-4</c:v>
                </c:pt>
                <c:pt idx="628">
                  <c:v>6.2019878950681547E-4</c:v>
                </c:pt>
                <c:pt idx="629">
                  <c:v>3.9779570208045713E-4</c:v>
                </c:pt>
                <c:pt idx="630">
                  <c:v>4.5488250120975912E-4</c:v>
                </c:pt>
                <c:pt idx="631">
                  <c:v>5.0792730615728326E-4</c:v>
                </c:pt>
                <c:pt idx="632">
                  <c:v>5.0904978747220715E-4</c:v>
                </c:pt>
                <c:pt idx="633">
                  <c:v>5.1703824551108872E-4</c:v>
                </c:pt>
                <c:pt idx="634">
                  <c:v>5.5122589509191727E-4</c:v>
                </c:pt>
                <c:pt idx="635">
                  <c:v>5.5355046632566047E-4</c:v>
                </c:pt>
                <c:pt idx="636">
                  <c:v>5.2588700719606552E-4</c:v>
                </c:pt>
                <c:pt idx="637">
                  <c:v>6.1093234801340099E-4</c:v>
                </c:pt>
                <c:pt idx="638">
                  <c:v>5.4500050226730394E-4</c:v>
                </c:pt>
                <c:pt idx="639">
                  <c:v>5.3560668700765714E-4</c:v>
                </c:pt>
                <c:pt idx="640">
                  <c:v>4.8136669155365147E-4</c:v>
                </c:pt>
                <c:pt idx="641">
                  <c:v>6.4752046236368635E-4</c:v>
                </c:pt>
                <c:pt idx="642">
                  <c:v>5.3890779044918271E-4</c:v>
                </c:pt>
                <c:pt idx="643">
                  <c:v>6.9149094791519676E-4</c:v>
                </c:pt>
                <c:pt idx="644">
                  <c:v>6.3511744187679669E-4</c:v>
                </c:pt>
                <c:pt idx="645">
                  <c:v>5.6724845343591372E-4</c:v>
                </c:pt>
                <c:pt idx="646">
                  <c:v>7.9259387486224273E-4</c:v>
                </c:pt>
                <c:pt idx="647">
                  <c:v>6.1213709155235013E-4</c:v>
                </c:pt>
                <c:pt idx="648">
                  <c:v>4.4366724109298761E-4</c:v>
                </c:pt>
                <c:pt idx="649">
                  <c:v>7.1136656268772633E-4</c:v>
                </c:pt>
                <c:pt idx="650">
                  <c:v>8.0494382294653548E-4</c:v>
                </c:pt>
                <c:pt idx="651">
                  <c:v>9.383943792763762E-4</c:v>
                </c:pt>
                <c:pt idx="652">
                  <c:v>7.1837742707077346E-4</c:v>
                </c:pt>
                <c:pt idx="653">
                  <c:v>7.0429731866182262E-4</c:v>
                </c:pt>
                <c:pt idx="654">
                  <c:v>7.4635719771984571E-4</c:v>
                </c:pt>
                <c:pt idx="655">
                  <c:v>6.6148381148692403E-4</c:v>
                </c:pt>
                <c:pt idx="656">
                  <c:v>5.9677263100055505E-4</c:v>
                </c:pt>
                <c:pt idx="657">
                  <c:v>6.5466400775322558E-4</c:v>
                </c:pt>
                <c:pt idx="658">
                  <c:v>7.2156177122658586E-4</c:v>
                </c:pt>
                <c:pt idx="659">
                  <c:v>8.6774439693941704E-4</c:v>
                </c:pt>
                <c:pt idx="660">
                  <c:v>8.8335829778341749E-4</c:v>
                </c:pt>
                <c:pt idx="661">
                  <c:v>8.3030712414758172E-4</c:v>
                </c:pt>
                <c:pt idx="662">
                  <c:v>7.4560887684322979E-4</c:v>
                </c:pt>
                <c:pt idx="663">
                  <c:v>6.9961102551251858E-4</c:v>
                </c:pt>
                <c:pt idx="664">
                  <c:v>8.7321616164715476E-4</c:v>
                </c:pt>
                <c:pt idx="665">
                  <c:v>8.1343010012177553E-4</c:v>
                </c:pt>
                <c:pt idx="666">
                  <c:v>9.4831891856199185E-4</c:v>
                </c:pt>
                <c:pt idx="667">
                  <c:v>8.9719958038068232E-4</c:v>
                </c:pt>
                <c:pt idx="668">
                  <c:v>9.6274930482808199E-4</c:v>
                </c:pt>
                <c:pt idx="669">
                  <c:v>9.4574490703604338E-4</c:v>
                </c:pt>
                <c:pt idx="670">
                  <c:v>7.5198287239511448E-4</c:v>
                </c:pt>
                <c:pt idx="671">
                  <c:v>9.1889027132202486E-4</c:v>
                </c:pt>
                <c:pt idx="672">
                  <c:v>9.3506673963355234E-4</c:v>
                </c:pt>
                <c:pt idx="673">
                  <c:v>1.0253694326521341E-3</c:v>
                </c:pt>
                <c:pt idx="674">
                  <c:v>7.0654228129167051E-4</c:v>
                </c:pt>
                <c:pt idx="675">
                  <c:v>9.105366751532768E-4</c:v>
                </c:pt>
                <c:pt idx="676">
                  <c:v>1.151283707813219E-3</c:v>
                </c:pt>
                <c:pt idx="677">
                  <c:v>1.0522134538856333E-3</c:v>
                </c:pt>
                <c:pt idx="678">
                  <c:v>1.1304846332355037E-3</c:v>
                </c:pt>
                <c:pt idx="679">
                  <c:v>1.1147698948265692E-3</c:v>
                </c:pt>
                <c:pt idx="680">
                  <c:v>9.4389798742567212E-4</c:v>
                </c:pt>
                <c:pt idx="681">
                  <c:v>9.7118781684098492E-4</c:v>
                </c:pt>
                <c:pt idx="682">
                  <c:v>1.0178968383664942E-3</c:v>
                </c:pt>
                <c:pt idx="683">
                  <c:v>9.6988223573710175E-4</c:v>
                </c:pt>
                <c:pt idx="684">
                  <c:v>1.1035981540799271E-3</c:v>
                </c:pt>
                <c:pt idx="685">
                  <c:v>1.1751450600207736E-3</c:v>
                </c:pt>
                <c:pt idx="686">
                  <c:v>1.0778686533009624E-3</c:v>
                </c:pt>
                <c:pt idx="687">
                  <c:v>1.1303413377484921E-3</c:v>
                </c:pt>
                <c:pt idx="688">
                  <c:v>1.0238037967755264E-3</c:v>
                </c:pt>
                <c:pt idx="689">
                  <c:v>9.5873703119175825E-4</c:v>
                </c:pt>
                <c:pt idx="690">
                  <c:v>8.5509724340058178E-4</c:v>
                </c:pt>
                <c:pt idx="691">
                  <c:v>9.7919113515259368E-4</c:v>
                </c:pt>
                <c:pt idx="692">
                  <c:v>1.1994469131698824E-3</c:v>
                </c:pt>
                <c:pt idx="693">
                  <c:v>1.2749370986236766E-3</c:v>
                </c:pt>
                <c:pt idx="694">
                  <c:v>1.0339459329117889E-3</c:v>
                </c:pt>
                <c:pt idx="695">
                  <c:v>7.9024276742720124E-4</c:v>
                </c:pt>
                <c:pt idx="696">
                  <c:v>9.339416046984984E-4</c:v>
                </c:pt>
                <c:pt idx="697">
                  <c:v>1.0084446434639907E-3</c:v>
                </c:pt>
                <c:pt idx="698">
                  <c:v>9.3070949538034877E-4</c:v>
                </c:pt>
                <c:pt idx="699">
                  <c:v>1.0132901538210857E-3</c:v>
                </c:pt>
                <c:pt idx="700">
                  <c:v>1.0686075190478078E-3</c:v>
                </c:pt>
                <c:pt idx="701">
                  <c:v>1.0465877792103645E-3</c:v>
                </c:pt>
                <c:pt idx="702">
                  <c:v>9.7840035635390009E-4</c:v>
                </c:pt>
                <c:pt idx="703">
                  <c:v>1.0233739103144917E-3</c:v>
                </c:pt>
                <c:pt idx="704">
                  <c:v>1.0748169901516422E-3</c:v>
                </c:pt>
                <c:pt idx="705">
                  <c:v>1.2825742173573668E-3</c:v>
                </c:pt>
                <c:pt idx="706">
                  <c:v>1.0657203803465379E-3</c:v>
                </c:pt>
                <c:pt idx="707">
                  <c:v>9.0997941492600967E-4</c:v>
                </c:pt>
                <c:pt idx="708">
                  <c:v>1.1313284844367941E-3</c:v>
                </c:pt>
                <c:pt idx="709">
                  <c:v>1.0666173039504251E-3</c:v>
                </c:pt>
                <c:pt idx="710">
                  <c:v>9.708693824254037E-4</c:v>
                </c:pt>
                <c:pt idx="711">
                  <c:v>1.265559205084809E-3</c:v>
                </c:pt>
                <c:pt idx="712">
                  <c:v>9.5864680810734369E-4</c:v>
                </c:pt>
                <c:pt idx="713">
                  <c:v>1.1827397208323863E-3</c:v>
                </c:pt>
                <c:pt idx="714">
                  <c:v>1.1385304094691899E-3</c:v>
                </c:pt>
                <c:pt idx="715">
                  <c:v>1.1878399787219459E-3</c:v>
                </c:pt>
                <c:pt idx="716">
                  <c:v>1.3576504380709055E-3</c:v>
                </c:pt>
                <c:pt idx="717">
                  <c:v>1.2393838961240306E-3</c:v>
                </c:pt>
                <c:pt idx="718">
                  <c:v>1.2052477267737206E-3</c:v>
                </c:pt>
                <c:pt idx="719">
                  <c:v>1.102308494696823E-3</c:v>
                </c:pt>
                <c:pt idx="720">
                  <c:v>1.2611541956692686E-3</c:v>
                </c:pt>
                <c:pt idx="721">
                  <c:v>1.228286456741024E-3</c:v>
                </c:pt>
                <c:pt idx="722">
                  <c:v>1.5224455553744603E-3</c:v>
                </c:pt>
                <c:pt idx="723">
                  <c:v>1.3703135133305198E-3</c:v>
                </c:pt>
                <c:pt idx="724">
                  <c:v>1.4146395839794291E-3</c:v>
                </c:pt>
                <c:pt idx="725">
                  <c:v>1.2297300260916588E-3</c:v>
                </c:pt>
                <c:pt idx="726">
                  <c:v>1.4023480155379933E-3</c:v>
                </c:pt>
                <c:pt idx="727">
                  <c:v>1.1017246982682576E-3</c:v>
                </c:pt>
                <c:pt idx="728">
                  <c:v>1.4123574706677638E-3</c:v>
                </c:pt>
                <c:pt idx="729">
                  <c:v>1.1668869941767E-3</c:v>
                </c:pt>
                <c:pt idx="730">
                  <c:v>1.2420269017733548E-3</c:v>
                </c:pt>
                <c:pt idx="731">
                  <c:v>1.3769794070966873E-3</c:v>
                </c:pt>
                <c:pt idx="732">
                  <c:v>1.4926454013163154E-3</c:v>
                </c:pt>
                <c:pt idx="733">
                  <c:v>1.3698093255058493E-3</c:v>
                </c:pt>
                <c:pt idx="734">
                  <c:v>1.3770908591421408E-3</c:v>
                </c:pt>
                <c:pt idx="735">
                  <c:v>1.6637083693665613E-3</c:v>
                </c:pt>
                <c:pt idx="736">
                  <c:v>1.5258050384588425E-3</c:v>
                </c:pt>
                <c:pt idx="737">
                  <c:v>1.6265895309903074E-3</c:v>
                </c:pt>
                <c:pt idx="738">
                  <c:v>1.3934743098237958E-3</c:v>
                </c:pt>
                <c:pt idx="739">
                  <c:v>1.1715573656052249E-3</c:v>
                </c:pt>
                <c:pt idx="740">
                  <c:v>1.7990695321898897E-3</c:v>
                </c:pt>
                <c:pt idx="741">
                  <c:v>1.4004851742068429E-3</c:v>
                </c:pt>
                <c:pt idx="742">
                  <c:v>1.9543487677078251E-3</c:v>
                </c:pt>
                <c:pt idx="743">
                  <c:v>1.9482932065715216E-3</c:v>
                </c:pt>
                <c:pt idx="744">
                  <c:v>1.3255469417400561E-3</c:v>
                </c:pt>
                <c:pt idx="745">
                  <c:v>1.4029052757652603E-3</c:v>
                </c:pt>
                <c:pt idx="746">
                  <c:v>1.5165385969654283E-3</c:v>
                </c:pt>
                <c:pt idx="747">
                  <c:v>1.6729535818989366E-3</c:v>
                </c:pt>
                <c:pt idx="748">
                  <c:v>1.544544903815799E-3</c:v>
                </c:pt>
                <c:pt idx="749">
                  <c:v>1.5728112654388943E-3</c:v>
                </c:pt>
                <c:pt idx="750">
                  <c:v>1.3695439634928651E-3</c:v>
                </c:pt>
                <c:pt idx="751">
                  <c:v>1.5899430369971654E-3</c:v>
                </c:pt>
                <c:pt idx="752">
                  <c:v>1.6136876299190071E-3</c:v>
                </c:pt>
                <c:pt idx="753">
                  <c:v>1.3807581621615847E-3</c:v>
                </c:pt>
                <c:pt idx="754">
                  <c:v>1.4735181074204018E-3</c:v>
                </c:pt>
                <c:pt idx="755">
                  <c:v>1.5960092126139883E-3</c:v>
                </c:pt>
                <c:pt idx="756">
                  <c:v>1.4859264351475508E-3</c:v>
                </c:pt>
                <c:pt idx="757">
                  <c:v>1.4992210719980683E-3</c:v>
                </c:pt>
                <c:pt idx="758">
                  <c:v>1.464771775472437E-3</c:v>
                </c:pt>
                <c:pt idx="759">
                  <c:v>1.3840645728433701E-3</c:v>
                </c:pt>
                <c:pt idx="760">
                  <c:v>1.346966963428155E-3</c:v>
                </c:pt>
                <c:pt idx="761">
                  <c:v>1.6477707268667196E-3</c:v>
                </c:pt>
                <c:pt idx="762">
                  <c:v>1.6955889616065037E-3</c:v>
                </c:pt>
                <c:pt idx="763">
                  <c:v>1.3783964402460237E-3</c:v>
                </c:pt>
                <c:pt idx="764">
                  <c:v>1.3458152922918025E-3</c:v>
                </c:pt>
                <c:pt idx="765">
                  <c:v>1.8038354339430889E-3</c:v>
                </c:pt>
                <c:pt idx="766">
                  <c:v>1.4228870353429834E-3</c:v>
                </c:pt>
                <c:pt idx="767">
                  <c:v>1.5943533536529656E-3</c:v>
                </c:pt>
                <c:pt idx="768">
                  <c:v>1.6773957419962951E-3</c:v>
                </c:pt>
                <c:pt idx="769">
                  <c:v>1.3103470056363114E-3</c:v>
                </c:pt>
                <c:pt idx="770">
                  <c:v>1.7617543259240271E-3</c:v>
                </c:pt>
                <c:pt idx="771">
                  <c:v>1.377239461869412E-3</c:v>
                </c:pt>
                <c:pt idx="772">
                  <c:v>1.5354111433288767E-3</c:v>
                </c:pt>
                <c:pt idx="773">
                  <c:v>1.4501768647582965E-3</c:v>
                </c:pt>
                <c:pt idx="774">
                  <c:v>1.6283833781980815E-3</c:v>
                </c:pt>
                <c:pt idx="775">
                  <c:v>1.2168652757021765E-3</c:v>
                </c:pt>
                <c:pt idx="776">
                  <c:v>1.4575326997582235E-3</c:v>
                </c:pt>
                <c:pt idx="777">
                  <c:v>1.2448185101499505E-3</c:v>
                </c:pt>
                <c:pt idx="778">
                  <c:v>1.8266406453389659E-3</c:v>
                </c:pt>
                <c:pt idx="779">
                  <c:v>1.7650235859239948E-3</c:v>
                </c:pt>
                <c:pt idx="780">
                  <c:v>1.4959358902773214E-3</c:v>
                </c:pt>
                <c:pt idx="781">
                  <c:v>1.5602384132636948E-3</c:v>
                </c:pt>
                <c:pt idx="782">
                  <c:v>1.7087774536518271E-3</c:v>
                </c:pt>
                <c:pt idx="783">
                  <c:v>1.6433497957304001E-3</c:v>
                </c:pt>
                <c:pt idx="784">
                  <c:v>1.7229106344633747E-3</c:v>
                </c:pt>
                <c:pt idx="785">
                  <c:v>1.7861782455991088E-3</c:v>
                </c:pt>
                <c:pt idx="786">
                  <c:v>1.5739894727765449E-3</c:v>
                </c:pt>
                <c:pt idx="787">
                  <c:v>1.590797502678975E-3</c:v>
                </c:pt>
                <c:pt idx="788">
                  <c:v>1.5606417635234311E-3</c:v>
                </c:pt>
                <c:pt idx="789">
                  <c:v>1.6037365544320928E-3</c:v>
                </c:pt>
                <c:pt idx="790">
                  <c:v>1.7478068985215685E-3</c:v>
                </c:pt>
                <c:pt idx="791">
                  <c:v>1.71636680722318E-3</c:v>
                </c:pt>
                <c:pt idx="792">
                  <c:v>1.3765229844343542E-3</c:v>
                </c:pt>
                <c:pt idx="793">
                  <c:v>1.4661835013815138E-3</c:v>
                </c:pt>
                <c:pt idx="794">
                  <c:v>1.6459078855355694E-3</c:v>
                </c:pt>
                <c:pt idx="795">
                  <c:v>1.7527532464435974E-3</c:v>
                </c:pt>
                <c:pt idx="796">
                  <c:v>1.6227523962825531E-3</c:v>
                </c:pt>
                <c:pt idx="797">
                  <c:v>1.6777619415742136E-3</c:v>
                </c:pt>
                <c:pt idx="798">
                  <c:v>1.6988051492038744E-3</c:v>
                </c:pt>
                <c:pt idx="799">
                  <c:v>1.5136673799849376E-3</c:v>
                </c:pt>
                <c:pt idx="800">
                  <c:v>1.6005628247568E-3</c:v>
                </c:pt>
                <c:pt idx="801">
                  <c:v>1.7277189941386514E-3</c:v>
                </c:pt>
                <c:pt idx="802">
                  <c:v>1.615587621931975E-3</c:v>
                </c:pt>
                <c:pt idx="803">
                  <c:v>1.4440310805375787E-3</c:v>
                </c:pt>
                <c:pt idx="804">
                  <c:v>1.4976607433617201E-3</c:v>
                </c:pt>
                <c:pt idx="805">
                  <c:v>1.3518283955060285E-3</c:v>
                </c:pt>
                <c:pt idx="806">
                  <c:v>1.529467034238027E-3</c:v>
                </c:pt>
                <c:pt idx="807">
                  <c:v>1.6519156815095358E-3</c:v>
                </c:pt>
                <c:pt idx="808">
                  <c:v>1.5616607536532909E-3</c:v>
                </c:pt>
                <c:pt idx="809">
                  <c:v>1.4246331173884208E-3</c:v>
                </c:pt>
                <c:pt idx="810">
                  <c:v>1.5834416676790482E-3</c:v>
                </c:pt>
                <c:pt idx="811">
                  <c:v>1.8093071986508269E-3</c:v>
                </c:pt>
                <c:pt idx="812">
                  <c:v>1.5406122387833705E-3</c:v>
                </c:pt>
                <c:pt idx="813">
                  <c:v>1.4646178655049059E-3</c:v>
                </c:pt>
                <c:pt idx="814">
                  <c:v>1.5051598738486584E-3</c:v>
                </c:pt>
                <c:pt idx="815">
                  <c:v>1.721477679593259E-3</c:v>
                </c:pt>
                <c:pt idx="816">
                  <c:v>1.8085323415729122E-3</c:v>
                </c:pt>
                <c:pt idx="817">
                  <c:v>1.4280509801156594E-3</c:v>
                </c:pt>
                <c:pt idx="818">
                  <c:v>1.7229955503075295E-3</c:v>
                </c:pt>
                <c:pt idx="819">
                  <c:v>1.5363452176145819E-3</c:v>
                </c:pt>
                <c:pt idx="820">
                  <c:v>1.5284692730692057E-3</c:v>
                </c:pt>
                <c:pt idx="821">
                  <c:v>1.7496644326124593E-3</c:v>
                </c:pt>
                <c:pt idx="822">
                  <c:v>1.7066120996258745E-3</c:v>
                </c:pt>
                <c:pt idx="823">
                  <c:v>1.9072310886823199E-3</c:v>
                </c:pt>
                <c:pt idx="824">
                  <c:v>1.775447005794021E-3</c:v>
                </c:pt>
                <c:pt idx="825">
                  <c:v>2.0675203590054003E-3</c:v>
                </c:pt>
                <c:pt idx="826">
                  <c:v>1.9008889365719935E-3</c:v>
                </c:pt>
                <c:pt idx="827">
                  <c:v>1.9916427450126484E-3</c:v>
                </c:pt>
                <c:pt idx="828">
                  <c:v>2.0926607561155396E-3</c:v>
                </c:pt>
                <c:pt idx="829">
                  <c:v>2.0258956736486713E-3</c:v>
                </c:pt>
                <c:pt idx="830">
                  <c:v>1.8390436658258554E-3</c:v>
                </c:pt>
                <c:pt idx="831">
                  <c:v>1.695450973359752E-3</c:v>
                </c:pt>
                <c:pt idx="832">
                  <c:v>2.1675034582576518E-3</c:v>
                </c:pt>
                <c:pt idx="833">
                  <c:v>1.9548529555324951E-3</c:v>
                </c:pt>
                <c:pt idx="834">
                  <c:v>1.8262001443974118E-3</c:v>
                </c:pt>
                <c:pt idx="835">
                  <c:v>2.0644262379340022E-3</c:v>
                </c:pt>
                <c:pt idx="836">
                  <c:v>1.5809260357959563E-3</c:v>
                </c:pt>
                <c:pt idx="837">
                  <c:v>1.9039830576433909E-3</c:v>
                </c:pt>
                <c:pt idx="838">
                  <c:v>1.575990302354447E-3</c:v>
                </c:pt>
                <c:pt idx="839">
                  <c:v>1.70906404462585E-3</c:v>
                </c:pt>
                <c:pt idx="840">
                  <c:v>1.7804198899173478E-3</c:v>
                </c:pt>
                <c:pt idx="841">
                  <c:v>1.8433531449167217E-3</c:v>
                </c:pt>
                <c:pt idx="842">
                  <c:v>1.6358506652434618E-3</c:v>
                </c:pt>
                <c:pt idx="843">
                  <c:v>1.5718188115103329E-3</c:v>
                </c:pt>
                <c:pt idx="844">
                  <c:v>2.1231083934853665E-3</c:v>
                </c:pt>
                <c:pt idx="845">
                  <c:v>2.0763781429988183E-3</c:v>
                </c:pt>
                <c:pt idx="846">
                  <c:v>1.7063785810544482E-3</c:v>
                </c:pt>
                <c:pt idx="847">
                  <c:v>1.6674075158275635E-3</c:v>
                </c:pt>
                <c:pt idx="848">
                  <c:v>1.8020362794950548E-3</c:v>
                </c:pt>
                <c:pt idx="849">
                  <c:v>1.8768099875137913E-3</c:v>
                </c:pt>
                <c:pt idx="850">
                  <c:v>2.012643494720232E-3</c:v>
                </c:pt>
                <c:pt idx="851">
                  <c:v>2.0279920335512479E-3</c:v>
                </c:pt>
                <c:pt idx="852">
                  <c:v>1.7225178986841579E-3</c:v>
                </c:pt>
                <c:pt idx="853">
                  <c:v>1.8511070229361251E-3</c:v>
                </c:pt>
                <c:pt idx="854">
                  <c:v>2.2234789212765755E-3</c:v>
                </c:pt>
                <c:pt idx="855">
                  <c:v>1.8760510521566558E-3</c:v>
                </c:pt>
                <c:pt idx="856">
                  <c:v>1.8359813881960157E-3</c:v>
                </c:pt>
                <c:pt idx="857">
                  <c:v>2.0566245947522617E-3</c:v>
                </c:pt>
                <c:pt idx="858">
                  <c:v>1.7646733080668553E-3</c:v>
                </c:pt>
                <c:pt idx="859">
                  <c:v>1.2333867146305836E-3</c:v>
                </c:pt>
                <c:pt idx="860">
                  <c:v>9.1547240859478623E-4</c:v>
                </c:pt>
                <c:pt idx="861">
                  <c:v>3.0692778797421845E-4</c:v>
                </c:pt>
                <c:pt idx="862">
                  <c:v>8.1733622895290562E-5</c:v>
                </c:pt>
                <c:pt idx="863">
                  <c:v>6.418417152858209E-5</c:v>
                </c:pt>
                <c:pt idx="864">
                  <c:v>1.5834947400816452E-4</c:v>
                </c:pt>
                <c:pt idx="865">
                  <c:v>8.6106258145247038E-4</c:v>
                </c:pt>
                <c:pt idx="866">
                  <c:v>2.1862645525756465E-3</c:v>
                </c:pt>
                <c:pt idx="867">
                  <c:v>3.0528625856189717E-3</c:v>
                </c:pt>
                <c:pt idx="868">
                  <c:v>3.5006132173677623E-3</c:v>
                </c:pt>
                <c:pt idx="869">
                  <c:v>4.0938406118748464E-3</c:v>
                </c:pt>
                <c:pt idx="870">
                  <c:v>4.4884286179423484E-3</c:v>
                </c:pt>
                <c:pt idx="871">
                  <c:v>3.9518188625256101E-3</c:v>
                </c:pt>
                <c:pt idx="872">
                  <c:v>4.1974963213868019E-3</c:v>
                </c:pt>
                <c:pt idx="873">
                  <c:v>4.8127063050495108E-3</c:v>
                </c:pt>
                <c:pt idx="874">
                  <c:v>4.5338904380068309E-3</c:v>
                </c:pt>
                <c:pt idx="875">
                  <c:v>4.3881270842745157E-3</c:v>
                </c:pt>
                <c:pt idx="876">
                  <c:v>4.8247112825169245E-3</c:v>
                </c:pt>
                <c:pt idx="877">
                  <c:v>4.8277417167052056E-3</c:v>
                </c:pt>
                <c:pt idx="878">
                  <c:v>4.5430825781366101E-3</c:v>
                </c:pt>
                <c:pt idx="879">
                  <c:v>5.3917845970242679E-3</c:v>
                </c:pt>
                <c:pt idx="880">
                  <c:v>4.7386384599853127E-3</c:v>
                </c:pt>
                <c:pt idx="881">
                  <c:v>5.2891956428045101E-3</c:v>
                </c:pt>
                <c:pt idx="882">
                  <c:v>4.5823561560582966E-3</c:v>
                </c:pt>
                <c:pt idx="883">
                  <c:v>4.3256184084959166E-3</c:v>
                </c:pt>
                <c:pt idx="884">
                  <c:v>3.4263224682126573E-3</c:v>
                </c:pt>
                <c:pt idx="885">
                  <c:v>4.229180545737136E-3</c:v>
                </c:pt>
                <c:pt idx="886">
                  <c:v>5.4039381772189509E-3</c:v>
                </c:pt>
                <c:pt idx="887">
                  <c:v>5.4497396606600556E-3</c:v>
                </c:pt>
                <c:pt idx="888">
                  <c:v>5.8091459710460898E-3</c:v>
                </c:pt>
                <c:pt idx="889">
                  <c:v>5.7465205359817769E-3</c:v>
                </c:pt>
                <c:pt idx="890">
                  <c:v>6.2700267151973473E-3</c:v>
                </c:pt>
                <c:pt idx="891">
                  <c:v>5.8839780587076817E-3</c:v>
                </c:pt>
                <c:pt idx="892">
                  <c:v>6.0729158119525546E-3</c:v>
                </c:pt>
                <c:pt idx="893">
                  <c:v>6.2596245242883602E-3</c:v>
                </c:pt>
                <c:pt idx="894">
                  <c:v>5.6716353759175874E-3</c:v>
                </c:pt>
                <c:pt idx="895">
                  <c:v>6.2717781044830433E-3</c:v>
                </c:pt>
                <c:pt idx="896">
                  <c:v>6.4512158976630755E-3</c:v>
                </c:pt>
                <c:pt idx="897">
                  <c:v>5.6648951807877846E-3</c:v>
                </c:pt>
                <c:pt idx="898">
                  <c:v>7.139299597331554E-3</c:v>
                </c:pt>
                <c:pt idx="899">
                  <c:v>6.1618651587049171E-3</c:v>
                </c:pt>
                <c:pt idx="900">
                  <c:v>6.2329821781847289E-3</c:v>
                </c:pt>
                <c:pt idx="901">
                  <c:v>6.3493168846770771E-3</c:v>
                </c:pt>
                <c:pt idx="902">
                  <c:v>5.9368912440967659E-3</c:v>
                </c:pt>
                <c:pt idx="903">
                  <c:v>5.8006013142279916E-3</c:v>
                </c:pt>
                <c:pt idx="904">
                  <c:v>6.2539988496130919E-3</c:v>
                </c:pt>
                <c:pt idx="905">
                  <c:v>6.2949707444178776E-3</c:v>
                </c:pt>
                <c:pt idx="906">
                  <c:v>5.3601534450765315E-3</c:v>
                </c:pt>
                <c:pt idx="907">
                  <c:v>6.1253513457182667E-3</c:v>
                </c:pt>
                <c:pt idx="908">
                  <c:v>6.2696552083791697E-3</c:v>
                </c:pt>
                <c:pt idx="909">
                  <c:v>6.7592481223353361E-3</c:v>
                </c:pt>
                <c:pt idx="910">
                  <c:v>5.5864010973470067E-3</c:v>
                </c:pt>
                <c:pt idx="911">
                  <c:v>5.1815807320588275E-3</c:v>
                </c:pt>
                <c:pt idx="912">
                  <c:v>5.780911452864552E-3</c:v>
                </c:pt>
                <c:pt idx="913">
                  <c:v>6.772410078179361E-3</c:v>
                </c:pt>
                <c:pt idx="914">
                  <c:v>6.8602979768797841E-3</c:v>
                </c:pt>
                <c:pt idx="915">
                  <c:v>7.2129640921360155E-3</c:v>
                </c:pt>
                <c:pt idx="916">
                  <c:v>6.5902125200642909E-3</c:v>
                </c:pt>
                <c:pt idx="917">
                  <c:v>7.4101811401860009E-3</c:v>
                </c:pt>
                <c:pt idx="918">
                  <c:v>6.9049318674637566E-3</c:v>
                </c:pt>
                <c:pt idx="919">
                  <c:v>7.1641374817468916E-3</c:v>
                </c:pt>
                <c:pt idx="920">
                  <c:v>6.6477960768818994E-3</c:v>
                </c:pt>
                <c:pt idx="921">
                  <c:v>6.5032799246106101E-3</c:v>
                </c:pt>
                <c:pt idx="922">
                  <c:v>7.4175051317443693E-3</c:v>
                </c:pt>
                <c:pt idx="923">
                  <c:v>6.9152809859701478E-3</c:v>
                </c:pt>
                <c:pt idx="924">
                  <c:v>7.7526573541436316E-3</c:v>
                </c:pt>
                <c:pt idx="925">
                  <c:v>7.5908395986257612E-3</c:v>
                </c:pt>
                <c:pt idx="926">
                  <c:v>7.5613313427818993E-3</c:v>
                </c:pt>
                <c:pt idx="927">
                  <c:v>7.5796943940804181E-3</c:v>
                </c:pt>
                <c:pt idx="928">
                  <c:v>7.4498792973284635E-3</c:v>
                </c:pt>
                <c:pt idx="929">
                  <c:v>7.5925379155088622E-3</c:v>
                </c:pt>
                <c:pt idx="930">
                  <c:v>8.0058657869333198E-3</c:v>
                </c:pt>
                <c:pt idx="931">
                  <c:v>7.2281427992787212E-3</c:v>
                </c:pt>
                <c:pt idx="932">
                  <c:v>7.292041972005359E-3</c:v>
                </c:pt>
                <c:pt idx="933">
                  <c:v>7.6477332142096122E-3</c:v>
                </c:pt>
                <c:pt idx="934">
                  <c:v>7.6077696950541647E-3</c:v>
                </c:pt>
                <c:pt idx="935">
                  <c:v>7.2696984905120743E-3</c:v>
                </c:pt>
                <c:pt idx="936">
                  <c:v>7.4041308862899573E-3</c:v>
                </c:pt>
                <c:pt idx="937">
                  <c:v>7.7458640866112311E-3</c:v>
                </c:pt>
                <c:pt idx="938">
                  <c:v>8.3356046242677017E-3</c:v>
                </c:pt>
                <c:pt idx="939">
                  <c:v>7.1745396726558778E-3</c:v>
                </c:pt>
                <c:pt idx="940">
                  <c:v>7.429711784341651E-3</c:v>
                </c:pt>
                <c:pt idx="941">
                  <c:v>8.144703192126743E-3</c:v>
                </c:pt>
                <c:pt idx="942">
                  <c:v>7.8442072486232407E-3</c:v>
                </c:pt>
                <c:pt idx="943">
                  <c:v>7.9093801590122016E-3</c:v>
                </c:pt>
                <c:pt idx="944">
                  <c:v>7.8984472440772457E-3</c:v>
                </c:pt>
                <c:pt idx="945">
                  <c:v>5.3441786518948712E-3</c:v>
                </c:pt>
                <c:pt idx="946">
                  <c:v>6.9321049375933559E-3</c:v>
                </c:pt>
                <c:pt idx="947">
                  <c:v>9.0566462859488373E-3</c:v>
                </c:pt>
                <c:pt idx="948">
                  <c:v>8.9519344356252042E-3</c:v>
                </c:pt>
                <c:pt idx="949">
                  <c:v>8.4632437525131842E-3</c:v>
                </c:pt>
                <c:pt idx="950">
                  <c:v>4.5152089522927314E-3</c:v>
                </c:pt>
                <c:pt idx="951">
                  <c:v>3.7666439426248553E-4</c:v>
                </c:pt>
                <c:pt idx="952">
                  <c:v>5.114587438260793E-4</c:v>
                </c:pt>
                <c:pt idx="953">
                  <c:v>5.5750966755938724E-3</c:v>
                </c:pt>
                <c:pt idx="954">
                  <c:v>1.0387224491455077E-2</c:v>
                </c:pt>
                <c:pt idx="955">
                  <c:v>1.1852871961570362E-2</c:v>
                </c:pt>
                <c:pt idx="956">
                  <c:v>1.2610374363835553E-2</c:v>
                </c:pt>
                <c:pt idx="957">
                  <c:v>1.2506193237537889E-2</c:v>
                </c:pt>
                <c:pt idx="958">
                  <c:v>1.2847979510261759E-2</c:v>
                </c:pt>
                <c:pt idx="959">
                  <c:v>1.2721561047276005E-2</c:v>
                </c:pt>
                <c:pt idx="960">
                  <c:v>1.2480240832668014E-2</c:v>
                </c:pt>
                <c:pt idx="961">
                  <c:v>1.2451051011239736E-2</c:v>
                </c:pt>
                <c:pt idx="962">
                  <c:v>1.4178504643365401E-2</c:v>
                </c:pt>
                <c:pt idx="963">
                  <c:v>1.326417329142645E-2</c:v>
                </c:pt>
                <c:pt idx="964">
                  <c:v>1.3929542002783462E-2</c:v>
                </c:pt>
                <c:pt idx="965">
                  <c:v>1.3726327773240031E-2</c:v>
                </c:pt>
                <c:pt idx="966">
                  <c:v>1.4145228246937163E-2</c:v>
                </c:pt>
                <c:pt idx="967">
                  <c:v>1.370037536837016E-2</c:v>
                </c:pt>
                <c:pt idx="968">
                  <c:v>1.5065132201148789E-2</c:v>
                </c:pt>
                <c:pt idx="969">
                  <c:v>1.4033723129081127E-2</c:v>
                </c:pt>
                <c:pt idx="970">
                  <c:v>1.4756356962840172E-2</c:v>
                </c:pt>
                <c:pt idx="971">
                  <c:v>1.4620597756997367E-2</c:v>
                </c:pt>
                <c:pt idx="972">
                  <c:v>1.5021135179395977E-2</c:v>
                </c:pt>
                <c:pt idx="973">
                  <c:v>1.4734438060567663E-2</c:v>
                </c:pt>
                <c:pt idx="974">
                  <c:v>1.2629215066757444E-2</c:v>
                </c:pt>
                <c:pt idx="975">
                  <c:v>1.6020753882308111E-2</c:v>
                </c:pt>
                <c:pt idx="976">
                  <c:v>1.5366265013483454E-2</c:v>
                </c:pt>
                <c:pt idx="977">
                  <c:v>1.4854434762839196E-2</c:v>
                </c:pt>
                <c:pt idx="978">
                  <c:v>1.5926019643672688E-2</c:v>
                </c:pt>
                <c:pt idx="979">
                  <c:v>1.4954317024526513E-2</c:v>
                </c:pt>
                <c:pt idx="980">
                  <c:v>1.4535522695634576E-2</c:v>
                </c:pt>
                <c:pt idx="981">
                  <c:v>1.5397683875820804E-2</c:v>
                </c:pt>
                <c:pt idx="982">
                  <c:v>1.4428157225181102E-2</c:v>
                </c:pt>
                <c:pt idx="983">
                  <c:v>1.4803272966735809E-2</c:v>
                </c:pt>
                <c:pt idx="984">
                  <c:v>1.4374872532973839E-2</c:v>
                </c:pt>
                <c:pt idx="985">
                  <c:v>1.3658395097916031E-2</c:v>
                </c:pt>
                <c:pt idx="986">
                  <c:v>1.5655934186857193E-2</c:v>
                </c:pt>
                <c:pt idx="987">
                  <c:v>1.6759627871261795E-2</c:v>
                </c:pt>
                <c:pt idx="988">
                  <c:v>1.5166394345303626E-2</c:v>
                </c:pt>
                <c:pt idx="989">
                  <c:v>1.5139062057966231E-2</c:v>
                </c:pt>
                <c:pt idx="990">
                  <c:v>1.426480036998792E-2</c:v>
                </c:pt>
                <c:pt idx="991">
                  <c:v>1.4822485176475877E-2</c:v>
                </c:pt>
                <c:pt idx="992">
                  <c:v>1.3889790773238405E-2</c:v>
                </c:pt>
                <c:pt idx="993">
                  <c:v>1.8661583563125986E-2</c:v>
                </c:pt>
                <c:pt idx="994">
                  <c:v>1.5514337016728731E-2</c:v>
                </c:pt>
                <c:pt idx="995">
                  <c:v>8.2832221629045857E-4</c:v>
                </c:pt>
                <c:pt idx="996">
                  <c:v>2.8904928771140937E-3</c:v>
                </c:pt>
                <c:pt idx="997">
                  <c:v>1.4279607570312448E-2</c:v>
                </c:pt>
                <c:pt idx="998">
                  <c:v>1.9470513123507546E-2</c:v>
                </c:pt>
                <c:pt idx="999">
                  <c:v>2.1087151579010938E-2</c:v>
                </c:pt>
                <c:pt idx="1000">
                  <c:v>2.0454581612458791E-2</c:v>
                </c:pt>
                <c:pt idx="1001">
                  <c:v>2.0145859446552773E-2</c:v>
                </c:pt>
                <c:pt idx="1002">
                  <c:v>2.3697889207556389E-2</c:v>
                </c:pt>
                <c:pt idx="1003">
                  <c:v>2.3666576490024235E-2</c:v>
                </c:pt>
                <c:pt idx="1004">
                  <c:v>2.3609895164050772E-2</c:v>
                </c:pt>
                <c:pt idx="1005">
                  <c:v>2.4027362682877789E-2</c:v>
                </c:pt>
                <c:pt idx="1006">
                  <c:v>2.3808226732555293E-2</c:v>
                </c:pt>
                <c:pt idx="1007">
                  <c:v>2.3191100835158837E-2</c:v>
                </c:pt>
                <c:pt idx="1008">
                  <c:v>2.378360113775034E-2</c:v>
                </c:pt>
                <c:pt idx="1009">
                  <c:v>2.5109084392607277E-2</c:v>
                </c:pt>
                <c:pt idx="1010">
                  <c:v>2.4307797258199672E-2</c:v>
                </c:pt>
                <c:pt idx="1011">
                  <c:v>2.5341647660786785E-2</c:v>
                </c:pt>
                <c:pt idx="1012">
                  <c:v>2.4471684837418815E-2</c:v>
                </c:pt>
                <c:pt idx="1013">
                  <c:v>2.5930857474417281E-2</c:v>
                </c:pt>
                <c:pt idx="1014">
                  <c:v>2.4506181899106787E-2</c:v>
                </c:pt>
                <c:pt idx="1015">
                  <c:v>2.45245980228079E-2</c:v>
                </c:pt>
                <c:pt idx="1016">
                  <c:v>2.4816867743908892E-2</c:v>
                </c:pt>
                <c:pt idx="1017">
                  <c:v>2.5498954262083925E-2</c:v>
                </c:pt>
                <c:pt idx="1018">
                  <c:v>2.6335003820192483E-2</c:v>
                </c:pt>
                <c:pt idx="1019">
                  <c:v>2.5204137065658286E-2</c:v>
                </c:pt>
                <c:pt idx="1020">
                  <c:v>2.4820742029298463E-2</c:v>
                </c:pt>
                <c:pt idx="1021">
                  <c:v>2.4460221198457893E-2</c:v>
                </c:pt>
                <c:pt idx="1022">
                  <c:v>2.5229505674099591E-2</c:v>
                </c:pt>
                <c:pt idx="1023">
                  <c:v>2.7281231686092158E-2</c:v>
                </c:pt>
                <c:pt idx="1024">
                  <c:v>2.8788381775038202E-2</c:v>
                </c:pt>
                <c:pt idx="1025">
                  <c:v>2.7877977780891416E-2</c:v>
                </c:pt>
                <c:pt idx="1026">
                  <c:v>2.6959188347134323E-2</c:v>
                </c:pt>
                <c:pt idx="1027">
                  <c:v>2.5612900710459414E-2</c:v>
                </c:pt>
                <c:pt idx="1028">
                  <c:v>2.4728502193585092E-2</c:v>
                </c:pt>
                <c:pt idx="1029">
                  <c:v>2.5859368948119296E-2</c:v>
                </c:pt>
                <c:pt idx="1030">
                  <c:v>2.7843480719203447E-2</c:v>
                </c:pt>
                <c:pt idx="1031">
                  <c:v>2.646476584454184E-2</c:v>
                </c:pt>
                <c:pt idx="1032">
                  <c:v>2.7851547724398171E-2</c:v>
                </c:pt>
                <c:pt idx="1033">
                  <c:v>2.9465373342563928E-2</c:v>
                </c:pt>
                <c:pt idx="1034">
                  <c:v>2.8851060282505107E-2</c:v>
                </c:pt>
                <c:pt idx="1035">
                  <c:v>2.9865380040936574E-2</c:v>
                </c:pt>
                <c:pt idx="1036">
                  <c:v>2.9936868567234567E-2</c:v>
                </c:pt>
                <c:pt idx="1037">
                  <c:v>2.9392770295811405E-2</c:v>
                </c:pt>
                <c:pt idx="1038">
                  <c:v>2.8983582071789506E-2</c:v>
                </c:pt>
                <c:pt idx="1039">
                  <c:v>3.2774490716881655E-2</c:v>
                </c:pt>
                <c:pt idx="1040">
                  <c:v>3.2765521480842781E-2</c:v>
                </c:pt>
                <c:pt idx="1041">
                  <c:v>2.5224251506242496E-3</c:v>
                </c:pt>
                <c:pt idx="1042">
                  <c:v>2.1757562168614658E-2</c:v>
                </c:pt>
                <c:pt idx="1043">
                  <c:v>2.9861771117559985E-2</c:v>
                </c:pt>
                <c:pt idx="1044">
                  <c:v>3.2850968049023752E-2</c:v>
                </c:pt>
                <c:pt idx="1045">
                  <c:v>3.2891250002594775E-2</c:v>
                </c:pt>
                <c:pt idx="1046">
                  <c:v>3.04388273509958E-2</c:v>
                </c:pt>
                <c:pt idx="1047">
                  <c:v>3.3564844936354303E-2</c:v>
                </c:pt>
                <c:pt idx="1048">
                  <c:v>3.2022136337668358E-2</c:v>
                </c:pt>
                <c:pt idx="1049">
                  <c:v>3.3340348673369526E-2</c:v>
                </c:pt>
                <c:pt idx="1050">
                  <c:v>3.3761000536352351E-2</c:v>
                </c:pt>
                <c:pt idx="1051">
                  <c:v>3.3583844856483989E-2</c:v>
                </c:pt>
                <c:pt idx="1052">
                  <c:v>3.542450192334879E-2</c:v>
                </c:pt>
                <c:pt idx="1053">
                  <c:v>3.4597527746084294E-2</c:v>
                </c:pt>
                <c:pt idx="1054">
                  <c:v>3.4839909408744221E-2</c:v>
                </c:pt>
                <c:pt idx="1055">
                  <c:v>3.4884277937315203E-2</c:v>
                </c:pt>
                <c:pt idx="1056">
                  <c:v>2.8444419533807854E-2</c:v>
                </c:pt>
                <c:pt idx="1057">
                  <c:v>2.4513771252678139E-2</c:v>
                </c:pt>
                <c:pt idx="1058">
                  <c:v>3.8106834222997418E-2</c:v>
                </c:pt>
                <c:pt idx="1059">
                  <c:v>3.6087535448991542E-2</c:v>
                </c:pt>
                <c:pt idx="1060">
                  <c:v>3.501929412952165E-2</c:v>
                </c:pt>
                <c:pt idx="1061">
                  <c:v>3.6186409335029521E-2</c:v>
                </c:pt>
                <c:pt idx="1062">
                  <c:v>3.7033444880475629E-2</c:v>
                </c:pt>
                <c:pt idx="1063">
                  <c:v>3.6657904559700152E-2</c:v>
                </c:pt>
                <c:pt idx="1064">
                  <c:v>3.5524808764256878E-2</c:v>
                </c:pt>
                <c:pt idx="1065">
                  <c:v>3.5398974097699695E-2</c:v>
                </c:pt>
                <c:pt idx="1066">
                  <c:v>3.7902823907415034E-2</c:v>
                </c:pt>
                <c:pt idx="1067">
                  <c:v>3.6625477321713465E-2</c:v>
                </c:pt>
                <c:pt idx="1068">
                  <c:v>3.8719820472991315E-2</c:v>
                </c:pt>
                <c:pt idx="1069">
                  <c:v>3.8304316633060394E-2</c:v>
                </c:pt>
                <c:pt idx="1070">
                  <c:v>3.9293851579479108E-2</c:v>
                </c:pt>
                <c:pt idx="1071">
                  <c:v>3.8144409484036003E-2</c:v>
                </c:pt>
                <c:pt idx="1072">
                  <c:v>3.9819427582395962E-2</c:v>
                </c:pt>
                <c:pt idx="1073">
                  <c:v>4.245473773334376E-2</c:v>
                </c:pt>
                <c:pt idx="1074">
                  <c:v>6.5963158463629309E-2</c:v>
                </c:pt>
                <c:pt idx="1075">
                  <c:v>8.5123357249152921E-3</c:v>
                </c:pt>
                <c:pt idx="1076">
                  <c:v>2.2648594735813581E-2</c:v>
                </c:pt>
                <c:pt idx="1077">
                  <c:v>3.7130779666838296E-2</c:v>
                </c:pt>
                <c:pt idx="1078">
                  <c:v>3.9792626019084537E-2</c:v>
                </c:pt>
                <c:pt idx="1079">
                  <c:v>4.0975397583358483E-2</c:v>
                </c:pt>
                <c:pt idx="1080">
                  <c:v>4.2838291986911366E-2</c:v>
                </c:pt>
                <c:pt idx="1081">
                  <c:v>4.0916805650891536E-2</c:v>
                </c:pt>
                <c:pt idx="1082">
                  <c:v>4.208100187425657E-2</c:v>
                </c:pt>
                <c:pt idx="1083">
                  <c:v>4.4545153526829459E-2</c:v>
                </c:pt>
                <c:pt idx="1084">
                  <c:v>5.2730934758566175E-2</c:v>
                </c:pt>
                <c:pt idx="1085">
                  <c:v>2.641535543772415E-2</c:v>
                </c:pt>
                <c:pt idx="1086">
                  <c:v>2.7756335834139376E-2</c:v>
                </c:pt>
                <c:pt idx="1087">
                  <c:v>4.5025617987538964E-2</c:v>
                </c:pt>
                <c:pt idx="1088">
                  <c:v>4.5834865982336111E-2</c:v>
                </c:pt>
                <c:pt idx="1089">
                  <c:v>4.6556544512848408E-2</c:v>
                </c:pt>
                <c:pt idx="1090">
                  <c:v>4.7286820772581388E-2</c:v>
                </c:pt>
                <c:pt idx="1091">
                  <c:v>4.5346706023250048E-2</c:v>
                </c:pt>
                <c:pt idx="1092">
                  <c:v>4.680126136122259E-2</c:v>
                </c:pt>
                <c:pt idx="1093">
                  <c:v>4.8132529507962589E-2</c:v>
                </c:pt>
                <c:pt idx="1094">
                  <c:v>4.6048376257983331E-2</c:v>
                </c:pt>
                <c:pt idx="1095">
                  <c:v>4.650692181642032E-2</c:v>
                </c:pt>
                <c:pt idx="1096">
                  <c:v>4.7321052472256382E-2</c:v>
                </c:pt>
                <c:pt idx="1097">
                  <c:v>4.7690011815109845E-2</c:v>
                </c:pt>
                <c:pt idx="1098">
                  <c:v>4.7121341021284346E-2</c:v>
                </c:pt>
                <c:pt idx="1099">
                  <c:v>5.0883165989753398E-2</c:v>
                </c:pt>
                <c:pt idx="1100">
                  <c:v>4.8159861795299977E-2</c:v>
                </c:pt>
                <c:pt idx="1101">
                  <c:v>4.9655866679700671E-2</c:v>
                </c:pt>
                <c:pt idx="1102">
                  <c:v>4.577266512649257E-2</c:v>
                </c:pt>
                <c:pt idx="1103">
                  <c:v>4.7744835606992414E-2</c:v>
                </c:pt>
                <c:pt idx="1104">
                  <c:v>5.0359978244953404E-2</c:v>
                </c:pt>
                <c:pt idx="1105">
                  <c:v>5.14470071949426E-2</c:v>
                </c:pt>
                <c:pt idx="1106">
                  <c:v>5.2781459685838403E-2</c:v>
                </c:pt>
                <c:pt idx="1107">
                  <c:v>5.3214636635834089E-2</c:v>
                </c:pt>
                <c:pt idx="1108">
                  <c:v>5.0379668106316854E-2</c:v>
                </c:pt>
                <c:pt idx="1109">
                  <c:v>5.216815500142892E-2</c:v>
                </c:pt>
                <c:pt idx="1110">
                  <c:v>5.16963944147453E-2</c:v>
                </c:pt>
                <c:pt idx="1111">
                  <c:v>5.1049388754686807E-2</c:v>
                </c:pt>
                <c:pt idx="1112">
                  <c:v>3.875012481487413E-2</c:v>
                </c:pt>
                <c:pt idx="1113">
                  <c:v>5.011006030112472E-2</c:v>
                </c:pt>
                <c:pt idx="1114">
                  <c:v>5.0650337359560905E-2</c:v>
                </c:pt>
                <c:pt idx="1115">
                  <c:v>5.1671397313122175E-2</c:v>
                </c:pt>
                <c:pt idx="1116">
                  <c:v>5.1813419062471409E-2</c:v>
                </c:pt>
                <c:pt idx="1117">
                  <c:v>5.1818567085523314E-2</c:v>
                </c:pt>
                <c:pt idx="1118">
                  <c:v>5.0362791082291039E-2</c:v>
                </c:pt>
                <c:pt idx="1119">
                  <c:v>5.2207959303376579E-2</c:v>
                </c:pt>
                <c:pt idx="1120">
                  <c:v>5.2700895778696348E-2</c:v>
                </c:pt>
                <c:pt idx="1121">
                  <c:v>5.9890614158494934E-2</c:v>
                </c:pt>
                <c:pt idx="1122">
                  <c:v>9.8203050869152639E-2</c:v>
                </c:pt>
                <c:pt idx="1123">
                  <c:v>1.0701572332036365E-2</c:v>
                </c:pt>
                <c:pt idx="1124">
                  <c:v>4.1973424114192713E-2</c:v>
                </c:pt>
                <c:pt idx="1125">
                  <c:v>5.1980597130651576E-2</c:v>
                </c:pt>
                <c:pt idx="1126">
                  <c:v>5.3546869876090523E-2</c:v>
                </c:pt>
                <c:pt idx="1127">
                  <c:v>5.4648122229975678E-2</c:v>
                </c:pt>
                <c:pt idx="1128">
                  <c:v>5.5747782411782909E-2</c:v>
                </c:pt>
                <c:pt idx="1129">
                  <c:v>6.7522956375951446E-2</c:v>
                </c:pt>
                <c:pt idx="1130">
                  <c:v>4.6548902086874455E-2</c:v>
                </c:pt>
                <c:pt idx="1131">
                  <c:v>4.3352882002490677E-2</c:v>
                </c:pt>
                <c:pt idx="1132">
                  <c:v>5.568144190853682E-2</c:v>
                </c:pt>
                <c:pt idx="1133">
                  <c:v>5.9465504213693968E-2</c:v>
                </c:pt>
                <c:pt idx="1134">
                  <c:v>5.836000606760107E-2</c:v>
                </c:pt>
                <c:pt idx="1135">
                  <c:v>5.9362543752656038E-2</c:v>
                </c:pt>
                <c:pt idx="1136">
                  <c:v>5.7304395979949241E-2</c:v>
                </c:pt>
                <c:pt idx="1137">
                  <c:v>5.9395979366292061E-2</c:v>
                </c:pt>
                <c:pt idx="1138">
                  <c:v>5.991927325589725E-2</c:v>
                </c:pt>
                <c:pt idx="1139">
                  <c:v>6.3805765298066364E-2</c:v>
                </c:pt>
                <c:pt idx="1140">
                  <c:v>5.1995138968963107E-2</c:v>
                </c:pt>
                <c:pt idx="1141">
                  <c:v>4.8864716374189064E-2</c:v>
                </c:pt>
                <c:pt idx="1142">
                  <c:v>6.0304578898750558E-2</c:v>
                </c:pt>
                <c:pt idx="1143">
                  <c:v>6.2847808431192781E-2</c:v>
                </c:pt>
                <c:pt idx="1144">
                  <c:v>6.3135991577293812E-2</c:v>
                </c:pt>
                <c:pt idx="1145">
                  <c:v>6.3392331281836703E-2</c:v>
                </c:pt>
                <c:pt idx="1146">
                  <c:v>6.224066014548453E-2</c:v>
                </c:pt>
                <c:pt idx="1147">
                  <c:v>6.280588123314125E-2</c:v>
                </c:pt>
                <c:pt idx="1148">
                  <c:v>6.1583623801335231E-2</c:v>
                </c:pt>
                <c:pt idx="1149">
                  <c:v>6.3096187275346161E-2</c:v>
                </c:pt>
                <c:pt idx="1150">
                  <c:v>6.6218967444146251E-2</c:v>
                </c:pt>
                <c:pt idx="1151">
                  <c:v>5.8379642856561914E-2</c:v>
                </c:pt>
                <c:pt idx="1152">
                  <c:v>5.2143104827403197E-2</c:v>
                </c:pt>
                <c:pt idx="1153">
                  <c:v>6.6514050002584868E-2</c:v>
                </c:pt>
                <c:pt idx="1154">
                  <c:v>6.7329242106472856E-2</c:v>
                </c:pt>
                <c:pt idx="1155">
                  <c:v>7.0206827775275399E-2</c:v>
                </c:pt>
                <c:pt idx="1156">
                  <c:v>5.2149845022532997E-2</c:v>
                </c:pt>
                <c:pt idx="1157">
                  <c:v>6.8852950785029121E-2</c:v>
                </c:pt>
                <c:pt idx="1158">
                  <c:v>6.8981385999313569E-2</c:v>
                </c:pt>
                <c:pt idx="1159">
                  <c:v>6.7028852307774556E-2</c:v>
                </c:pt>
                <c:pt idx="1160">
                  <c:v>6.7494297278549137E-2</c:v>
                </c:pt>
                <c:pt idx="1161">
                  <c:v>6.6481675837000778E-2</c:v>
                </c:pt>
                <c:pt idx="1162">
                  <c:v>6.8716554710355149E-2</c:v>
                </c:pt>
                <c:pt idx="1163">
                  <c:v>6.8553091710356784E-2</c:v>
                </c:pt>
                <c:pt idx="1164">
                  <c:v>6.7956557905167927E-2</c:v>
                </c:pt>
                <c:pt idx="1165">
                  <c:v>6.670935644414136E-2</c:v>
                </c:pt>
                <c:pt idx="1166">
                  <c:v>6.9050910846715469E-2</c:v>
                </c:pt>
                <c:pt idx="1167">
                  <c:v>6.6912623746087391E-2</c:v>
                </c:pt>
                <c:pt idx="1168">
                  <c:v>6.9093368768792976E-2</c:v>
                </c:pt>
                <c:pt idx="1169">
                  <c:v>8.6623183346540608E-2</c:v>
                </c:pt>
                <c:pt idx="1170">
                  <c:v>5.0049504689761694E-2</c:v>
                </c:pt>
                <c:pt idx="1171">
                  <c:v>6.6621786979856518E-2</c:v>
                </c:pt>
                <c:pt idx="1172">
                  <c:v>6.987618670709686E-2</c:v>
                </c:pt>
                <c:pt idx="1173">
                  <c:v>7.24141089992794E-2</c:v>
                </c:pt>
                <c:pt idx="1174">
                  <c:v>7.1521961911625936E-2</c:v>
                </c:pt>
                <c:pt idx="1175">
                  <c:v>7.3070083895376767E-2</c:v>
                </c:pt>
                <c:pt idx="1176">
                  <c:v>7.087076353176229E-2</c:v>
                </c:pt>
                <c:pt idx="1177">
                  <c:v>7.2594555168108768E-2</c:v>
                </c:pt>
                <c:pt idx="1178">
                  <c:v>7.3703237658357484E-2</c:v>
                </c:pt>
                <c:pt idx="1179">
                  <c:v>7.2234724278501972E-2</c:v>
                </c:pt>
                <c:pt idx="1180">
                  <c:v>7.0310849684365281E-2</c:v>
                </c:pt>
                <c:pt idx="1181">
                  <c:v>6.9996130336965806E-2</c:v>
                </c:pt>
                <c:pt idx="1182">
                  <c:v>7.9837876674530198E-2</c:v>
                </c:pt>
                <c:pt idx="1183">
                  <c:v>5.9666117895510157E-2</c:v>
                </c:pt>
                <c:pt idx="1184">
                  <c:v>7.5932809291452172E-2</c:v>
                </c:pt>
                <c:pt idx="1185">
                  <c:v>7.5483286041456654E-2</c:v>
                </c:pt>
                <c:pt idx="1186">
                  <c:v>7.5416945538210559E-2</c:v>
                </c:pt>
                <c:pt idx="1187">
                  <c:v>6.9399596531776922E-2</c:v>
                </c:pt>
                <c:pt idx="1188">
                  <c:v>7.4594854021984985E-2</c:v>
                </c:pt>
                <c:pt idx="1189">
                  <c:v>7.6038954096645933E-2</c:v>
                </c:pt>
                <c:pt idx="1190">
                  <c:v>7.7769114421304034E-2</c:v>
                </c:pt>
                <c:pt idx="1191">
                  <c:v>7.6218338817423362E-2</c:v>
                </c:pt>
                <c:pt idx="1192">
                  <c:v>7.2666733635640524E-2</c:v>
                </c:pt>
                <c:pt idx="1193">
                  <c:v>7.7051044814168315E-2</c:v>
                </c:pt>
                <c:pt idx="1194">
                  <c:v>7.7761684284940472E-2</c:v>
                </c:pt>
                <c:pt idx="1195">
                  <c:v>7.550663789859928E-2</c:v>
                </c:pt>
                <c:pt idx="1196">
                  <c:v>7.9246119385575048E-2</c:v>
                </c:pt>
                <c:pt idx="1197">
                  <c:v>7.7363641265463912E-2</c:v>
                </c:pt>
                <c:pt idx="1198">
                  <c:v>7.6257081671319088E-2</c:v>
                </c:pt>
                <c:pt idx="1199">
                  <c:v>7.7729840843382358E-2</c:v>
                </c:pt>
                <c:pt idx="1200">
                  <c:v>8.7114633794587656E-2</c:v>
                </c:pt>
                <c:pt idx="1201">
                  <c:v>6.44198129961122E-2</c:v>
                </c:pt>
                <c:pt idx="1202">
                  <c:v>8.0279969788162167E-2</c:v>
                </c:pt>
                <c:pt idx="1203">
                  <c:v>8.6186928197194285E-2</c:v>
                </c:pt>
                <c:pt idx="1204">
                  <c:v>6.1689768606528979E-2</c:v>
                </c:pt>
                <c:pt idx="1205">
                  <c:v>7.8575284216750571E-2</c:v>
                </c:pt>
                <c:pt idx="1206">
                  <c:v>8.3788055599815572E-2</c:v>
                </c:pt>
                <c:pt idx="1207">
                  <c:v>8.1112675784907121E-2</c:v>
                </c:pt>
                <c:pt idx="1208">
                  <c:v>8.1958119158275347E-2</c:v>
                </c:pt>
                <c:pt idx="1209">
                  <c:v>8.9697667628977545E-2</c:v>
                </c:pt>
                <c:pt idx="1210">
                  <c:v>6.7556391989587489E-2</c:v>
                </c:pt>
                <c:pt idx="1211">
                  <c:v>9.6931966826957497E-2</c:v>
                </c:pt>
                <c:pt idx="1212">
                  <c:v>6.3945345716896154E-2</c:v>
                </c:pt>
                <c:pt idx="1213">
                  <c:v>8.2184738317364003E-2</c:v>
                </c:pt>
                <c:pt idx="1214">
                  <c:v>8.6251145804336515E-2</c:v>
                </c:pt>
                <c:pt idx="1215">
                  <c:v>7.2707068661614152E-2</c:v>
                </c:pt>
                <c:pt idx="1216">
                  <c:v>7.962983285635046E-2</c:v>
                </c:pt>
                <c:pt idx="1217">
                  <c:v>8.4586264534872571E-2</c:v>
                </c:pt>
                <c:pt idx="1218">
                  <c:v>8.4782632424480989E-2</c:v>
                </c:pt>
                <c:pt idx="1219">
                  <c:v>0.10050214734964925</c:v>
                </c:pt>
                <c:pt idx="1220">
                  <c:v>7.1104812827214509E-2</c:v>
                </c:pt>
                <c:pt idx="1221">
                  <c:v>8.4316126005654482E-2</c:v>
                </c:pt>
                <c:pt idx="1222">
                  <c:v>8.542162415174738E-2</c:v>
                </c:pt>
                <c:pt idx="1223">
                  <c:v>9.4525664093215209E-2</c:v>
                </c:pt>
                <c:pt idx="1224">
                  <c:v>7.4100749953808068E-2</c:v>
                </c:pt>
                <c:pt idx="1225">
                  <c:v>7.9980641437515806E-2</c:v>
                </c:pt>
                <c:pt idx="1226">
                  <c:v>8.6661395476410358E-2</c:v>
                </c:pt>
                <c:pt idx="1227">
                  <c:v>8.6353044817322519E-2</c:v>
                </c:pt>
                <c:pt idx="1228">
                  <c:v>8.7466503823804928E-2</c:v>
                </c:pt>
                <c:pt idx="1229">
                  <c:v>8.6773908969915742E-2</c:v>
                </c:pt>
                <c:pt idx="1230">
                  <c:v>8.9233814830280866E-2</c:v>
                </c:pt>
                <c:pt idx="1231">
                  <c:v>8.7490917128999493E-2</c:v>
                </c:pt>
                <c:pt idx="1232">
                  <c:v>8.9965152538065779E-2</c:v>
                </c:pt>
                <c:pt idx="1233">
                  <c:v>8.9720488762094194E-2</c:v>
                </c:pt>
                <c:pt idx="1234">
                  <c:v>8.5019866064089039E-2</c:v>
                </c:pt>
                <c:pt idx="1235">
                  <c:v>9.0848808041303741E-2</c:v>
                </c:pt>
                <c:pt idx="1236">
                  <c:v>9.8320340878891743E-2</c:v>
                </c:pt>
                <c:pt idx="1237">
                  <c:v>7.7872605606367953E-2</c:v>
                </c:pt>
                <c:pt idx="1238">
                  <c:v>9.1557324615972019E-2</c:v>
                </c:pt>
                <c:pt idx="1239">
                  <c:v>0.10893853646644841</c:v>
                </c:pt>
                <c:pt idx="1240">
                  <c:v>6.4487214947410235E-2</c:v>
                </c:pt>
                <c:pt idx="1241">
                  <c:v>8.716770619718453E-2</c:v>
                </c:pt>
                <c:pt idx="1242">
                  <c:v>9.2249388745835256E-2</c:v>
                </c:pt>
                <c:pt idx="1243">
                  <c:v>9.1579084301036756E-2</c:v>
                </c:pt>
                <c:pt idx="1244">
                  <c:v>8.9283702888721922E-2</c:v>
                </c:pt>
                <c:pt idx="1245">
                  <c:v>8.9448227336772226E-2</c:v>
                </c:pt>
                <c:pt idx="1246">
                  <c:v>0.1002803047067943</c:v>
                </c:pt>
                <c:pt idx="1247">
                  <c:v>8.5336177583566389E-2</c:v>
                </c:pt>
                <c:pt idx="1248">
                  <c:v>0.10973303033332363</c:v>
                </c:pt>
                <c:pt idx="1249">
                  <c:v>7.6234791262228402E-2</c:v>
                </c:pt>
                <c:pt idx="1250">
                  <c:v>9.7092245482800058E-2</c:v>
                </c:pt>
                <c:pt idx="1251">
                  <c:v>0.11704322306701712</c:v>
                </c:pt>
                <c:pt idx="1252">
                  <c:v>7.2794638125898994E-2</c:v>
                </c:pt>
                <c:pt idx="1253">
                  <c:v>9.3555500573744357E-2</c:v>
                </c:pt>
                <c:pt idx="1254">
                  <c:v>9.1501598593245304E-2</c:v>
                </c:pt>
                <c:pt idx="1255">
                  <c:v>9.7801292781494298E-2</c:v>
                </c:pt>
                <c:pt idx="1256">
                  <c:v>9.1466040083505409E-2</c:v>
                </c:pt>
                <c:pt idx="1257">
                  <c:v>9.1876820479605201E-2</c:v>
                </c:pt>
                <c:pt idx="1258">
                  <c:v>9.6136411512030354E-2</c:v>
                </c:pt>
                <c:pt idx="1259">
                  <c:v>9.7876124869155895E-2</c:v>
                </c:pt>
                <c:pt idx="1260">
                  <c:v>8.9580908343264418E-2</c:v>
                </c:pt>
                <c:pt idx="1261">
                  <c:v>0.10482489454116468</c:v>
                </c:pt>
                <c:pt idx="1262">
                  <c:v>9.5768619762033991E-2</c:v>
                </c:pt>
                <c:pt idx="1263">
                  <c:v>9.7166016122409701E-2</c:v>
                </c:pt>
                <c:pt idx="1264">
                  <c:v>9.8587825787979991E-2</c:v>
                </c:pt>
                <c:pt idx="1265">
                  <c:v>9.3518349891926519E-2</c:v>
                </c:pt>
                <c:pt idx="1266">
                  <c:v>9.131425301207835E-2</c:v>
                </c:pt>
                <c:pt idx="1267">
                  <c:v>9.7530623528250246E-2</c:v>
                </c:pt>
                <c:pt idx="1268">
                  <c:v>0.10736600117750301</c:v>
                </c:pt>
                <c:pt idx="1269">
                  <c:v>9.3975303278285641E-2</c:v>
                </c:pt>
                <c:pt idx="1270">
                  <c:v>0.10405003746325031</c:v>
                </c:pt>
                <c:pt idx="1271">
                  <c:v>9.0047945486116901E-2</c:v>
                </c:pt>
                <c:pt idx="1272">
                  <c:v>0.10399749578467941</c:v>
                </c:pt>
                <c:pt idx="1273">
                  <c:v>0.1027322497067699</c:v>
                </c:pt>
                <c:pt idx="1274">
                  <c:v>0.10247909434638283</c:v>
                </c:pt>
                <c:pt idx="1275">
                  <c:v>0.10262716634962811</c:v>
                </c:pt>
                <c:pt idx="1276">
                  <c:v>0.10059237043406394</c:v>
                </c:pt>
                <c:pt idx="1277">
                  <c:v>0.11308136821316042</c:v>
                </c:pt>
                <c:pt idx="1278">
                  <c:v>9.7954141300973324E-2</c:v>
                </c:pt>
                <c:pt idx="1279">
                  <c:v>9.3101200807515119E-2</c:v>
                </c:pt>
                <c:pt idx="1280">
                  <c:v>0.10096440797626802</c:v>
                </c:pt>
                <c:pt idx="1281">
                  <c:v>0.10511838492752539</c:v>
                </c:pt>
                <c:pt idx="1282">
                  <c:v>0.10025270705744393</c:v>
                </c:pt>
                <c:pt idx="1283">
                  <c:v>0.10461950434311476</c:v>
                </c:pt>
                <c:pt idx="1284">
                  <c:v>0.11623068458325897</c:v>
                </c:pt>
                <c:pt idx="1285">
                  <c:v>9.2363494411418542E-2</c:v>
                </c:pt>
                <c:pt idx="1286">
                  <c:v>9.9847233901603827E-2</c:v>
                </c:pt>
                <c:pt idx="1287">
                  <c:v>0.10414503706389872</c:v>
                </c:pt>
                <c:pt idx="1288">
                  <c:v>0.12708452163834574</c:v>
                </c:pt>
                <c:pt idx="1289">
                  <c:v>9.0792020570525087E-2</c:v>
                </c:pt>
                <c:pt idx="1290">
                  <c:v>0.10302202502494885</c:v>
                </c:pt>
                <c:pt idx="1291">
                  <c:v>0.11458119431054811</c:v>
                </c:pt>
                <c:pt idx="1292">
                  <c:v>9.7004145294489239E-2</c:v>
                </c:pt>
                <c:pt idx="1293">
                  <c:v>0.10464763271649112</c:v>
                </c:pt>
                <c:pt idx="1294">
                  <c:v>0.10046287377172756</c:v>
                </c:pt>
                <c:pt idx="1295">
                  <c:v>0.11166221216772002</c:v>
                </c:pt>
                <c:pt idx="1296">
                  <c:v>0.11184425050862729</c:v>
                </c:pt>
                <c:pt idx="1297">
                  <c:v>0.10125949053470665</c:v>
                </c:pt>
                <c:pt idx="1298">
                  <c:v>0.10304590760611744</c:v>
                </c:pt>
                <c:pt idx="1299">
                  <c:v>0.10689843331062454</c:v>
                </c:pt>
                <c:pt idx="1300">
                  <c:v>0.11084808151188394</c:v>
                </c:pt>
                <c:pt idx="1301">
                  <c:v>0.10850493493723196</c:v>
                </c:pt>
                <c:pt idx="1302">
                  <c:v>0.10765843011581179</c:v>
                </c:pt>
                <c:pt idx="1303">
                  <c:v>0.10452025895025861</c:v>
                </c:pt>
                <c:pt idx="1304">
                  <c:v>0.14344515118688425</c:v>
                </c:pt>
                <c:pt idx="1305">
                  <c:v>8.2648591116060668E-2</c:v>
                </c:pt>
                <c:pt idx="1306">
                  <c:v>0.11392734231055461</c:v>
                </c:pt>
                <c:pt idx="1307">
                  <c:v>0.10196694566132299</c:v>
                </c:pt>
                <c:pt idx="1308">
                  <c:v>0.11083003689500101</c:v>
                </c:pt>
                <c:pt idx="1309">
                  <c:v>0.10918107734631613</c:v>
                </c:pt>
                <c:pt idx="1310">
                  <c:v>0.10967836575864884</c:v>
                </c:pt>
                <c:pt idx="1311">
                  <c:v>0.12566165052472356</c:v>
                </c:pt>
                <c:pt idx="1312">
                  <c:v>0.10860471105411408</c:v>
                </c:pt>
                <c:pt idx="1313">
                  <c:v>0.10333568292429639</c:v>
                </c:pt>
                <c:pt idx="1314">
                  <c:v>0.10589430345349168</c:v>
                </c:pt>
                <c:pt idx="1315">
                  <c:v>0.13036917263506631</c:v>
                </c:pt>
                <c:pt idx="1316">
                  <c:v>9.4249687599711474E-2</c:v>
                </c:pt>
                <c:pt idx="1317">
                  <c:v>0.11128699028136012</c:v>
                </c:pt>
                <c:pt idx="1318">
                  <c:v>0.11717006610922365</c:v>
                </c:pt>
                <c:pt idx="1319">
                  <c:v>0.10626050303141012</c:v>
                </c:pt>
                <c:pt idx="1320">
                  <c:v>0.11540222437872176</c:v>
                </c:pt>
                <c:pt idx="1321">
                  <c:v>0.11661015226182664</c:v>
                </c:pt>
                <c:pt idx="1322">
                  <c:v>0.10499260333337081</c:v>
                </c:pt>
                <c:pt idx="1323">
                  <c:v>0.11121799615798417</c:v>
                </c:pt>
                <c:pt idx="1324">
                  <c:v>0.13670814040123702</c:v>
                </c:pt>
                <c:pt idx="1325">
                  <c:v>0.11251402422939984</c:v>
                </c:pt>
                <c:pt idx="1326">
                  <c:v>0.10919275327488745</c:v>
                </c:pt>
                <c:pt idx="1327">
                  <c:v>0.10666013822296459</c:v>
                </c:pt>
                <c:pt idx="1328">
                  <c:v>0.12312797402474877</c:v>
                </c:pt>
                <c:pt idx="1329">
                  <c:v>0.10709957771646671</c:v>
                </c:pt>
                <c:pt idx="1330">
                  <c:v>0.11435775949561526</c:v>
                </c:pt>
                <c:pt idx="1331">
                  <c:v>0.11451803815145783</c:v>
                </c:pt>
                <c:pt idx="1332">
                  <c:v>0.11693601681377143</c:v>
                </c:pt>
                <c:pt idx="1333">
                  <c:v>0.12468511831694108</c:v>
                </c:pt>
                <c:pt idx="1334">
                  <c:v>0.11942511249556485</c:v>
                </c:pt>
                <c:pt idx="1335">
                  <c:v>0.10641547444699299</c:v>
                </c:pt>
                <c:pt idx="1336">
                  <c:v>0.11507582910275098</c:v>
                </c:pt>
                <c:pt idx="1337">
                  <c:v>0.12431732656694472</c:v>
                </c:pt>
                <c:pt idx="1338">
                  <c:v>0.11442144637873151</c:v>
                </c:pt>
                <c:pt idx="1339">
                  <c:v>0.12027533238516679</c:v>
                </c:pt>
                <c:pt idx="1340">
                  <c:v>0.12174968372930794</c:v>
                </c:pt>
                <c:pt idx="1341">
                  <c:v>0.11788017485596984</c:v>
                </c:pt>
                <c:pt idx="1342">
                  <c:v>0.11736961834298787</c:v>
                </c:pt>
                <c:pt idx="1343">
                  <c:v>0.11498825963846614</c:v>
                </c:pt>
                <c:pt idx="1344">
                  <c:v>0.12221459797605655</c:v>
                </c:pt>
                <c:pt idx="1345">
                  <c:v>0.11675822426507189</c:v>
                </c:pt>
                <c:pt idx="1346">
                  <c:v>0.11514376177807498</c:v>
                </c:pt>
                <c:pt idx="1347">
                  <c:v>0.12946853396299737</c:v>
                </c:pt>
                <c:pt idx="1348">
                  <c:v>0.12651983127471503</c:v>
                </c:pt>
                <c:pt idx="1349">
                  <c:v>0.10612941419699584</c:v>
                </c:pt>
                <c:pt idx="1350">
                  <c:v>0.12545466815459574</c:v>
                </c:pt>
                <c:pt idx="1351">
                  <c:v>0.11806592826505889</c:v>
                </c:pt>
                <c:pt idx="1352">
                  <c:v>0.1190928792553084</c:v>
                </c:pt>
                <c:pt idx="1353">
                  <c:v>0.12844423659287768</c:v>
                </c:pt>
                <c:pt idx="1354">
                  <c:v>0.11956893870660236</c:v>
                </c:pt>
                <c:pt idx="1355">
                  <c:v>0.12462036998577289</c:v>
                </c:pt>
                <c:pt idx="1356">
                  <c:v>0.12218063163839457</c:v>
                </c:pt>
                <c:pt idx="1357">
                  <c:v>0.12194339799878653</c:v>
                </c:pt>
                <c:pt idx="1358">
                  <c:v>0.12185423636242379</c:v>
                </c:pt>
                <c:pt idx="1359">
                  <c:v>0.1161367464306625</c:v>
                </c:pt>
                <c:pt idx="1360">
                  <c:v>0.12451051011239735</c:v>
                </c:pt>
                <c:pt idx="1361">
                  <c:v>0.12667267979419403</c:v>
                </c:pt>
                <c:pt idx="1362">
                  <c:v>0.12086708967412192</c:v>
                </c:pt>
                <c:pt idx="1363">
                  <c:v>0.12301705270332129</c:v>
                </c:pt>
                <c:pt idx="1364">
                  <c:v>0.12547218204745272</c:v>
                </c:pt>
                <c:pt idx="1365">
                  <c:v>0.12708133729418997</c:v>
                </c:pt>
                <c:pt idx="1366">
                  <c:v>0.11798101242090388</c:v>
                </c:pt>
                <c:pt idx="1367">
                  <c:v>0.1212784007942477</c:v>
                </c:pt>
                <c:pt idx="1368">
                  <c:v>0.12597212407991529</c:v>
                </c:pt>
                <c:pt idx="1369">
                  <c:v>0.1281486233104131</c:v>
                </c:pt>
                <c:pt idx="1370">
                  <c:v>0.12438472851824277</c:v>
                </c:pt>
                <c:pt idx="1371">
                  <c:v>0.12734988365133015</c:v>
                </c:pt>
                <c:pt idx="1372">
                  <c:v>0.13072528845649134</c:v>
                </c:pt>
                <c:pt idx="1373">
                  <c:v>0.12013575196633698</c:v>
                </c:pt>
                <c:pt idx="1374">
                  <c:v>0.12508528423252149</c:v>
                </c:pt>
                <c:pt idx="1375">
                  <c:v>0.12746823510912117</c:v>
                </c:pt>
                <c:pt idx="1376">
                  <c:v>0.12379244050526163</c:v>
                </c:pt>
                <c:pt idx="1377">
                  <c:v>0.12474190578771974</c:v>
                </c:pt>
                <c:pt idx="1378">
                  <c:v>0.1254923495604395</c:v>
                </c:pt>
                <c:pt idx="1379">
                  <c:v>0.12575771157342391</c:v>
                </c:pt>
                <c:pt idx="1380">
                  <c:v>0.1293931711513098</c:v>
                </c:pt>
                <c:pt idx="1381">
                  <c:v>0.1254711205994008</c:v>
                </c:pt>
                <c:pt idx="1382">
                  <c:v>0.12965216447598255</c:v>
                </c:pt>
                <c:pt idx="1383">
                  <c:v>0.12773306639807958</c:v>
                </c:pt>
                <c:pt idx="1384">
                  <c:v>0.13062126654740147</c:v>
                </c:pt>
                <c:pt idx="1385">
                  <c:v>0.12437146041759355</c:v>
                </c:pt>
                <c:pt idx="1386">
                  <c:v>0.1396780720505581</c:v>
                </c:pt>
                <c:pt idx="1387">
                  <c:v>0.11939486122608463</c:v>
                </c:pt>
                <c:pt idx="1388">
                  <c:v>0.12861937552144737</c:v>
                </c:pt>
                <c:pt idx="1389">
                  <c:v>0.12877169331690039</c:v>
                </c:pt>
                <c:pt idx="1390">
                  <c:v>0.12414749487863473</c:v>
                </c:pt>
                <c:pt idx="1391">
                  <c:v>0.13262103467725173</c:v>
                </c:pt>
                <c:pt idx="1392">
                  <c:v>0.12468671048901897</c:v>
                </c:pt>
                <c:pt idx="1393">
                  <c:v>0.14331193945636611</c:v>
                </c:pt>
                <c:pt idx="1394">
                  <c:v>0.12005720481049363</c:v>
                </c:pt>
                <c:pt idx="1395">
                  <c:v>0.12901211130066426</c:v>
                </c:pt>
                <c:pt idx="1396">
                  <c:v>0.13098693540129394</c:v>
                </c:pt>
                <c:pt idx="1397">
                  <c:v>0.13372547137529267</c:v>
                </c:pt>
                <c:pt idx="1398">
                  <c:v>0.12650390955393595</c:v>
                </c:pt>
                <c:pt idx="1399">
                  <c:v>0.13690291611876754</c:v>
                </c:pt>
                <c:pt idx="1400">
                  <c:v>0.13888463963173484</c:v>
                </c:pt>
                <c:pt idx="1401">
                  <c:v>0.1285307446091106</c:v>
                </c:pt>
                <c:pt idx="1402">
                  <c:v>0.13179575881687033</c:v>
                </c:pt>
                <c:pt idx="1403">
                  <c:v>0.12916124475196145</c:v>
                </c:pt>
                <c:pt idx="1404">
                  <c:v>0.13010274917403</c:v>
                </c:pt>
                <c:pt idx="1405">
                  <c:v>0.13610948369994427</c:v>
                </c:pt>
                <c:pt idx="1406">
                  <c:v>0.13217416504738602</c:v>
                </c:pt>
                <c:pt idx="1407">
                  <c:v>0.12877646983313412</c:v>
                </c:pt>
                <c:pt idx="1408">
                  <c:v>0.13292248592400197</c:v>
                </c:pt>
                <c:pt idx="1409">
                  <c:v>0.13532348141748457</c:v>
                </c:pt>
                <c:pt idx="1410">
                  <c:v>0.1348675894791774</c:v>
                </c:pt>
                <c:pt idx="1411">
                  <c:v>0.13631062810578642</c:v>
                </c:pt>
                <c:pt idx="1412">
                  <c:v>0.127827535274702</c:v>
                </c:pt>
                <c:pt idx="1413">
                  <c:v>0.13673520732656141</c:v>
                </c:pt>
                <c:pt idx="1414">
                  <c:v>0.13828120641420838</c:v>
                </c:pt>
                <c:pt idx="1415">
                  <c:v>0.14036111387197989</c:v>
                </c:pt>
                <c:pt idx="1416">
                  <c:v>0.13321544558633672</c:v>
                </c:pt>
                <c:pt idx="1417">
                  <c:v>0.1310723819694749</c:v>
                </c:pt>
                <c:pt idx="1418">
                  <c:v>0.1364162421869542</c:v>
                </c:pt>
                <c:pt idx="1419">
                  <c:v>0.13363365611880007</c:v>
                </c:pt>
                <c:pt idx="1420">
                  <c:v>0.13417605607334013</c:v>
                </c:pt>
                <c:pt idx="1421">
                  <c:v>0.13742355638824288</c:v>
                </c:pt>
                <c:pt idx="1422">
                  <c:v>0.1357268316772208</c:v>
                </c:pt>
                <c:pt idx="1423">
                  <c:v>0.13419303924217113</c:v>
                </c:pt>
                <c:pt idx="1424">
                  <c:v>0.13456613823242716</c:v>
                </c:pt>
                <c:pt idx="1425">
                  <c:v>0.13612009818046364</c:v>
                </c:pt>
                <c:pt idx="1426">
                  <c:v>0.14260607650182769</c:v>
                </c:pt>
                <c:pt idx="1427">
                  <c:v>0.13744053955707386</c:v>
                </c:pt>
                <c:pt idx="1428">
                  <c:v>0.13868880246615237</c:v>
                </c:pt>
                <c:pt idx="1429">
                  <c:v>0.13584995965124555</c:v>
                </c:pt>
                <c:pt idx="1430">
                  <c:v>0.13772819197914893</c:v>
                </c:pt>
                <c:pt idx="1431">
                  <c:v>0.14166987932001882</c:v>
                </c:pt>
                <c:pt idx="1432">
                  <c:v>0.13512180628761644</c:v>
                </c:pt>
                <c:pt idx="1433">
                  <c:v>0.14128032788495773</c:v>
                </c:pt>
                <c:pt idx="1434">
                  <c:v>0.13373767802788994</c:v>
                </c:pt>
                <c:pt idx="1435">
                  <c:v>0.13612115962851556</c:v>
                </c:pt>
                <c:pt idx="1436">
                  <c:v>0.13829182089472775</c:v>
                </c:pt>
                <c:pt idx="1437">
                  <c:v>0.1422897649823503</c:v>
                </c:pt>
                <c:pt idx="1438">
                  <c:v>0.13715447930707672</c:v>
                </c:pt>
                <c:pt idx="1439">
                  <c:v>0.14064027470963944</c:v>
                </c:pt>
                <c:pt idx="1440">
                  <c:v>0.13842237900511606</c:v>
                </c:pt>
                <c:pt idx="1441">
                  <c:v>0.13884271243368332</c:v>
                </c:pt>
                <c:pt idx="1442">
                  <c:v>0.1395422066999101</c:v>
                </c:pt>
                <c:pt idx="1443">
                  <c:v>0.13889737700835808</c:v>
                </c:pt>
                <c:pt idx="1444">
                  <c:v>0.13972796010899916</c:v>
                </c:pt>
                <c:pt idx="1445">
                  <c:v>0.13938511238822338</c:v>
                </c:pt>
                <c:pt idx="1446">
                  <c:v>0.14437232606025166</c:v>
                </c:pt>
                <c:pt idx="1447">
                  <c:v>0.13636263906033136</c:v>
                </c:pt>
                <c:pt idx="1448">
                  <c:v>0.14264853442390515</c:v>
                </c:pt>
                <c:pt idx="1449">
                  <c:v>0.14293512539792827</c:v>
                </c:pt>
                <c:pt idx="1450">
                  <c:v>0.14124954589145156</c:v>
                </c:pt>
                <c:pt idx="1451">
                  <c:v>0.13810659820966467</c:v>
                </c:pt>
                <c:pt idx="1452">
                  <c:v>0.14336660403104087</c:v>
                </c:pt>
                <c:pt idx="1453">
                  <c:v>0.13871905373563259</c:v>
                </c:pt>
                <c:pt idx="1454">
                  <c:v>0.14397056797259331</c:v>
                </c:pt>
                <c:pt idx="1455">
                  <c:v>0.13730095913824411</c:v>
                </c:pt>
                <c:pt idx="1456">
                  <c:v>0.14070449231678164</c:v>
                </c:pt>
                <c:pt idx="1457">
                  <c:v>0.14370839030376475</c:v>
                </c:pt>
                <c:pt idx="1458">
                  <c:v>0.14143423785248868</c:v>
                </c:pt>
                <c:pt idx="1459">
                  <c:v>0.14330450932000252</c:v>
                </c:pt>
                <c:pt idx="1460">
                  <c:v>0.14156426523885102</c:v>
                </c:pt>
                <c:pt idx="1461">
                  <c:v>0.14563544924205726</c:v>
                </c:pt>
                <c:pt idx="1462">
                  <c:v>0.14273132737195629</c:v>
                </c:pt>
                <c:pt idx="1463">
                  <c:v>0.14387556837194493</c:v>
                </c:pt>
                <c:pt idx="1464">
                  <c:v>0.14272867375182646</c:v>
                </c:pt>
                <c:pt idx="1465">
                  <c:v>0.14507128960245247</c:v>
                </c:pt>
                <c:pt idx="1466">
                  <c:v>0.14368716134272599</c:v>
                </c:pt>
                <c:pt idx="1467">
                  <c:v>0.14703602994658879</c:v>
                </c:pt>
                <c:pt idx="1468">
                  <c:v>0.13909799069017426</c:v>
                </c:pt>
                <c:pt idx="1469">
                  <c:v>0.14403266268363166</c:v>
                </c:pt>
                <c:pt idx="1470">
                  <c:v>0.14634715016088135</c:v>
                </c:pt>
                <c:pt idx="1471">
                  <c:v>0.14150482414794255</c:v>
                </c:pt>
                <c:pt idx="1472">
                  <c:v>0.15180989256017763</c:v>
                </c:pt>
                <c:pt idx="1473">
                  <c:v>0.14556751656673328</c:v>
                </c:pt>
                <c:pt idx="1474">
                  <c:v>0.1460897490082865</c:v>
                </c:pt>
                <c:pt idx="1475">
                  <c:v>0.14709653248554921</c:v>
                </c:pt>
                <c:pt idx="1476">
                  <c:v>0.14794144513489146</c:v>
                </c:pt>
                <c:pt idx="1477">
                  <c:v>0.14331565452454786</c:v>
                </c:pt>
                <c:pt idx="1478">
                  <c:v>0.14342657584597535</c:v>
                </c:pt>
                <c:pt idx="1479">
                  <c:v>0.14733641974528708</c:v>
                </c:pt>
                <c:pt idx="1480">
                  <c:v>0.14788094259593104</c:v>
                </c:pt>
                <c:pt idx="1481">
                  <c:v>0.1476707758816474</c:v>
                </c:pt>
                <c:pt idx="1482">
                  <c:v>0.14829703023229052</c:v>
                </c:pt>
                <c:pt idx="1483">
                  <c:v>0.14839149910891297</c:v>
                </c:pt>
                <c:pt idx="1484">
                  <c:v>0.1526680733101691</c:v>
                </c:pt>
                <c:pt idx="1485">
                  <c:v>0.15217184634588835</c:v>
                </c:pt>
                <c:pt idx="1486">
                  <c:v>0.15194947297900743</c:v>
                </c:pt>
                <c:pt idx="1487">
                  <c:v>0.15365575072249693</c:v>
                </c:pt>
                <c:pt idx="1488">
                  <c:v>0.15179874735563231</c:v>
                </c:pt>
                <c:pt idx="1489">
                  <c:v>0.15351670102769313</c:v>
                </c:pt>
                <c:pt idx="1490">
                  <c:v>0.15162997711537424</c:v>
                </c:pt>
                <c:pt idx="1491">
                  <c:v>0.15580093723546262</c:v>
                </c:pt>
                <c:pt idx="1492">
                  <c:v>0.15880058943023798</c:v>
                </c:pt>
                <c:pt idx="1493">
                  <c:v>0.15990237250814907</c:v>
                </c:pt>
                <c:pt idx="1494">
                  <c:v>0.15939075454711521</c:v>
                </c:pt>
                <c:pt idx="1495">
                  <c:v>0.15650149294974133</c:v>
                </c:pt>
                <c:pt idx="1496">
                  <c:v>0.15553610594650419</c:v>
                </c:pt>
                <c:pt idx="1497">
                  <c:v>0.15543686055364805</c:v>
                </c:pt>
                <c:pt idx="1498">
                  <c:v>0.1537889624530151</c:v>
                </c:pt>
                <c:pt idx="1499">
                  <c:v>0.15541987738481705</c:v>
                </c:pt>
                <c:pt idx="1500">
                  <c:v>0.14962861681344611</c:v>
                </c:pt>
                <c:pt idx="1501">
                  <c:v>0.14675739983295519</c:v>
                </c:pt>
                <c:pt idx="1502">
                  <c:v>0.13949391081354695</c:v>
                </c:pt>
                <c:pt idx="1503">
                  <c:v>0.13265128594673192</c:v>
                </c:pt>
                <c:pt idx="1504">
                  <c:v>0.11830953059297854</c:v>
                </c:pt>
                <c:pt idx="1505">
                  <c:v>9.6758420070465714E-2</c:v>
                </c:pt>
                <c:pt idx="1506">
                  <c:v>6.9455322554503651E-2</c:v>
                </c:pt>
                <c:pt idx="1507">
                  <c:v>3.4746501980173712E-2</c:v>
                </c:pt>
                <c:pt idx="1508">
                  <c:v>9.1570592716621237E-3</c:v>
                </c:pt>
                <c:pt idx="1509">
                  <c:v>1.4908993192708784E-2</c:v>
                </c:pt>
                <c:pt idx="1510">
                  <c:v>4.4235104550858516E-2</c:v>
                </c:pt>
                <c:pt idx="1511">
                  <c:v>7.2413578275253437E-2</c:v>
                </c:pt>
                <c:pt idx="1512">
                  <c:v>9.3038575372450791E-2</c:v>
                </c:pt>
                <c:pt idx="1513">
                  <c:v>0.10779588763853772</c:v>
                </c:pt>
                <c:pt idx="1514">
                  <c:v>0.11849316110596372</c:v>
                </c:pt>
                <c:pt idx="1515">
                  <c:v>0.12817144444352976</c:v>
                </c:pt>
                <c:pt idx="1516">
                  <c:v>0.13170712790453354</c:v>
                </c:pt>
                <c:pt idx="1517">
                  <c:v>0.13346064008633426</c:v>
                </c:pt>
                <c:pt idx="1518">
                  <c:v>0.1372452331155174</c:v>
                </c:pt>
                <c:pt idx="1519">
                  <c:v>0.13724470239149142</c:v>
                </c:pt>
                <c:pt idx="1520">
                  <c:v>0.13748352820317736</c:v>
                </c:pt>
                <c:pt idx="1521">
                  <c:v>0.14113862457002407</c:v>
                </c:pt>
                <c:pt idx="1522">
                  <c:v>0.14212205619014417</c:v>
                </c:pt>
                <c:pt idx="1523">
                  <c:v>0.1424426135018293</c:v>
                </c:pt>
                <c:pt idx="1524">
                  <c:v>0.1435804858135063</c:v>
                </c:pt>
                <c:pt idx="1525">
                  <c:v>0.14546402538166936</c:v>
                </c:pt>
                <c:pt idx="1526">
                  <c:v>0.14468279961544336</c:v>
                </c:pt>
                <c:pt idx="1527">
                  <c:v>0.14744256455048085</c:v>
                </c:pt>
                <c:pt idx="1528">
                  <c:v>0.1482747398231998</c:v>
                </c:pt>
                <c:pt idx="1529">
                  <c:v>0.14851993432319741</c:v>
                </c:pt>
                <c:pt idx="1530">
                  <c:v>0.151548776339401</c:v>
                </c:pt>
                <c:pt idx="1531">
                  <c:v>0.15130941980368912</c:v>
                </c:pt>
                <c:pt idx="1532">
                  <c:v>0.15095648832641992</c:v>
                </c:pt>
                <c:pt idx="1533">
                  <c:v>0.14846633119657454</c:v>
                </c:pt>
                <c:pt idx="1534">
                  <c:v>0.15002931345305248</c:v>
                </c:pt>
                <c:pt idx="1535">
                  <c:v>0.14962437102123835</c:v>
                </c:pt>
                <c:pt idx="1536">
                  <c:v>0.14907507165436071</c:v>
                </c:pt>
                <c:pt idx="1537">
                  <c:v>0.15280712300497293</c:v>
                </c:pt>
                <c:pt idx="1538">
                  <c:v>0.15200572972576012</c:v>
                </c:pt>
                <c:pt idx="1539">
                  <c:v>0.15227003029069253</c:v>
                </c:pt>
                <c:pt idx="1540">
                  <c:v>0.15041249619980193</c:v>
                </c:pt>
                <c:pt idx="1541">
                  <c:v>0.14746750857970137</c:v>
                </c:pt>
                <c:pt idx="1542">
                  <c:v>0.14724672738489838</c:v>
                </c:pt>
                <c:pt idx="1543">
                  <c:v>0.1408477878037932</c:v>
                </c:pt>
                <c:pt idx="1544">
                  <c:v>0.13399667135256269</c:v>
                </c:pt>
                <c:pt idx="1545">
                  <c:v>0.13066584736558284</c:v>
                </c:pt>
                <c:pt idx="1546">
                  <c:v>0.12439162793058034</c:v>
                </c:pt>
                <c:pt idx="1547">
                  <c:v>0.11637185717416665</c:v>
                </c:pt>
                <c:pt idx="1548">
                  <c:v>0.10828786881061073</c:v>
                </c:pt>
                <c:pt idx="1549">
                  <c:v>9.7960509989284919E-2</c:v>
                </c:pt>
                <c:pt idx="1550">
                  <c:v>8.3909060677736444E-2</c:v>
                </c:pt>
                <c:pt idx="1551">
                  <c:v>6.5952543983109929E-2</c:v>
                </c:pt>
                <c:pt idx="1552">
                  <c:v>4.6620019106354264E-2</c:v>
                </c:pt>
                <c:pt idx="1553">
                  <c:v>2.9845637107170534E-2</c:v>
                </c:pt>
                <c:pt idx="1554">
                  <c:v>1.8146356678715527E-2</c:v>
                </c:pt>
                <c:pt idx="1555">
                  <c:v>1.7820279837160332E-2</c:v>
                </c:pt>
                <c:pt idx="1556">
                  <c:v>3.1609126900659479E-2</c:v>
                </c:pt>
                <c:pt idx="1557">
                  <c:v>5.430580523322584E-2</c:v>
                </c:pt>
                <c:pt idx="1558">
                  <c:v>7.9251957349860708E-2</c:v>
                </c:pt>
                <c:pt idx="1559">
                  <c:v>0.10084711796652893</c:v>
                </c:pt>
                <c:pt idx="1560">
                  <c:v>0.11625191354429772</c:v>
                </c:pt>
                <c:pt idx="1561">
                  <c:v>0.12737323550847277</c:v>
                </c:pt>
                <c:pt idx="1562">
                  <c:v>0.13555965360904065</c:v>
                </c:pt>
                <c:pt idx="1563">
                  <c:v>0.14275202560896907</c:v>
                </c:pt>
                <c:pt idx="1564">
                  <c:v>0.14797063495631974</c:v>
                </c:pt>
                <c:pt idx="1565">
                  <c:v>0.14999269349526068</c:v>
                </c:pt>
                <c:pt idx="1566">
                  <c:v>0.15051598738486585</c:v>
                </c:pt>
                <c:pt idx="1567">
                  <c:v>0.15452136160885196</c:v>
                </c:pt>
                <c:pt idx="1568">
                  <c:v>0.15310326701146346</c:v>
                </c:pt>
                <c:pt idx="1569">
                  <c:v>0.15658057082961069</c:v>
                </c:pt>
                <c:pt idx="1570">
                  <c:v>0.15451499292054033</c:v>
                </c:pt>
                <c:pt idx="1571">
                  <c:v>0.15866472407958995</c:v>
                </c:pt>
                <c:pt idx="1572">
                  <c:v>0.15904843755036535</c:v>
                </c:pt>
                <c:pt idx="1573">
                  <c:v>0.16045857128736429</c:v>
                </c:pt>
                <c:pt idx="1574">
                  <c:v>0.15572079790754131</c:v>
                </c:pt>
                <c:pt idx="1575">
                  <c:v>0.15997348952762885</c:v>
                </c:pt>
                <c:pt idx="1576">
                  <c:v>0.1596624852484112</c:v>
                </c:pt>
                <c:pt idx="1577">
                  <c:v>0.16202367643994614</c:v>
                </c:pt>
                <c:pt idx="1578">
                  <c:v>0.16128703149190152</c:v>
                </c:pt>
                <c:pt idx="1579">
                  <c:v>0.15720841735233174</c:v>
                </c:pt>
                <c:pt idx="1580">
                  <c:v>0.16138043892047202</c:v>
                </c:pt>
                <c:pt idx="1581">
                  <c:v>0.15867799218023915</c:v>
                </c:pt>
                <c:pt idx="1582">
                  <c:v>0.16080407262826996</c:v>
                </c:pt>
                <c:pt idx="1583">
                  <c:v>0.15969910520620303</c:v>
                </c:pt>
                <c:pt idx="1584">
                  <c:v>0.15877352250491353</c:v>
                </c:pt>
                <c:pt idx="1585">
                  <c:v>0.15535512905364887</c:v>
                </c:pt>
                <c:pt idx="1586">
                  <c:v>0.15765740987830126</c:v>
                </c:pt>
                <c:pt idx="1587">
                  <c:v>0.1558380879172804</c:v>
                </c:pt>
                <c:pt idx="1588">
                  <c:v>0.15145536891083053</c:v>
                </c:pt>
                <c:pt idx="1589">
                  <c:v>0.14999853145954634</c:v>
                </c:pt>
                <c:pt idx="1590">
                  <c:v>0.14644533410568555</c:v>
                </c:pt>
                <c:pt idx="1591">
                  <c:v>0.14622083784270079</c:v>
                </c:pt>
                <c:pt idx="1592">
                  <c:v>0.14055535886548443</c:v>
                </c:pt>
                <c:pt idx="1593">
                  <c:v>0.13331787532334868</c:v>
                </c:pt>
                <c:pt idx="1594">
                  <c:v>0.12943615979741327</c:v>
                </c:pt>
                <c:pt idx="1595">
                  <c:v>0.12564625952797046</c:v>
                </c:pt>
                <c:pt idx="1596">
                  <c:v>0.11518993476833425</c:v>
                </c:pt>
                <c:pt idx="1597">
                  <c:v>0.10873579988852834</c:v>
                </c:pt>
                <c:pt idx="1598">
                  <c:v>9.9383381102907134E-2</c:v>
                </c:pt>
                <c:pt idx="1599">
                  <c:v>9.1902295232851705E-2</c:v>
                </c:pt>
                <c:pt idx="1600">
                  <c:v>8.2109906229702406E-2</c:v>
                </c:pt>
                <c:pt idx="1601">
                  <c:v>7.3152876843427889E-2</c:v>
                </c:pt>
                <c:pt idx="1602">
                  <c:v>6.5680282557787975E-2</c:v>
                </c:pt>
                <c:pt idx="1603">
                  <c:v>5.5216527661788202E-2</c:v>
                </c:pt>
                <c:pt idx="1604">
                  <c:v>4.7403845420307504E-2</c:v>
                </c:pt>
                <c:pt idx="1605">
                  <c:v>4.0170395380769088E-2</c:v>
                </c:pt>
                <c:pt idx="1606">
                  <c:v>3.4427324550956116E-2</c:v>
                </c:pt>
                <c:pt idx="1607">
                  <c:v>3.1625473200659317E-2</c:v>
                </c:pt>
                <c:pt idx="1608">
                  <c:v>2.890147906497214E-2</c:v>
                </c:pt>
                <c:pt idx="1609">
                  <c:v>2.8330154651016789E-2</c:v>
                </c:pt>
                <c:pt idx="1610">
                  <c:v>2.9039042732503236E-2</c:v>
                </c:pt>
                <c:pt idx="1611">
                  <c:v>3.0909897996445661E-2</c:v>
                </c:pt>
                <c:pt idx="1612">
                  <c:v>3.3645674205509346E-2</c:v>
                </c:pt>
                <c:pt idx="1613">
                  <c:v>3.8115431952218115E-2</c:v>
                </c:pt>
                <c:pt idx="1614">
                  <c:v>4.24728354226293E-2</c:v>
                </c:pt>
                <c:pt idx="1615">
                  <c:v>4.663917824369173E-2</c:v>
                </c:pt>
                <c:pt idx="1616">
                  <c:v>5.0704524282612309E-2</c:v>
                </c:pt>
                <c:pt idx="1617">
                  <c:v>5.5608732716979102E-2</c:v>
                </c:pt>
                <c:pt idx="1618">
                  <c:v>6.1108625798093202E-2</c:v>
                </c:pt>
                <c:pt idx="1619">
                  <c:v>6.5340619181167972E-2</c:v>
                </c:pt>
                <c:pt idx="1620">
                  <c:v>6.7835022103221065E-2</c:v>
                </c:pt>
                <c:pt idx="1621">
                  <c:v>7.290396727524856E-2</c:v>
                </c:pt>
                <c:pt idx="1622">
                  <c:v>7.6368002992746556E-2</c:v>
                </c:pt>
                <c:pt idx="1623">
                  <c:v>8.0422203827121799E-2</c:v>
                </c:pt>
                <c:pt idx="1624">
                  <c:v>8.2777026330345102E-2</c:v>
                </c:pt>
                <c:pt idx="1625">
                  <c:v>8.8078959349772876E-2</c:v>
                </c:pt>
                <c:pt idx="1626">
                  <c:v>8.707270659653614E-2</c:v>
                </c:pt>
                <c:pt idx="1627">
                  <c:v>9.086738338221266E-2</c:v>
                </c:pt>
                <c:pt idx="1628">
                  <c:v>9.4213598365945589E-2</c:v>
                </c:pt>
                <c:pt idx="1629">
                  <c:v>9.2414974641937514E-2</c:v>
                </c:pt>
                <c:pt idx="1630">
                  <c:v>9.5832306645150259E-2</c:v>
                </c:pt>
                <c:pt idx="1631">
                  <c:v>9.6616716755532059E-2</c:v>
                </c:pt>
                <c:pt idx="1632">
                  <c:v>9.626537745034075E-2</c:v>
                </c:pt>
                <c:pt idx="1633">
                  <c:v>9.9644497323683759E-2</c:v>
                </c:pt>
                <c:pt idx="1634">
                  <c:v>0.10030524873601485</c:v>
                </c:pt>
                <c:pt idx="1635">
                  <c:v>9.8784724401614385E-2</c:v>
                </c:pt>
                <c:pt idx="1636">
                  <c:v>0.10194837032041407</c:v>
                </c:pt>
                <c:pt idx="1637">
                  <c:v>0.10293817062884579</c:v>
                </c:pt>
                <c:pt idx="1638">
                  <c:v>0.10209113508339968</c:v>
                </c:pt>
                <c:pt idx="1639">
                  <c:v>0.10252367516456419</c:v>
                </c:pt>
                <c:pt idx="1640">
                  <c:v>0.10223602274248914</c:v>
                </c:pt>
                <c:pt idx="1641">
                  <c:v>0.10394866917429028</c:v>
                </c:pt>
                <c:pt idx="1642">
                  <c:v>0.10293551700871593</c:v>
                </c:pt>
                <c:pt idx="1643">
                  <c:v>0.10142879149899067</c:v>
                </c:pt>
                <c:pt idx="1644">
                  <c:v>0.10162675156067702</c:v>
                </c:pt>
                <c:pt idx="1645">
                  <c:v>0.10059077826198602</c:v>
                </c:pt>
                <c:pt idx="1646">
                  <c:v>0.10069692306717978</c:v>
                </c:pt>
                <c:pt idx="1647">
                  <c:v>0.10047454970029887</c:v>
                </c:pt>
                <c:pt idx="1648">
                  <c:v>0.10008977478147155</c:v>
                </c:pt>
                <c:pt idx="1649">
                  <c:v>9.8278413680840213E-2</c:v>
                </c:pt>
                <c:pt idx="1650">
                  <c:v>9.8787908745770203E-2</c:v>
                </c:pt>
                <c:pt idx="1651">
                  <c:v>9.5728815460086367E-2</c:v>
                </c:pt>
                <c:pt idx="1652">
                  <c:v>9.4115414421141366E-2</c:v>
                </c:pt>
                <c:pt idx="1653">
                  <c:v>9.122349920363769E-2</c:v>
                </c:pt>
                <c:pt idx="1654">
                  <c:v>8.9505545531576858E-2</c:v>
                </c:pt>
                <c:pt idx="1655">
                  <c:v>8.9066636762100693E-2</c:v>
                </c:pt>
                <c:pt idx="1656">
                  <c:v>8.4134618388773161E-2</c:v>
                </c:pt>
                <c:pt idx="1657">
                  <c:v>8.5182798340061427E-2</c:v>
                </c:pt>
                <c:pt idx="1658">
                  <c:v>8.1947504677755967E-2</c:v>
                </c:pt>
                <c:pt idx="1659">
                  <c:v>7.6025155271970749E-2</c:v>
                </c:pt>
                <c:pt idx="1660">
                  <c:v>7.7414060047930944E-2</c:v>
                </c:pt>
                <c:pt idx="1661">
                  <c:v>7.5837278966777819E-2</c:v>
                </c:pt>
                <c:pt idx="1662">
                  <c:v>7.0676518538257738E-2</c:v>
                </c:pt>
                <c:pt idx="1663">
                  <c:v>7.0230179632418024E-2</c:v>
                </c:pt>
                <c:pt idx="1664">
                  <c:v>6.7042120408423764E-2</c:v>
                </c:pt>
                <c:pt idx="1665">
                  <c:v>6.5800226187656907E-2</c:v>
                </c:pt>
                <c:pt idx="1666">
                  <c:v>5.9568995398757874E-2</c:v>
                </c:pt>
                <c:pt idx="1667">
                  <c:v>5.6868140830602924E-2</c:v>
                </c:pt>
                <c:pt idx="1668">
                  <c:v>5.6213758106583474E-2</c:v>
                </c:pt>
                <c:pt idx="1669">
                  <c:v>5.3821784921542333E-2</c:v>
                </c:pt>
                <c:pt idx="1670">
                  <c:v>4.9913639339113705E-2</c:v>
                </c:pt>
                <c:pt idx="1671">
                  <c:v>4.8966774604382854E-2</c:v>
                </c:pt>
                <c:pt idx="1672">
                  <c:v>4.5638126585909496E-2</c:v>
                </c:pt>
                <c:pt idx="1673">
                  <c:v>4.3090120537233552E-2</c:v>
                </c:pt>
                <c:pt idx="1674">
                  <c:v>4.1130634360954342E-2</c:v>
                </c:pt>
                <c:pt idx="1675">
                  <c:v>3.765768247982007E-2</c:v>
                </c:pt>
                <c:pt idx="1676">
                  <c:v>3.4550877104201634E-2</c:v>
                </c:pt>
                <c:pt idx="1677">
                  <c:v>3.3619881017847263E-2</c:v>
                </c:pt>
                <c:pt idx="1678">
                  <c:v>3.2357606994483201E-2</c:v>
                </c:pt>
                <c:pt idx="1679">
                  <c:v>2.8779200249388941E-2</c:v>
                </c:pt>
                <c:pt idx="1680">
                  <c:v>2.802604978413669E-2</c:v>
                </c:pt>
                <c:pt idx="1681">
                  <c:v>2.5348918579942557E-2</c:v>
                </c:pt>
                <c:pt idx="1682">
                  <c:v>2.4061169803331992E-2</c:v>
                </c:pt>
                <c:pt idx="1683">
                  <c:v>2.2901697023798077E-2</c:v>
                </c:pt>
                <c:pt idx="1684">
                  <c:v>2.1224131450113471E-2</c:v>
                </c:pt>
                <c:pt idx="1685">
                  <c:v>2.0731619554014473E-2</c:v>
                </c:pt>
                <c:pt idx="1686">
                  <c:v>1.9866910898503599E-2</c:v>
                </c:pt>
                <c:pt idx="1687">
                  <c:v>1.7392516272229524E-2</c:v>
                </c:pt>
                <c:pt idx="1688">
                  <c:v>1.6927761242688695E-2</c:v>
                </c:pt>
                <c:pt idx="1689">
                  <c:v>1.9018070891369192E-2</c:v>
                </c:pt>
                <c:pt idx="1690">
                  <c:v>2.1583007036473534E-2</c:v>
                </c:pt>
                <c:pt idx="1691">
                  <c:v>2.3066539906263971E-2</c:v>
                </c:pt>
                <c:pt idx="1692">
                  <c:v>2.615248782766183E-2</c:v>
                </c:pt>
                <c:pt idx="1693">
                  <c:v>2.8269227532835575E-2</c:v>
                </c:pt>
                <c:pt idx="1694">
                  <c:v>2.9280362947111227E-2</c:v>
                </c:pt>
                <c:pt idx="1695">
                  <c:v>3.0630047217552341E-2</c:v>
                </c:pt>
                <c:pt idx="1696">
                  <c:v>3.1398217172739502E-2</c:v>
                </c:pt>
                <c:pt idx="1697">
                  <c:v>3.2287816785068313E-2</c:v>
                </c:pt>
                <c:pt idx="1698">
                  <c:v>3.260688806948072E-2</c:v>
                </c:pt>
                <c:pt idx="1699">
                  <c:v>3.3223589387656405E-2</c:v>
                </c:pt>
                <c:pt idx="1700">
                  <c:v>3.4112499058751453E-2</c:v>
                </c:pt>
                <c:pt idx="1701">
                  <c:v>3.5223941313935199E-2</c:v>
                </c:pt>
                <c:pt idx="1702">
                  <c:v>3.5276429920103505E-2</c:v>
                </c:pt>
                <c:pt idx="1703">
                  <c:v>3.6248557118470463E-2</c:v>
                </c:pt>
                <c:pt idx="1704">
                  <c:v>3.5132975215884155E-2</c:v>
                </c:pt>
                <c:pt idx="1705">
                  <c:v>3.6901931466840579E-2</c:v>
                </c:pt>
                <c:pt idx="1706">
                  <c:v>3.6545337993792178E-2</c:v>
                </c:pt>
                <c:pt idx="1707">
                  <c:v>3.7701785646378071E-2</c:v>
                </c:pt>
                <c:pt idx="1708">
                  <c:v>3.9009011994741688E-2</c:v>
                </c:pt>
                <c:pt idx="1709">
                  <c:v>3.9028808000910319E-2</c:v>
                </c:pt>
                <c:pt idx="1710">
                  <c:v>4.0829819983035261E-2</c:v>
                </c:pt>
                <c:pt idx="1711">
                  <c:v>4.0142267007392742E-2</c:v>
                </c:pt>
                <c:pt idx="1712">
                  <c:v>4.1436649834327918E-2</c:v>
                </c:pt>
                <c:pt idx="1713">
                  <c:v>4.1919980204777656E-2</c:v>
                </c:pt>
                <c:pt idx="1714">
                  <c:v>4.0700960189530046E-2</c:v>
                </c:pt>
                <c:pt idx="1715">
                  <c:v>3.7392479684043488E-2</c:v>
                </c:pt>
                <c:pt idx="1716">
                  <c:v>4.3545694041125113E-2</c:v>
                </c:pt>
                <c:pt idx="1717">
                  <c:v>4.4588513679751106E-2</c:v>
                </c:pt>
                <c:pt idx="1718">
                  <c:v>4.5811461052790887E-2</c:v>
                </c:pt>
                <c:pt idx="1719">
                  <c:v>4.8572871232308856E-2</c:v>
                </c:pt>
                <c:pt idx="1720">
                  <c:v>4.9678953174830315E-2</c:v>
                </c:pt>
                <c:pt idx="1721">
                  <c:v>4.4851222072605633E-2</c:v>
                </c:pt>
                <c:pt idx="1722">
                  <c:v>3.5357949130492304E-2</c:v>
                </c:pt>
                <c:pt idx="1723">
                  <c:v>4.5069827298902153E-2</c:v>
                </c:pt>
                <c:pt idx="1724">
                  <c:v>5.22788109608434E-2</c:v>
                </c:pt>
                <c:pt idx="1725">
                  <c:v>5.7237524752677175E-2</c:v>
                </c:pt>
                <c:pt idx="1726">
                  <c:v>6.1437674694193832E-2</c:v>
                </c:pt>
                <c:pt idx="1727">
                  <c:v>6.4453248609748229E-2</c:v>
                </c:pt>
                <c:pt idx="1728">
                  <c:v>7.0154816820730451E-2</c:v>
                </c:pt>
                <c:pt idx="1729">
                  <c:v>7.4928679434319315E-2</c:v>
                </c:pt>
                <c:pt idx="1730">
                  <c:v>7.941966614206683E-2</c:v>
                </c:pt>
                <c:pt idx="1731">
                  <c:v>8.5223664090061019E-2</c:v>
                </c:pt>
                <c:pt idx="1732">
                  <c:v>8.989032045040421E-2</c:v>
                </c:pt>
                <c:pt idx="1733">
                  <c:v>9.3496059482835861E-2</c:v>
                </c:pt>
                <c:pt idx="1734">
                  <c:v>7.3558880723293973E-2</c:v>
                </c:pt>
                <c:pt idx="1735">
                  <c:v>6.8483566862954884E-2</c:v>
                </c:pt>
                <c:pt idx="1736">
                  <c:v>7.2034641320711745E-2</c:v>
                </c:pt>
                <c:pt idx="1737">
                  <c:v>7.7681544957019205E-2</c:v>
                </c:pt>
                <c:pt idx="1738">
                  <c:v>7.9479107232975327E-2</c:v>
                </c:pt>
                <c:pt idx="1739">
                  <c:v>8.2329625976453463E-2</c:v>
                </c:pt>
                <c:pt idx="1740">
                  <c:v>8.5784108661484018E-2</c:v>
                </c:pt>
                <c:pt idx="1741">
                  <c:v>8.6202849917973362E-2</c:v>
                </c:pt>
                <c:pt idx="1742">
                  <c:v>8.7362481914715046E-2</c:v>
                </c:pt>
                <c:pt idx="1743">
                  <c:v>9.2689358963363361E-2</c:v>
                </c:pt>
                <c:pt idx="1744">
                  <c:v>9.2055674476356694E-2</c:v>
                </c:pt>
                <c:pt idx="1745">
                  <c:v>9.4311251586723835E-2</c:v>
                </c:pt>
                <c:pt idx="1746">
                  <c:v>9.5044712190612654E-2</c:v>
                </c:pt>
                <c:pt idx="1747">
                  <c:v>9.2355002827003055E-2</c:v>
                </c:pt>
                <c:pt idx="1748">
                  <c:v>9.1290370430909748E-2</c:v>
                </c:pt>
                <c:pt idx="1749">
                  <c:v>6.4707465418187254E-2</c:v>
                </c:pt>
                <c:pt idx="1750">
                  <c:v>7.3505277596671137E-2</c:v>
                </c:pt>
                <c:pt idx="1751">
                  <c:v>8.073214665828754E-2</c:v>
                </c:pt>
                <c:pt idx="1752">
                  <c:v>8.2756328093332332E-2</c:v>
                </c:pt>
                <c:pt idx="1753">
                  <c:v>8.6589217008878602E-2</c:v>
                </c:pt>
                <c:pt idx="1754">
                  <c:v>8.9210462973138241E-2</c:v>
                </c:pt>
                <c:pt idx="1755">
                  <c:v>9.4649322791265922E-2</c:v>
                </c:pt>
                <c:pt idx="1756">
                  <c:v>9.9861032726278998E-2</c:v>
                </c:pt>
                <c:pt idx="1757">
                  <c:v>9.9693323934072889E-2</c:v>
                </c:pt>
                <c:pt idx="1758">
                  <c:v>0.10022776302822342</c:v>
                </c:pt>
                <c:pt idx="1759">
                  <c:v>0.10250191547949948</c:v>
                </c:pt>
                <c:pt idx="1760">
                  <c:v>0.1006236831515961</c:v>
                </c:pt>
                <c:pt idx="1761">
                  <c:v>0.10433662843727344</c:v>
                </c:pt>
                <c:pt idx="1762">
                  <c:v>0.10161295273600184</c:v>
                </c:pt>
                <c:pt idx="1763">
                  <c:v>9.976497167757864E-2</c:v>
                </c:pt>
                <c:pt idx="1764">
                  <c:v>0.10053823658341512</c:v>
                </c:pt>
                <c:pt idx="1765">
                  <c:v>9.8501317771747074E-2</c:v>
                </c:pt>
                <c:pt idx="1766">
                  <c:v>9.4716194018537994E-2</c:v>
                </c:pt>
                <c:pt idx="1767">
                  <c:v>9.0232106723128064E-2</c:v>
                </c:pt>
                <c:pt idx="1768">
                  <c:v>9.309854718738525E-2</c:v>
                </c:pt>
                <c:pt idx="1769">
                  <c:v>9.3944521284779439E-2</c:v>
                </c:pt>
                <c:pt idx="1770">
                  <c:v>9.3589466911406335E-2</c:v>
                </c:pt>
                <c:pt idx="1771">
                  <c:v>9.0082442547804897E-2</c:v>
                </c:pt>
                <c:pt idx="1772">
                  <c:v>8.394196556734651E-2</c:v>
                </c:pt>
                <c:pt idx="1773">
                  <c:v>8.2617278398528518E-2</c:v>
                </c:pt>
                <c:pt idx="1774">
                  <c:v>8.8997642638724783E-2</c:v>
                </c:pt>
                <c:pt idx="1775">
                  <c:v>8.9820264878976319E-2</c:v>
                </c:pt>
                <c:pt idx="1776">
                  <c:v>8.7094466281600849E-2</c:v>
                </c:pt>
                <c:pt idx="1777">
                  <c:v>6.8233595846723602E-2</c:v>
                </c:pt>
                <c:pt idx="1778">
                  <c:v>7.9897848489464685E-2</c:v>
                </c:pt>
                <c:pt idx="1779">
                  <c:v>8.054851614530234E-2</c:v>
                </c:pt>
                <c:pt idx="1780">
                  <c:v>7.9885641836867388E-2</c:v>
                </c:pt>
                <c:pt idx="1781">
                  <c:v>7.5388817164834213E-2</c:v>
                </c:pt>
                <c:pt idx="1782">
                  <c:v>7.0696155327218582E-2</c:v>
                </c:pt>
                <c:pt idx="1783">
                  <c:v>6.8993061927884874E-2</c:v>
                </c:pt>
                <c:pt idx="1784">
                  <c:v>6.8897000879184531E-2</c:v>
                </c:pt>
                <c:pt idx="1785">
                  <c:v>7.2891229898625301E-2</c:v>
                </c:pt>
                <c:pt idx="1786">
                  <c:v>7.1788916096688221E-2</c:v>
                </c:pt>
                <c:pt idx="1787">
                  <c:v>7.7572746531695602E-2</c:v>
                </c:pt>
                <c:pt idx="1788">
                  <c:v>7.7815287411563322E-2</c:v>
                </c:pt>
                <c:pt idx="1789">
                  <c:v>8.3888893164749623E-2</c:v>
                </c:pt>
                <c:pt idx="1790">
                  <c:v>8.4913721258895278E-2</c:v>
                </c:pt>
                <c:pt idx="1791">
                  <c:v>7.7470316794683636E-2</c:v>
                </c:pt>
                <c:pt idx="1792">
                  <c:v>7.4825188249255409E-2</c:v>
                </c:pt>
                <c:pt idx="1793">
                  <c:v>7.5896189333660338E-2</c:v>
                </c:pt>
                <c:pt idx="1794">
                  <c:v>7.431728535640332E-2</c:v>
                </c:pt>
                <c:pt idx="1795">
                  <c:v>7.3710137070695084E-2</c:v>
                </c:pt>
                <c:pt idx="1796">
                  <c:v>7.2176344635645401E-2</c:v>
                </c:pt>
                <c:pt idx="1797">
                  <c:v>6.3347219739629368E-2</c:v>
                </c:pt>
                <c:pt idx="1798">
                  <c:v>6.6156342009081923E-2</c:v>
                </c:pt>
                <c:pt idx="1799">
                  <c:v>7.9239750697263425E-2</c:v>
                </c:pt>
                <c:pt idx="1800">
                  <c:v>7.5024209758993696E-2</c:v>
                </c:pt>
                <c:pt idx="1801">
                  <c:v>7.2965531262260935E-2</c:v>
                </c:pt>
                <c:pt idx="1802">
                  <c:v>6.4620957401954351E-2</c:v>
                </c:pt>
                <c:pt idx="1803">
                  <c:v>6.1919041385747477E-2</c:v>
                </c:pt>
                <c:pt idx="1804">
                  <c:v>6.2682222535090537E-2</c:v>
                </c:pt>
                <c:pt idx="1805">
                  <c:v>5.6932358437745148E-2</c:v>
                </c:pt>
                <c:pt idx="1806">
                  <c:v>5.5133203989711103E-2</c:v>
                </c:pt>
                <c:pt idx="1807">
                  <c:v>5.7654143113062641E-2</c:v>
                </c:pt>
                <c:pt idx="1808">
                  <c:v>5.600412211632582E-2</c:v>
                </c:pt>
                <c:pt idx="1809">
                  <c:v>5.7725790856568419E-2</c:v>
                </c:pt>
                <c:pt idx="1810">
                  <c:v>5.9040394268893001E-2</c:v>
                </c:pt>
                <c:pt idx="1811">
                  <c:v>5.9480895210447055E-2</c:v>
                </c:pt>
                <c:pt idx="1812">
                  <c:v>6.2987388850022558E-2</c:v>
                </c:pt>
                <c:pt idx="1813">
                  <c:v>6.4572130791565235E-2</c:v>
                </c:pt>
                <c:pt idx="1814">
                  <c:v>6.6007208557784719E-2</c:v>
                </c:pt>
                <c:pt idx="1815">
                  <c:v>6.6647261733103022E-2</c:v>
                </c:pt>
                <c:pt idx="1816">
                  <c:v>6.6735361921413827E-2</c:v>
                </c:pt>
                <c:pt idx="1817">
                  <c:v>6.5178748353247509E-2</c:v>
                </c:pt>
                <c:pt idx="1818">
                  <c:v>6.5599612505840718E-2</c:v>
                </c:pt>
                <c:pt idx="1819">
                  <c:v>6.5971119324018848E-2</c:v>
                </c:pt>
                <c:pt idx="1820">
                  <c:v>6.6474245700637202E-2</c:v>
                </c:pt>
                <c:pt idx="1821">
                  <c:v>6.4031323009103081E-2</c:v>
                </c:pt>
                <c:pt idx="1822">
                  <c:v>6.0798152242901492E-2</c:v>
                </c:pt>
                <c:pt idx="1823">
                  <c:v>5.9192712064346037E-2</c:v>
                </c:pt>
                <c:pt idx="1824">
                  <c:v>5.8746903882532286E-2</c:v>
                </c:pt>
                <c:pt idx="1825">
                  <c:v>5.6618169814371656E-2</c:v>
                </c:pt>
                <c:pt idx="1826">
                  <c:v>5.5828452463730152E-2</c:v>
                </c:pt>
                <c:pt idx="1827">
                  <c:v>5.7229563892287651E-2</c:v>
                </c:pt>
                <c:pt idx="1828">
                  <c:v>5.2573999664087233E-2</c:v>
                </c:pt>
                <c:pt idx="1829">
                  <c:v>5.465608309036521E-2</c:v>
                </c:pt>
                <c:pt idx="1830">
                  <c:v>5.8136571252668238E-2</c:v>
                </c:pt>
                <c:pt idx="1831">
                  <c:v>5.6724845343591374E-2</c:v>
                </c:pt>
                <c:pt idx="1832">
                  <c:v>5.9947401629273596E-2</c:v>
                </c:pt>
                <c:pt idx="1833">
                  <c:v>6.0799744414979387E-2</c:v>
                </c:pt>
                <c:pt idx="1834">
                  <c:v>5.9635866626029946E-2</c:v>
                </c:pt>
                <c:pt idx="1835">
                  <c:v>5.987097736953409E-2</c:v>
                </c:pt>
                <c:pt idx="1836">
                  <c:v>6.1043346742899039E-2</c:v>
                </c:pt>
                <c:pt idx="1837">
                  <c:v>6.2251274626003911E-2</c:v>
                </c:pt>
                <c:pt idx="1838">
                  <c:v>6.1476948272115514E-2</c:v>
                </c:pt>
                <c:pt idx="1839">
                  <c:v>5.8080314505915547E-2</c:v>
                </c:pt>
                <c:pt idx="1840">
                  <c:v>5.4072286661799585E-2</c:v>
                </c:pt>
                <c:pt idx="1841">
                  <c:v>4.8905529051786058E-2</c:v>
                </c:pt>
                <c:pt idx="1842">
                  <c:v>4.6319470090448164E-2</c:v>
                </c:pt>
                <c:pt idx="1843">
                  <c:v>4.4755797892736447E-2</c:v>
                </c:pt>
                <c:pt idx="1844">
                  <c:v>4.8495544741725211E-2</c:v>
                </c:pt>
                <c:pt idx="1845">
                  <c:v>5.0175445501124079E-2</c:v>
                </c:pt>
                <c:pt idx="1846">
                  <c:v>5.0190730353071977E-2</c:v>
                </c:pt>
                <c:pt idx="1847">
                  <c:v>5.1015422417024815E-2</c:v>
                </c:pt>
                <c:pt idx="1848">
                  <c:v>5.0032415376125496E-2</c:v>
                </c:pt>
                <c:pt idx="1849">
                  <c:v>5.224181949623339E-2</c:v>
                </c:pt>
                <c:pt idx="1850">
                  <c:v>5.4293598580628558E-2</c:v>
                </c:pt>
                <c:pt idx="1851">
                  <c:v>5.0610267695600272E-2</c:v>
                </c:pt>
                <c:pt idx="1852">
                  <c:v>4.2333414221007303E-2</c:v>
                </c:pt>
                <c:pt idx="1853">
                  <c:v>4.3399532644373316E-2</c:v>
                </c:pt>
                <c:pt idx="1854">
                  <c:v>4.858481252289315E-2</c:v>
                </c:pt>
                <c:pt idx="1855">
                  <c:v>4.7686721326148838E-2</c:v>
                </c:pt>
                <c:pt idx="1856">
                  <c:v>4.9144089501459015E-2</c:v>
                </c:pt>
                <c:pt idx="1857">
                  <c:v>4.9383339892365721E-2</c:v>
                </c:pt>
                <c:pt idx="1858">
                  <c:v>4.4342682310922379E-2</c:v>
                </c:pt>
                <c:pt idx="1859">
                  <c:v>4.1336979862250996E-2</c:v>
                </c:pt>
                <c:pt idx="1860">
                  <c:v>4.1185033573616144E-2</c:v>
                </c:pt>
                <c:pt idx="1861">
                  <c:v>3.805715845416674E-2</c:v>
                </c:pt>
                <c:pt idx="1862">
                  <c:v>3.6906973345087281E-2</c:v>
                </c:pt>
                <c:pt idx="1863">
                  <c:v>3.7917949542155147E-2</c:v>
                </c:pt>
                <c:pt idx="1864">
                  <c:v>3.83822269200726E-2</c:v>
                </c:pt>
                <c:pt idx="1865">
                  <c:v>3.6606265111973395E-2</c:v>
                </c:pt>
                <c:pt idx="1866">
                  <c:v>3.7492892669756778E-2</c:v>
                </c:pt>
                <c:pt idx="1867">
                  <c:v>3.7958443785336561E-2</c:v>
                </c:pt>
                <c:pt idx="1868">
                  <c:v>3.770098956033912E-2</c:v>
                </c:pt>
                <c:pt idx="1869">
                  <c:v>3.671538197171257E-2</c:v>
                </c:pt>
                <c:pt idx="1870">
                  <c:v>3.4820325692185967E-2</c:v>
                </c:pt>
                <c:pt idx="1871">
                  <c:v>3.5978312444447172E-2</c:v>
                </c:pt>
                <c:pt idx="1872">
                  <c:v>3.5628777600944156E-2</c:v>
                </c:pt>
                <c:pt idx="1873">
                  <c:v>3.5503792092828515E-2</c:v>
                </c:pt>
                <c:pt idx="1874">
                  <c:v>3.619134506847102E-2</c:v>
                </c:pt>
                <c:pt idx="1875">
                  <c:v>3.4590203754525921E-2</c:v>
                </c:pt>
                <c:pt idx="1876">
                  <c:v>3.286041493668599E-2</c:v>
                </c:pt>
                <c:pt idx="1877">
                  <c:v>3.3359879317525182E-2</c:v>
                </c:pt>
                <c:pt idx="1878">
                  <c:v>3.13744938087787E-2</c:v>
                </c:pt>
                <c:pt idx="1879">
                  <c:v>3.2681189433116348E-2</c:v>
                </c:pt>
                <c:pt idx="1880">
                  <c:v>3.2258255456821851E-2</c:v>
                </c:pt>
                <c:pt idx="1881">
                  <c:v>3.0918654942874147E-2</c:v>
                </c:pt>
                <c:pt idx="1882">
                  <c:v>2.9759606742561003E-2</c:v>
                </c:pt>
                <c:pt idx="1883">
                  <c:v>3.0131378922752108E-2</c:v>
                </c:pt>
                <c:pt idx="1884">
                  <c:v>2.9449770056200454E-2</c:v>
                </c:pt>
                <c:pt idx="1885">
                  <c:v>2.5470878961110176E-2</c:v>
                </c:pt>
                <c:pt idx="1886">
                  <c:v>2.8555340855235322E-2</c:v>
                </c:pt>
                <c:pt idx="1887">
                  <c:v>2.8587502731209032E-2</c:v>
                </c:pt>
                <c:pt idx="1888">
                  <c:v>2.7136025592587109E-2</c:v>
                </c:pt>
                <c:pt idx="1889">
                  <c:v>2.3241148110807686E-2</c:v>
                </c:pt>
                <c:pt idx="1890">
                  <c:v>2.1605775097187595E-2</c:v>
                </c:pt>
                <c:pt idx="1891">
                  <c:v>2.5774612321172084E-2</c:v>
                </c:pt>
                <c:pt idx="1892">
                  <c:v>2.5407510512409505E-2</c:v>
                </c:pt>
                <c:pt idx="1893">
                  <c:v>2.308076331015993E-2</c:v>
                </c:pt>
                <c:pt idx="1894">
                  <c:v>2.2858814522499805E-2</c:v>
                </c:pt>
                <c:pt idx="1895">
                  <c:v>2.2128007538740842E-2</c:v>
                </c:pt>
                <c:pt idx="1896">
                  <c:v>2.1025322229985582E-2</c:v>
                </c:pt>
                <c:pt idx="1897">
                  <c:v>2.1711707612770956E-2</c:v>
                </c:pt>
                <c:pt idx="1898">
                  <c:v>2.0232898186811645E-2</c:v>
                </c:pt>
                <c:pt idx="1899">
                  <c:v>1.8922699783902607E-2</c:v>
                </c:pt>
                <c:pt idx="1900">
                  <c:v>1.9055805369615569E-2</c:v>
                </c:pt>
                <c:pt idx="1901">
                  <c:v>1.9206796355003677E-2</c:v>
                </c:pt>
                <c:pt idx="1902">
                  <c:v>1.6077063701463393E-2</c:v>
                </c:pt>
                <c:pt idx="1903">
                  <c:v>1.5973041792373518E-2</c:v>
                </c:pt>
                <c:pt idx="1904">
                  <c:v>1.5488490756664055E-2</c:v>
                </c:pt>
                <c:pt idx="1905">
                  <c:v>1.5616554464130312E-2</c:v>
                </c:pt>
                <c:pt idx="1906">
                  <c:v>1.3533568807008182E-2</c:v>
                </c:pt>
                <c:pt idx="1907">
                  <c:v>1.3363524829087798E-2</c:v>
                </c:pt>
                <c:pt idx="1908">
                  <c:v>1.4130367974210037E-2</c:v>
                </c:pt>
                <c:pt idx="1909">
                  <c:v>1.3663755410578316E-2</c:v>
                </c:pt>
                <c:pt idx="1910">
                  <c:v>1.357507142583894E-2</c:v>
                </c:pt>
                <c:pt idx="1911">
                  <c:v>1.2868359312858959E-2</c:v>
                </c:pt>
                <c:pt idx="1912">
                  <c:v>1.3308170313179258E-2</c:v>
                </c:pt>
                <c:pt idx="1913">
                  <c:v>1.1554445841768136E-2</c:v>
                </c:pt>
                <c:pt idx="1914">
                  <c:v>1.3298723425517016E-2</c:v>
                </c:pt>
                <c:pt idx="1915">
                  <c:v>1.2294275133968569E-2</c:v>
                </c:pt>
                <c:pt idx="1916">
                  <c:v>1.1504929290145254E-2</c:v>
                </c:pt>
                <c:pt idx="1917">
                  <c:v>1.1059811049565268E-2</c:v>
                </c:pt>
                <c:pt idx="1918">
                  <c:v>1.0457014700869967E-2</c:v>
                </c:pt>
                <c:pt idx="1919">
                  <c:v>9.5375353258791169E-3</c:v>
                </c:pt>
                <c:pt idx="1920">
                  <c:v>1.0422199204766419E-2</c:v>
                </c:pt>
                <c:pt idx="1921">
                  <c:v>9.1712296031554886E-3</c:v>
                </c:pt>
                <c:pt idx="1922">
                  <c:v>9.2020115966616762E-3</c:v>
                </c:pt>
                <c:pt idx="1923">
                  <c:v>8.9106971788074328E-3</c:v>
                </c:pt>
                <c:pt idx="1924">
                  <c:v>8.6575418184203414E-3</c:v>
                </c:pt>
                <c:pt idx="1925">
                  <c:v>7.9343241882327328E-3</c:v>
                </c:pt>
                <c:pt idx="1926">
                  <c:v>7.4313039564195575E-3</c:v>
                </c:pt>
                <c:pt idx="1927">
                  <c:v>6.6225866856483842E-3</c:v>
                </c:pt>
                <c:pt idx="1928">
                  <c:v>6.8901777395418244E-3</c:v>
                </c:pt>
                <c:pt idx="1929">
                  <c:v>6.2507083606520844E-3</c:v>
                </c:pt>
                <c:pt idx="1930">
                  <c:v>6.6390391304534148E-3</c:v>
                </c:pt>
                <c:pt idx="1931">
                  <c:v>6.1474294651985666E-3</c:v>
                </c:pt>
                <c:pt idx="1932">
                  <c:v>6.0403824291606709E-3</c:v>
                </c:pt>
                <c:pt idx="1933">
                  <c:v>6.0319969895503657E-3</c:v>
                </c:pt>
                <c:pt idx="1934">
                  <c:v>5.6352277077361315E-3</c:v>
                </c:pt>
                <c:pt idx="1935">
                  <c:v>5.2329760467336398E-3</c:v>
                </c:pt>
                <c:pt idx="1936">
                  <c:v>5.0650815011184279E-3</c:v>
                </c:pt>
                <c:pt idx="1937">
                  <c:v>5.4132258476734052E-3</c:v>
                </c:pt>
                <c:pt idx="1938">
                  <c:v>4.0225431462262056E-3</c:v>
                </c:pt>
                <c:pt idx="1939">
                  <c:v>4.5680319145974006E-3</c:v>
                </c:pt>
                <c:pt idx="1940">
                  <c:v>3.8891297405781824E-3</c:v>
                </c:pt>
                <c:pt idx="1941">
                  <c:v>3.5002788612314025E-3</c:v>
                </c:pt>
                <c:pt idx="1942">
                  <c:v>4.2891788968729026E-3</c:v>
                </c:pt>
                <c:pt idx="1943">
                  <c:v>3.6384581686326246E-3</c:v>
                </c:pt>
                <c:pt idx="1944">
                  <c:v>3.0857303245472156E-3</c:v>
                </c:pt>
                <c:pt idx="1945">
                  <c:v>3.1655883687347328E-3</c:v>
                </c:pt>
                <c:pt idx="1946">
                  <c:v>2.8184895485109142E-3</c:v>
                </c:pt>
                <c:pt idx="1947">
                  <c:v>2.510250341468527E-3</c:v>
                </c:pt>
                <c:pt idx="1948">
                  <c:v>2.475270320916927E-3</c:v>
                </c:pt>
                <c:pt idx="1949">
                  <c:v>1.6783881959248565E-3</c:v>
                </c:pt>
                <c:pt idx="1950">
                  <c:v>2.7313234344858075E-3</c:v>
                </c:pt>
                <c:pt idx="1951">
                  <c:v>2.1162089811477725E-3</c:v>
                </c:pt>
                <c:pt idx="1952">
                  <c:v>2.3524077089051624E-3</c:v>
                </c:pt>
                <c:pt idx="1953">
                  <c:v>1.9116944777407168E-3</c:v>
                </c:pt>
                <c:pt idx="1954">
                  <c:v>1.8844683352085203E-3</c:v>
                </c:pt>
                <c:pt idx="1955">
                  <c:v>1.9013029013122487E-3</c:v>
                </c:pt>
                <c:pt idx="1956">
                  <c:v>1.7077637707622268E-3</c:v>
                </c:pt>
                <c:pt idx="1957">
                  <c:v>1.7285150801776047E-3</c:v>
                </c:pt>
                <c:pt idx="1958">
                  <c:v>1.4683329336866874E-3</c:v>
                </c:pt>
                <c:pt idx="1959">
                  <c:v>1.3823131835576732E-3</c:v>
                </c:pt>
                <c:pt idx="1960">
                  <c:v>9.6773280343192842E-4</c:v>
                </c:pt>
                <c:pt idx="1961">
                  <c:v>8.9653086810796169E-4</c:v>
                </c:pt>
                <c:pt idx="1962">
                  <c:v>1.0332825278793281E-3</c:v>
                </c:pt>
                <c:pt idx="1963">
                  <c:v>7.1509755259028661E-4</c:v>
                </c:pt>
                <c:pt idx="1964">
                  <c:v>8.6154554031610199E-4</c:v>
                </c:pt>
                <c:pt idx="1965">
                  <c:v>3.5419725407115073E-4</c:v>
                </c:pt>
                <c:pt idx="1966">
                  <c:v>9.6826352745789715E-4</c:v>
                </c:pt>
                <c:pt idx="1967">
                  <c:v>5.9221901885774322E-4</c:v>
                </c:pt>
                <c:pt idx="1968">
                  <c:v>5.6740236340344476E-4</c:v>
                </c:pt>
                <c:pt idx="1969">
                  <c:v>6.3902357070792673E-4</c:v>
                </c:pt>
                <c:pt idx="1970">
                  <c:v>5.3135558755964749E-4</c:v>
                </c:pt>
                <c:pt idx="1971">
                  <c:v>4.3381434955087786E-4</c:v>
                </c:pt>
                <c:pt idx="1972">
                  <c:v>5.5734514311133691E-4</c:v>
                </c:pt>
                <c:pt idx="1973">
                  <c:v>2.2229800406921646E-4</c:v>
                </c:pt>
                <c:pt idx="1974">
                  <c:v>4.1308214620043484E-4</c:v>
                </c:pt>
                <c:pt idx="1975">
                  <c:v>3.8894322532729842E-4</c:v>
                </c:pt>
                <c:pt idx="1976">
                  <c:v>2.4975129648452767E-4</c:v>
                </c:pt>
                <c:pt idx="1977">
                  <c:v>2.1823053513419203E-4</c:v>
                </c:pt>
                <c:pt idx="1978">
                  <c:v>2.1695626674784105E-4</c:v>
                </c:pt>
                <c:pt idx="1979">
                  <c:v>3.0072946207492949E-4</c:v>
                </c:pt>
                <c:pt idx="1980">
                  <c:v>1.3354980172269702E-4</c:v>
                </c:pt>
                <c:pt idx="1981">
                  <c:v>1.9536959771558835E-4</c:v>
                </c:pt>
                <c:pt idx="1982">
                  <c:v>1.9268360342016052E-4</c:v>
                </c:pt>
                <c:pt idx="1983">
                  <c:v>1.6414391892369124E-4</c:v>
                </c:pt>
                <c:pt idx="1984">
                  <c:v>1.1017724634305946E-4</c:v>
                </c:pt>
                <c:pt idx="1985">
                  <c:v>1.0938328320021021E-4</c:v>
                </c:pt>
                <c:pt idx="1986">
                  <c:v>1.6443528641394811E-4</c:v>
                </c:pt>
                <c:pt idx="1987">
                  <c:v>1.3773986790772025E-4</c:v>
                </c:pt>
                <c:pt idx="1988">
                  <c:v>5.592557496048244E-5</c:v>
                </c:pt>
                <c:pt idx="1989">
                  <c:v>1.9612641017661977E-4</c:v>
                </c:pt>
                <c:pt idx="1990">
                  <c:v>1.9555216678052156E-4</c:v>
                </c:pt>
                <c:pt idx="1991">
                  <c:v>2.6950325255900646E-4</c:v>
                </c:pt>
                <c:pt idx="1992">
                  <c:v>1.0981104676514103E-4</c:v>
                </c:pt>
                <c:pt idx="1993">
                  <c:v>2.948251572860272E-5</c:v>
                </c:pt>
                <c:pt idx="1994">
                  <c:v>2.6953297310446073E-5</c:v>
                </c:pt>
                <c:pt idx="1995">
                  <c:v>1.375079415083719E-4</c:v>
                </c:pt>
                <c:pt idx="1996">
                  <c:v>8.1717170450485517E-5</c:v>
                </c:pt>
                <c:pt idx="1997">
                  <c:v>0</c:v>
                </c:pt>
                <c:pt idx="1998">
                  <c:v>2.6226417684479274E-5</c:v>
                </c:pt>
                <c:pt idx="1999">
                  <c:v>1.0919063037878356E-4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36-4DBC-B031-B4F2DC0B846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'!$I$3:$I$2002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'!$L$3:$L$2002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1.1943096782369989E-3</c:v>
                </c:pt>
                <c:pt idx="179">
                  <c:v>2.8110557462192009E-5</c:v>
                </c:pt>
                <c:pt idx="180">
                  <c:v>2.7879565558140378E-5</c:v>
                </c:pt>
                <c:pt idx="181">
                  <c:v>2.649499495648505E-5</c:v>
                </c:pt>
                <c:pt idx="182">
                  <c:v>3.2405080301182064E-5</c:v>
                </c:pt>
                <c:pt idx="183">
                  <c:v>3.6238375496855819E-5</c:v>
                </c:pt>
                <c:pt idx="184">
                  <c:v>2.6914370522679551E-5</c:v>
                </c:pt>
                <c:pt idx="185">
                  <c:v>2.699869933479063E-5</c:v>
                </c:pt>
                <c:pt idx="186">
                  <c:v>3.4775361017735764E-5</c:v>
                </c:pt>
                <c:pt idx="187">
                  <c:v>2.9275149864301443E-5</c:v>
                </c:pt>
                <c:pt idx="188">
                  <c:v>3.5229388657210999E-5</c:v>
                </c:pt>
                <c:pt idx="189">
                  <c:v>3.3910045487613519E-5</c:v>
                </c:pt>
                <c:pt idx="190">
                  <c:v>2.7665307909591491E-5</c:v>
                </c:pt>
                <c:pt idx="191">
                  <c:v>4.2052953941286684E-5</c:v>
                </c:pt>
                <c:pt idx="192">
                  <c:v>2.0314695769004035E-5</c:v>
                </c:pt>
                <c:pt idx="193">
                  <c:v>3.9829500700322879E-5</c:v>
                </c:pt>
                <c:pt idx="194">
                  <c:v>3.8624897317964258E-5</c:v>
                </c:pt>
                <c:pt idx="195">
                  <c:v>3.6685827790357486E-5</c:v>
                </c:pt>
                <c:pt idx="196">
                  <c:v>4.3006379107454814E-5</c:v>
                </c:pt>
                <c:pt idx="197">
                  <c:v>3.5035744718289266E-5</c:v>
                </c:pt>
                <c:pt idx="198">
                  <c:v>4.9885177297708525E-5</c:v>
                </c:pt>
                <c:pt idx="199">
                  <c:v>3.7294704827510367E-5</c:v>
                </c:pt>
                <c:pt idx="200">
                  <c:v>4.7586107578048623E-5</c:v>
                </c:pt>
                <c:pt idx="201">
                  <c:v>3.6054265809595774E-5</c:v>
                </c:pt>
                <c:pt idx="202">
                  <c:v>2.7944595729819013E-5</c:v>
                </c:pt>
                <c:pt idx="203">
                  <c:v>4.0539309298170117E-5</c:v>
                </c:pt>
                <c:pt idx="204">
                  <c:v>3.8988185183004178E-5</c:v>
                </c:pt>
                <c:pt idx="205">
                  <c:v>4.949032777199544E-5</c:v>
                </c:pt>
                <c:pt idx="206">
                  <c:v>6.9547763129783422E-5</c:v>
                </c:pt>
                <c:pt idx="207">
                  <c:v>4.3686598648420978E-5</c:v>
                </c:pt>
                <c:pt idx="208">
                  <c:v>6.0034881342516256E-5</c:v>
                </c:pt>
                <c:pt idx="209">
                  <c:v>5.1308082166389778E-5</c:v>
                </c:pt>
                <c:pt idx="210">
                  <c:v>4.4723201941154803E-5</c:v>
                </c:pt>
                <c:pt idx="211">
                  <c:v>6.0550388466844407E-5</c:v>
                </c:pt>
                <c:pt idx="212">
                  <c:v>5.1981397594083676E-5</c:v>
                </c:pt>
                <c:pt idx="213">
                  <c:v>6.8008145870071234E-5</c:v>
                </c:pt>
                <c:pt idx="214">
                  <c:v>5.9989840222597279E-5</c:v>
                </c:pt>
                <c:pt idx="215">
                  <c:v>6.1319703945752479E-5</c:v>
                </c:pt>
                <c:pt idx="216">
                  <c:v>4.1516405709843108E-5</c:v>
                </c:pt>
                <c:pt idx="217">
                  <c:v>6.9513900098019525E-5</c:v>
                </c:pt>
                <c:pt idx="218">
                  <c:v>7.7072260294642025E-5</c:v>
                </c:pt>
                <c:pt idx="219">
                  <c:v>6.4642555033497741E-5</c:v>
                </c:pt>
                <c:pt idx="220">
                  <c:v>7.3012970457856556E-5</c:v>
                </c:pt>
                <c:pt idx="221">
                  <c:v>7.1104805056325574E-5</c:v>
                </c:pt>
                <c:pt idx="222">
                  <c:v>8.5349305806176089E-5</c:v>
                </c:pt>
                <c:pt idx="223">
                  <c:v>9.3385364887778698E-5</c:v>
                </c:pt>
                <c:pt idx="224">
                  <c:v>6.7054391936604427E-5</c:v>
                </c:pt>
                <c:pt idx="225">
                  <c:v>7.3049463628009883E-5</c:v>
                </c:pt>
                <c:pt idx="226">
                  <c:v>1.0716367360810285E-4</c:v>
                </c:pt>
                <c:pt idx="227">
                  <c:v>5.9123209623280319E-5</c:v>
                </c:pt>
                <c:pt idx="228">
                  <c:v>9.6101311542163154E-5</c:v>
                </c:pt>
                <c:pt idx="229">
                  <c:v>1.0608959084331967E-4</c:v>
                </c:pt>
                <c:pt idx="230">
                  <c:v>7.7108753464795351E-5</c:v>
                </c:pt>
                <c:pt idx="231">
                  <c:v>9.2830734454907784E-5</c:v>
                </c:pt>
                <c:pt idx="232">
                  <c:v>8.5447278461182332E-5</c:v>
                </c:pt>
                <c:pt idx="233">
                  <c:v>1.056575906128559E-4</c:v>
                </c:pt>
                <c:pt idx="234">
                  <c:v>8.8253964890002082E-5</c:v>
                </c:pt>
                <c:pt idx="235">
                  <c:v>1.1551008901965812E-4</c:v>
                </c:pt>
                <c:pt idx="236">
                  <c:v>1.1671140472902995E-4</c:v>
                </c:pt>
                <c:pt idx="237">
                  <c:v>1.027680548247691E-4</c:v>
                </c:pt>
                <c:pt idx="238">
                  <c:v>1.1718318580263384E-4</c:v>
                </c:pt>
                <c:pt idx="239">
                  <c:v>1.0972181195912154E-4</c:v>
                </c:pt>
                <c:pt idx="240">
                  <c:v>1.3132609745719265E-4</c:v>
                </c:pt>
                <c:pt idx="241">
                  <c:v>1.0868751003747846E-4</c:v>
                </c:pt>
                <c:pt idx="242">
                  <c:v>1.222537638501549E-4</c:v>
                </c:pt>
                <c:pt idx="243">
                  <c:v>1.4946649069638533E-4</c:v>
                </c:pt>
                <c:pt idx="244">
                  <c:v>1.3326056424261789E-4</c:v>
                </c:pt>
                <c:pt idx="245">
                  <c:v>1.4481377588548489E-4</c:v>
                </c:pt>
                <c:pt idx="246">
                  <c:v>1.5759854982920208E-4</c:v>
                </c:pt>
                <c:pt idx="247">
                  <c:v>1.4350462450214642E-4</c:v>
                </c:pt>
                <c:pt idx="248">
                  <c:v>1.4619295470344186E-4</c:v>
                </c:pt>
                <c:pt idx="249">
                  <c:v>1.591552629884456E-4</c:v>
                </c:pt>
                <c:pt idx="250">
                  <c:v>1.4688402356526442E-4</c:v>
                </c:pt>
                <c:pt idx="251">
                  <c:v>2.1250104487204575E-4</c:v>
                </c:pt>
                <c:pt idx="252">
                  <c:v>1.4920742206502653E-4</c:v>
                </c:pt>
                <c:pt idx="253">
                  <c:v>1.9080108809005911E-4</c:v>
                </c:pt>
                <c:pt idx="254">
                  <c:v>1.8405642695766631E-4</c:v>
                </c:pt>
                <c:pt idx="255">
                  <c:v>1.9208097918381516E-4</c:v>
                </c:pt>
                <c:pt idx="256">
                  <c:v>1.8815845654328002E-4</c:v>
                </c:pt>
                <c:pt idx="257">
                  <c:v>2.0964438581382681E-4</c:v>
                </c:pt>
                <c:pt idx="258">
                  <c:v>1.7850190344649024E-4</c:v>
                </c:pt>
                <c:pt idx="259">
                  <c:v>1.2373518929800095E-4</c:v>
                </c:pt>
                <c:pt idx="260">
                  <c:v>1.9323002089269712E-4</c:v>
                </c:pt>
                <c:pt idx="261">
                  <c:v>2.1947913078650038E-4</c:v>
                </c:pt>
                <c:pt idx="262">
                  <c:v>1.8534815367417479E-4</c:v>
                </c:pt>
                <c:pt idx="263">
                  <c:v>2.2390236602292312E-4</c:v>
                </c:pt>
                <c:pt idx="264">
                  <c:v>2.0557030144860078E-4</c:v>
                </c:pt>
                <c:pt idx="265">
                  <c:v>1.6420249855776046E-4</c:v>
                </c:pt>
                <c:pt idx="266">
                  <c:v>1.9620996768792052E-4</c:v>
                </c:pt>
                <c:pt idx="267">
                  <c:v>2.2556625732153584E-4</c:v>
                </c:pt>
                <c:pt idx="268">
                  <c:v>2.1821403422118488E-4</c:v>
                </c:pt>
                <c:pt idx="269">
                  <c:v>2.666230463478262E-4</c:v>
                </c:pt>
                <c:pt idx="270">
                  <c:v>2.8145242412202603E-4</c:v>
                </c:pt>
                <c:pt idx="271">
                  <c:v>2.5729986329189658E-4</c:v>
                </c:pt>
                <c:pt idx="272">
                  <c:v>2.1589063572142276E-4</c:v>
                </c:pt>
                <c:pt idx="273">
                  <c:v>2.5050753090119542E-4</c:v>
                </c:pt>
                <c:pt idx="274">
                  <c:v>2.8406349400813196E-4</c:v>
                </c:pt>
                <c:pt idx="275">
                  <c:v>3.1634745643648087E-4</c:v>
                </c:pt>
                <c:pt idx="276">
                  <c:v>3.0587720427546137E-4</c:v>
                </c:pt>
                <c:pt idx="277">
                  <c:v>3.4532401984012232E-4</c:v>
                </c:pt>
                <c:pt idx="278">
                  <c:v>2.6321109932213901E-4</c:v>
                </c:pt>
                <c:pt idx="279">
                  <c:v>3.3665113850097917E-4</c:v>
                </c:pt>
                <c:pt idx="280">
                  <c:v>3.0441714870202945E-4</c:v>
                </c:pt>
                <c:pt idx="281">
                  <c:v>3.1630373038575663E-4</c:v>
                </c:pt>
                <c:pt idx="282">
                  <c:v>4.005898027480059E-4</c:v>
                </c:pt>
                <c:pt idx="283">
                  <c:v>3.5235964003184572E-4</c:v>
                </c:pt>
                <c:pt idx="284">
                  <c:v>3.5973717821419498E-4</c:v>
                </c:pt>
                <c:pt idx="285">
                  <c:v>3.6549389361405845E-4</c:v>
                </c:pt>
                <c:pt idx="286">
                  <c:v>4.1065994510653341E-4</c:v>
                </c:pt>
                <c:pt idx="287">
                  <c:v>3.758895155982778E-4</c:v>
                </c:pt>
                <c:pt idx="288">
                  <c:v>4.0525172304326933E-4</c:v>
                </c:pt>
                <c:pt idx="289">
                  <c:v>4.4169557810179932E-4</c:v>
                </c:pt>
                <c:pt idx="290">
                  <c:v>4.0496240782043213E-4</c:v>
                </c:pt>
                <c:pt idx="291">
                  <c:v>4.5606928440003057E-4</c:v>
                </c:pt>
                <c:pt idx="292">
                  <c:v>4.5354106387319163E-4</c:v>
                </c:pt>
                <c:pt idx="293">
                  <c:v>4.3756626083039528E-4</c:v>
                </c:pt>
                <c:pt idx="294">
                  <c:v>4.5329448839918262E-4</c:v>
                </c:pt>
                <c:pt idx="295">
                  <c:v>4.3007036642052181E-4</c:v>
                </c:pt>
                <c:pt idx="296">
                  <c:v>5.2715206204734472E-4</c:v>
                </c:pt>
                <c:pt idx="297">
                  <c:v>4.9392026349690519E-4</c:v>
                </c:pt>
                <c:pt idx="298">
                  <c:v>4.5401777645627571E-4</c:v>
                </c:pt>
                <c:pt idx="299">
                  <c:v>5.2462384152050573E-4</c:v>
                </c:pt>
                <c:pt idx="300">
                  <c:v>5.6416139685960202E-4</c:v>
                </c:pt>
                <c:pt idx="301">
                  <c:v>5.1630602886393545E-4</c:v>
                </c:pt>
                <c:pt idx="302">
                  <c:v>5.9089675358815091E-4</c:v>
                </c:pt>
                <c:pt idx="303">
                  <c:v>6.3214718655336304E-4</c:v>
                </c:pt>
                <c:pt idx="304">
                  <c:v>6.6390281993273527E-4</c:v>
                </c:pt>
                <c:pt idx="305">
                  <c:v>5.7676304741795519E-4</c:v>
                </c:pt>
                <c:pt idx="306">
                  <c:v>6.4754335915048495E-4</c:v>
                </c:pt>
                <c:pt idx="307">
                  <c:v>6.8626228391587126E-4</c:v>
                </c:pt>
                <c:pt idx="308">
                  <c:v>6.3477074959681875E-4</c:v>
                </c:pt>
                <c:pt idx="309">
                  <c:v>6.226918390433645E-4</c:v>
                </c:pt>
                <c:pt idx="310">
                  <c:v>6.3913020397729785E-4</c:v>
                </c:pt>
                <c:pt idx="311">
                  <c:v>7.7762671621867216E-4</c:v>
                </c:pt>
                <c:pt idx="312">
                  <c:v>8.4344921708712781E-4</c:v>
                </c:pt>
                <c:pt idx="313">
                  <c:v>7.3364422700144031E-4</c:v>
                </c:pt>
                <c:pt idx="314">
                  <c:v>8.3667332306136034E-4</c:v>
                </c:pt>
                <c:pt idx="315">
                  <c:v>8.7049690274942145E-4</c:v>
                </c:pt>
                <c:pt idx="316">
                  <c:v>7.8833795480962314E-4</c:v>
                </c:pt>
                <c:pt idx="317">
                  <c:v>7.7789959307657556E-4</c:v>
                </c:pt>
                <c:pt idx="318">
                  <c:v>8.8359170425579266E-4</c:v>
                </c:pt>
                <c:pt idx="319">
                  <c:v>8.7946238698438867E-4</c:v>
                </c:pt>
                <c:pt idx="320">
                  <c:v>9.6898243474160216E-4</c:v>
                </c:pt>
                <c:pt idx="321">
                  <c:v>9.7279942307926161E-4</c:v>
                </c:pt>
                <c:pt idx="322">
                  <c:v>9.2876104342125439E-4</c:v>
                </c:pt>
                <c:pt idx="323">
                  <c:v>1.0407293223322473E-3</c:v>
                </c:pt>
                <c:pt idx="324">
                  <c:v>1.0908104449399683E-3</c:v>
                </c:pt>
                <c:pt idx="325">
                  <c:v>1.0424553506503101E-3</c:v>
                </c:pt>
                <c:pt idx="326">
                  <c:v>1.1304532058146416E-3</c:v>
                </c:pt>
                <c:pt idx="327">
                  <c:v>1.1602296600559685E-3</c:v>
                </c:pt>
                <c:pt idx="328">
                  <c:v>1.0931019530117585E-3</c:v>
                </c:pt>
                <c:pt idx="329">
                  <c:v>1.1632050041090103E-3</c:v>
                </c:pt>
                <c:pt idx="330">
                  <c:v>1.2372072353685909E-3</c:v>
                </c:pt>
                <c:pt idx="331">
                  <c:v>1.2763765713331668E-3</c:v>
                </c:pt>
                <c:pt idx="332">
                  <c:v>1.151865819977583E-3</c:v>
                </c:pt>
                <c:pt idx="333">
                  <c:v>1.2497562831591557E-3</c:v>
                </c:pt>
                <c:pt idx="334">
                  <c:v>1.2769782154897489E-3</c:v>
                </c:pt>
                <c:pt idx="335">
                  <c:v>1.2342812064103507E-3</c:v>
                </c:pt>
                <c:pt idx="336">
                  <c:v>1.3005541184779961E-3</c:v>
                </c:pt>
                <c:pt idx="337">
                  <c:v>1.4892040821328004E-3</c:v>
                </c:pt>
                <c:pt idx="338">
                  <c:v>1.4187952774477777E-3</c:v>
                </c:pt>
                <c:pt idx="339">
                  <c:v>1.4162276048450973E-3</c:v>
                </c:pt>
                <c:pt idx="340">
                  <c:v>1.5201509479574233E-3</c:v>
                </c:pt>
                <c:pt idx="341">
                  <c:v>1.4917586040435339E-3</c:v>
                </c:pt>
                <c:pt idx="342">
                  <c:v>1.4676731117423349E-3</c:v>
                </c:pt>
                <c:pt idx="343">
                  <c:v>1.6810825406606297E-3</c:v>
                </c:pt>
                <c:pt idx="344">
                  <c:v>1.7449587391209073E-3</c:v>
                </c:pt>
                <c:pt idx="345">
                  <c:v>1.646792111408445E-3</c:v>
                </c:pt>
                <c:pt idx="346">
                  <c:v>1.7117992693761776E-3</c:v>
                </c:pt>
                <c:pt idx="347">
                  <c:v>1.8144108309667757E-3</c:v>
                </c:pt>
                <c:pt idx="348">
                  <c:v>1.7193576295727998E-3</c:v>
                </c:pt>
                <c:pt idx="349">
                  <c:v>1.7885236938688174E-3</c:v>
                </c:pt>
                <c:pt idx="350">
                  <c:v>2.0108558672732512E-3</c:v>
                </c:pt>
                <c:pt idx="351">
                  <c:v>1.9178081464012154E-3</c:v>
                </c:pt>
                <c:pt idx="352">
                  <c:v>2.0477698595688914E-3</c:v>
                </c:pt>
                <c:pt idx="353">
                  <c:v>2.1036537249982915E-3</c:v>
                </c:pt>
                <c:pt idx="354">
                  <c:v>2.0473753388104772E-3</c:v>
                </c:pt>
                <c:pt idx="355">
                  <c:v>2.1702586920376017E-3</c:v>
                </c:pt>
                <c:pt idx="356">
                  <c:v>2.211426933178144E-3</c:v>
                </c:pt>
                <c:pt idx="357">
                  <c:v>2.2827497109534937E-3</c:v>
                </c:pt>
                <c:pt idx="358">
                  <c:v>2.3763333225223756E-3</c:v>
                </c:pt>
                <c:pt idx="359">
                  <c:v>2.4365634916403071E-3</c:v>
                </c:pt>
                <c:pt idx="360">
                  <c:v>2.389585932332113E-3</c:v>
                </c:pt>
                <c:pt idx="361">
                  <c:v>2.3988374441169307E-3</c:v>
                </c:pt>
                <c:pt idx="362">
                  <c:v>2.5395925877002268E-3</c:v>
                </c:pt>
                <c:pt idx="363">
                  <c:v>2.5471640985887962E-3</c:v>
                </c:pt>
                <c:pt idx="364">
                  <c:v>2.7268978931034357E-3</c:v>
                </c:pt>
                <c:pt idx="365">
                  <c:v>2.7785702494367613E-3</c:v>
                </c:pt>
                <c:pt idx="366">
                  <c:v>2.9297769054450534E-3</c:v>
                </c:pt>
                <c:pt idx="367">
                  <c:v>3.1008443939665228E-3</c:v>
                </c:pt>
                <c:pt idx="368">
                  <c:v>3.2008751322624932E-3</c:v>
                </c:pt>
                <c:pt idx="369">
                  <c:v>3.149945790024181E-3</c:v>
                </c:pt>
                <c:pt idx="370">
                  <c:v>2.9787730959671345E-3</c:v>
                </c:pt>
                <c:pt idx="371">
                  <c:v>3.2992455957001365E-3</c:v>
                </c:pt>
                <c:pt idx="372">
                  <c:v>3.3349168476067715E-3</c:v>
                </c:pt>
                <c:pt idx="373">
                  <c:v>3.3197935518675531E-3</c:v>
                </c:pt>
                <c:pt idx="374">
                  <c:v>3.6667416821631479E-3</c:v>
                </c:pt>
                <c:pt idx="375">
                  <c:v>3.7209225329853921E-3</c:v>
                </c:pt>
                <c:pt idx="376">
                  <c:v>3.5412183275276344E-3</c:v>
                </c:pt>
                <c:pt idx="377">
                  <c:v>3.5189279046772205E-3</c:v>
                </c:pt>
                <c:pt idx="378">
                  <c:v>3.6000676739911153E-3</c:v>
                </c:pt>
                <c:pt idx="379">
                  <c:v>3.9230157914831674E-3</c:v>
                </c:pt>
                <c:pt idx="380">
                  <c:v>4.0733282004390527E-3</c:v>
                </c:pt>
                <c:pt idx="381">
                  <c:v>4.1964515537942131E-3</c:v>
                </c:pt>
                <c:pt idx="382">
                  <c:v>4.2194323879718512E-3</c:v>
                </c:pt>
                <c:pt idx="383">
                  <c:v>4.0223692691438596E-3</c:v>
                </c:pt>
                <c:pt idx="384">
                  <c:v>4.5648681886935249E-3</c:v>
                </c:pt>
                <c:pt idx="385">
                  <c:v>4.5602654465120235E-3</c:v>
                </c:pt>
                <c:pt idx="386">
                  <c:v>4.7711696686143865E-3</c:v>
                </c:pt>
                <c:pt idx="387">
                  <c:v>4.6249010974322487E-3</c:v>
                </c:pt>
                <c:pt idx="388">
                  <c:v>4.7476956834887306E-3</c:v>
                </c:pt>
                <c:pt idx="389">
                  <c:v>4.990457456833056E-3</c:v>
                </c:pt>
                <c:pt idx="390">
                  <c:v>5.1123643711831045E-3</c:v>
                </c:pt>
                <c:pt idx="391">
                  <c:v>5.4887042979805721E-3</c:v>
                </c:pt>
                <c:pt idx="392">
                  <c:v>5.3806056101750278E-3</c:v>
                </c:pt>
                <c:pt idx="393">
                  <c:v>5.5775043453536802E-3</c:v>
                </c:pt>
                <c:pt idx="394">
                  <c:v>5.6891208432550862E-3</c:v>
                </c:pt>
                <c:pt idx="395">
                  <c:v>6.0614826857385415E-3</c:v>
                </c:pt>
                <c:pt idx="396">
                  <c:v>6.0001347078051043E-3</c:v>
                </c:pt>
                <c:pt idx="397">
                  <c:v>6.0659539210005725E-3</c:v>
                </c:pt>
                <c:pt idx="398">
                  <c:v>6.3351814618885305E-3</c:v>
                </c:pt>
                <c:pt idx="399">
                  <c:v>6.436639050260767E-3</c:v>
                </c:pt>
                <c:pt idx="400">
                  <c:v>6.521000739101712E-3</c:v>
                </c:pt>
                <c:pt idx="401">
                  <c:v>6.7085953597277584E-3</c:v>
                </c:pt>
                <c:pt idx="402">
                  <c:v>6.6773624663532842E-3</c:v>
                </c:pt>
                <c:pt idx="403">
                  <c:v>6.9780859144546598E-3</c:v>
                </c:pt>
                <c:pt idx="404">
                  <c:v>7.2596093523132005E-3</c:v>
                </c:pt>
                <c:pt idx="405">
                  <c:v>7.0971654300360726E-3</c:v>
                </c:pt>
                <c:pt idx="406">
                  <c:v>7.3965080554829954E-3</c:v>
                </c:pt>
                <c:pt idx="407">
                  <c:v>7.2503052377605936E-3</c:v>
                </c:pt>
                <c:pt idx="408">
                  <c:v>7.7678178426106807E-3</c:v>
                </c:pt>
                <c:pt idx="409">
                  <c:v>7.7654178413303259E-3</c:v>
                </c:pt>
                <c:pt idx="410">
                  <c:v>7.9583056154650996E-3</c:v>
                </c:pt>
                <c:pt idx="411">
                  <c:v>8.5770456715783452E-3</c:v>
                </c:pt>
                <c:pt idx="412">
                  <c:v>8.6230730933933592E-3</c:v>
                </c:pt>
                <c:pt idx="413">
                  <c:v>9.0756212800245407E-3</c:v>
                </c:pt>
                <c:pt idx="414">
                  <c:v>9.1107336275234232E-3</c:v>
                </c:pt>
                <c:pt idx="415">
                  <c:v>9.202525457314507E-3</c:v>
                </c:pt>
                <c:pt idx="416">
                  <c:v>9.6745366680274641E-3</c:v>
                </c:pt>
                <c:pt idx="417">
                  <c:v>9.5550297549577695E-3</c:v>
                </c:pt>
                <c:pt idx="418">
                  <c:v>9.9781203916273434E-3</c:v>
                </c:pt>
                <c:pt idx="419">
                  <c:v>1.0386679513695318E-2</c:v>
                </c:pt>
                <c:pt idx="420">
                  <c:v>1.0583841262712916E-2</c:v>
                </c:pt>
                <c:pt idx="421">
                  <c:v>1.0796027677280126E-2</c:v>
                </c:pt>
                <c:pt idx="422">
                  <c:v>1.0661463221930949E-2</c:v>
                </c:pt>
                <c:pt idx="423">
                  <c:v>1.0624937175047748E-2</c:v>
                </c:pt>
                <c:pt idx="424">
                  <c:v>1.1129134704301349E-2</c:v>
                </c:pt>
                <c:pt idx="425">
                  <c:v>1.1740017221976175E-2</c:v>
                </c:pt>
                <c:pt idx="426">
                  <c:v>1.1622417159238816E-2</c:v>
                </c:pt>
                <c:pt idx="427">
                  <c:v>1.2066154382265411E-2</c:v>
                </c:pt>
                <c:pt idx="428">
                  <c:v>1.2314439446227539E-2</c:v>
                </c:pt>
                <c:pt idx="429">
                  <c:v>1.2548620393076351E-2</c:v>
                </c:pt>
                <c:pt idx="430">
                  <c:v>1.2808017791733819E-2</c:v>
                </c:pt>
                <c:pt idx="431">
                  <c:v>1.3000741182219253E-2</c:v>
                </c:pt>
                <c:pt idx="432">
                  <c:v>1.3243437202103841E-2</c:v>
                </c:pt>
                <c:pt idx="433">
                  <c:v>1.3975043071853476E-2</c:v>
                </c:pt>
                <c:pt idx="434">
                  <c:v>1.4075843125628351E-2</c:v>
                </c:pt>
                <c:pt idx="435">
                  <c:v>1.4337870662675251E-2</c:v>
                </c:pt>
                <c:pt idx="436">
                  <c:v>1.4434561125216645E-2</c:v>
                </c:pt>
                <c:pt idx="437">
                  <c:v>1.5249377998261848E-2</c:v>
                </c:pt>
                <c:pt idx="438">
                  <c:v>1.486347094307283E-2</c:v>
                </c:pt>
                <c:pt idx="439">
                  <c:v>1.5702616596220253E-2</c:v>
                </c:pt>
                <c:pt idx="440">
                  <c:v>1.6736425366915313E-2</c:v>
                </c:pt>
                <c:pt idx="441">
                  <c:v>1.6286079921185283E-2</c:v>
                </c:pt>
                <c:pt idx="442">
                  <c:v>1.729661196713389E-2</c:v>
                </c:pt>
                <c:pt idx="443">
                  <c:v>1.7468557264342835E-2</c:v>
                </c:pt>
                <c:pt idx="444">
                  <c:v>1.7895395848217345E-2</c:v>
                </c:pt>
                <c:pt idx="445">
                  <c:v>1.8184546687405233E-2</c:v>
                </c:pt>
                <c:pt idx="446">
                  <c:v>1.8584459229517961E-2</c:v>
                </c:pt>
                <c:pt idx="447">
                  <c:v>1.9339177440364699E-2</c:v>
                </c:pt>
                <c:pt idx="448">
                  <c:v>1.9687276256205668E-2</c:v>
                </c:pt>
                <c:pt idx="449">
                  <c:v>1.9802377687473074E-2</c:v>
                </c:pt>
                <c:pt idx="450">
                  <c:v>1.9922542135140123E-2</c:v>
                </c:pt>
                <c:pt idx="451">
                  <c:v>2.0885402922780329E-2</c:v>
                </c:pt>
                <c:pt idx="452">
                  <c:v>2.1114487976499622E-2</c:v>
                </c:pt>
                <c:pt idx="453">
                  <c:v>2.1160088000826353E-2</c:v>
                </c:pt>
                <c:pt idx="454">
                  <c:v>2.2115387140596951E-2</c:v>
                </c:pt>
                <c:pt idx="455">
                  <c:v>2.2668472367164069E-2</c:v>
                </c:pt>
                <c:pt idx="456">
                  <c:v>2.2972976639200247E-2</c:v>
                </c:pt>
                <c:pt idx="457">
                  <c:v>2.4100944364236876E-2</c:v>
                </c:pt>
                <c:pt idx="458">
                  <c:v>2.4482248677244391E-2</c:v>
                </c:pt>
                <c:pt idx="459">
                  <c:v>2.4780835137904356E-2</c:v>
                </c:pt>
                <c:pt idx="460">
                  <c:v>2.4965273592463089E-2</c:v>
                </c:pt>
                <c:pt idx="461">
                  <c:v>2.5812934318646286E-2</c:v>
                </c:pt>
                <c:pt idx="462">
                  <c:v>2.5963542618170982E-2</c:v>
                </c:pt>
                <c:pt idx="463">
                  <c:v>2.7084869243774307E-2</c:v>
                </c:pt>
                <c:pt idx="464">
                  <c:v>2.7658732563617918E-2</c:v>
                </c:pt>
                <c:pt idx="465">
                  <c:v>2.7651433929587254E-2</c:v>
                </c:pt>
                <c:pt idx="466">
                  <c:v>2.7974513553998773E-2</c:v>
                </c:pt>
                <c:pt idx="467">
                  <c:v>2.8883916778873826E-2</c:v>
                </c:pt>
                <c:pt idx="468">
                  <c:v>2.9420333503397934E-2</c:v>
                </c:pt>
                <c:pt idx="469">
                  <c:v>3.0730306804983076E-2</c:v>
                </c:pt>
                <c:pt idx="470">
                  <c:v>3.1110854953203634E-2</c:v>
                </c:pt>
                <c:pt idx="471">
                  <c:v>3.0958043912777788E-2</c:v>
                </c:pt>
                <c:pt idx="472">
                  <c:v>3.2942154560303534E-2</c:v>
                </c:pt>
                <c:pt idx="473">
                  <c:v>3.286479561492444E-2</c:v>
                </c:pt>
                <c:pt idx="474">
                  <c:v>3.3533935697925128E-2</c:v>
                </c:pt>
                <c:pt idx="475">
                  <c:v>3.4495251279261542E-2</c:v>
                </c:pt>
                <c:pt idx="476">
                  <c:v>3.5159361222592452E-2</c:v>
                </c:pt>
                <c:pt idx="477">
                  <c:v>3.5708731378684494E-2</c:v>
                </c:pt>
                <c:pt idx="478">
                  <c:v>3.6972184107506599E-2</c:v>
                </c:pt>
                <c:pt idx="479">
                  <c:v>3.6818649779023667E-2</c:v>
                </c:pt>
                <c:pt idx="480">
                  <c:v>3.7424896677787124E-2</c:v>
                </c:pt>
                <c:pt idx="481">
                  <c:v>3.8062047702626375E-2</c:v>
                </c:pt>
                <c:pt idx="482">
                  <c:v>3.8775472740759077E-2</c:v>
                </c:pt>
                <c:pt idx="483">
                  <c:v>3.9964624060079813E-2</c:v>
                </c:pt>
                <c:pt idx="484">
                  <c:v>4.0496240782043218E-2</c:v>
                </c:pt>
                <c:pt idx="485">
                  <c:v>4.1202432939604988E-2</c:v>
                </c:pt>
                <c:pt idx="486">
                  <c:v>4.3167475083807368E-2</c:v>
                </c:pt>
                <c:pt idx="487">
                  <c:v>4.407717419925123E-2</c:v>
                </c:pt>
                <c:pt idx="488">
                  <c:v>4.3655036987747822E-2</c:v>
                </c:pt>
                <c:pt idx="489">
                  <c:v>4.4922434924154077E-2</c:v>
                </c:pt>
                <c:pt idx="490">
                  <c:v>4.5823586089832294E-2</c:v>
                </c:pt>
                <c:pt idx="491">
                  <c:v>4.6498216586720917E-2</c:v>
                </c:pt>
                <c:pt idx="492">
                  <c:v>4.7250436166097698E-2</c:v>
                </c:pt>
                <c:pt idx="493">
                  <c:v>4.8375477862176088E-2</c:v>
                </c:pt>
                <c:pt idx="494">
                  <c:v>4.9660300465412317E-2</c:v>
                </c:pt>
                <c:pt idx="495">
                  <c:v>4.9507094904228062E-2</c:v>
                </c:pt>
                <c:pt idx="496">
                  <c:v>5.0944465534051173E-2</c:v>
                </c:pt>
                <c:pt idx="497">
                  <c:v>5.2791808985326601E-2</c:v>
                </c:pt>
                <c:pt idx="498">
                  <c:v>5.3557179256650524E-2</c:v>
                </c:pt>
                <c:pt idx="499">
                  <c:v>5.4206165904242209E-2</c:v>
                </c:pt>
                <c:pt idx="500">
                  <c:v>5.4403097516150724E-2</c:v>
                </c:pt>
                <c:pt idx="501">
                  <c:v>5.5599152948743714E-2</c:v>
                </c:pt>
                <c:pt idx="502">
                  <c:v>5.652331782532944E-2</c:v>
                </c:pt>
                <c:pt idx="503">
                  <c:v>5.7559263583465914E-2</c:v>
                </c:pt>
                <c:pt idx="504">
                  <c:v>5.8479812019766174E-2</c:v>
                </c:pt>
                <c:pt idx="505">
                  <c:v>5.9939867593198123E-2</c:v>
                </c:pt>
                <c:pt idx="506">
                  <c:v>6.0911703728092258E-2</c:v>
                </c:pt>
                <c:pt idx="507">
                  <c:v>6.1106333968910027E-2</c:v>
                </c:pt>
                <c:pt idx="508">
                  <c:v>6.1672471257234698E-2</c:v>
                </c:pt>
                <c:pt idx="509">
                  <c:v>6.336069133594964E-2</c:v>
                </c:pt>
                <c:pt idx="510">
                  <c:v>6.5136692283411776E-2</c:v>
                </c:pt>
                <c:pt idx="511">
                  <c:v>6.6496145063448045E-2</c:v>
                </c:pt>
                <c:pt idx="512">
                  <c:v>6.6927816526613143E-2</c:v>
                </c:pt>
                <c:pt idx="513">
                  <c:v>6.8530557107671641E-2</c:v>
                </c:pt>
                <c:pt idx="514">
                  <c:v>6.9947872932275362E-2</c:v>
                </c:pt>
                <c:pt idx="515">
                  <c:v>7.1588750519980565E-2</c:v>
                </c:pt>
                <c:pt idx="516">
                  <c:v>7.2603655171001619E-2</c:v>
                </c:pt>
                <c:pt idx="517">
                  <c:v>7.4220532745903275E-2</c:v>
                </c:pt>
                <c:pt idx="518">
                  <c:v>7.2921901916122564E-2</c:v>
                </c:pt>
                <c:pt idx="519">
                  <c:v>7.4285957438340336E-2</c:v>
                </c:pt>
                <c:pt idx="520">
                  <c:v>7.6257903695814963E-2</c:v>
                </c:pt>
                <c:pt idx="521">
                  <c:v>7.8673357039207109E-2</c:v>
                </c:pt>
                <c:pt idx="522">
                  <c:v>7.8428425401691509E-2</c:v>
                </c:pt>
                <c:pt idx="523">
                  <c:v>8.0646618365876471E-2</c:v>
                </c:pt>
                <c:pt idx="524">
                  <c:v>8.1369577655670863E-2</c:v>
                </c:pt>
                <c:pt idx="525">
                  <c:v>8.2689578359865679E-2</c:v>
                </c:pt>
                <c:pt idx="526">
                  <c:v>8.3933305050767085E-2</c:v>
                </c:pt>
                <c:pt idx="527">
                  <c:v>8.5071826206091286E-2</c:v>
                </c:pt>
                <c:pt idx="528">
                  <c:v>8.5703059419554334E-2</c:v>
                </c:pt>
                <c:pt idx="529">
                  <c:v>8.8696814441322241E-2</c:v>
                </c:pt>
                <c:pt idx="530">
                  <c:v>8.9658458789957346E-2</c:v>
                </c:pt>
                <c:pt idx="531">
                  <c:v>8.9461855945347502E-2</c:v>
                </c:pt>
                <c:pt idx="532">
                  <c:v>9.190065176694584E-2</c:v>
                </c:pt>
                <c:pt idx="533">
                  <c:v>9.1730679073528956E-2</c:v>
                </c:pt>
                <c:pt idx="534">
                  <c:v>9.3490241656057169E-2</c:v>
                </c:pt>
                <c:pt idx="535">
                  <c:v>9.3879502137692736E-2</c:v>
                </c:pt>
                <c:pt idx="536">
                  <c:v>9.4615283352135579E-2</c:v>
                </c:pt>
                <c:pt idx="537">
                  <c:v>9.7236545024500562E-2</c:v>
                </c:pt>
                <c:pt idx="538">
                  <c:v>9.8582847112589703E-2</c:v>
                </c:pt>
                <c:pt idx="539">
                  <c:v>9.9636217537556152E-2</c:v>
                </c:pt>
                <c:pt idx="540">
                  <c:v>0.10048377963354974</c:v>
                </c:pt>
                <c:pt idx="541">
                  <c:v>0.10071358797532612</c:v>
                </c:pt>
                <c:pt idx="542">
                  <c:v>0.10257046567826322</c:v>
                </c:pt>
                <c:pt idx="543">
                  <c:v>0.10568159062565942</c:v>
                </c:pt>
                <c:pt idx="544">
                  <c:v>0.10467030241492387</c:v>
                </c:pt>
                <c:pt idx="545">
                  <c:v>0.10739676962286603</c:v>
                </c:pt>
                <c:pt idx="546">
                  <c:v>0.10865824974789606</c:v>
                </c:pt>
                <c:pt idx="547">
                  <c:v>0.10893967455556501</c:v>
                </c:pt>
                <c:pt idx="548">
                  <c:v>0.10964126397094529</c:v>
                </c:pt>
                <c:pt idx="549">
                  <c:v>0.10976225033685903</c:v>
                </c:pt>
                <c:pt idx="550">
                  <c:v>0.11265112859034843</c:v>
                </c:pt>
                <c:pt idx="551">
                  <c:v>0.1137275127262224</c:v>
                </c:pt>
                <c:pt idx="552">
                  <c:v>0.11517671897879794</c:v>
                </c:pt>
                <c:pt idx="553">
                  <c:v>0.11719535019268497</c:v>
                </c:pt>
                <c:pt idx="554">
                  <c:v>0.11835096724754045</c:v>
                </c:pt>
                <c:pt idx="555">
                  <c:v>0.11904598131694716</c:v>
                </c:pt>
                <c:pt idx="556">
                  <c:v>0.12021080385616567</c:v>
                </c:pt>
                <c:pt idx="557">
                  <c:v>0.11921562524306535</c:v>
                </c:pt>
                <c:pt idx="558">
                  <c:v>0.11959831037872731</c:v>
                </c:pt>
                <c:pt idx="559">
                  <c:v>0.12213310625153982</c:v>
                </c:pt>
                <c:pt idx="560">
                  <c:v>0.12233792827861663</c:v>
                </c:pt>
                <c:pt idx="561">
                  <c:v>0.12476916245234534</c:v>
                </c:pt>
                <c:pt idx="562">
                  <c:v>0.12544576555302603</c:v>
                </c:pt>
                <c:pt idx="563">
                  <c:v>0.12703305407104665</c:v>
                </c:pt>
                <c:pt idx="564">
                  <c:v>0.1293248909101356</c:v>
                </c:pt>
                <c:pt idx="565">
                  <c:v>0.12774582157458197</c:v>
                </c:pt>
                <c:pt idx="566">
                  <c:v>0.12869628783506198</c:v>
                </c:pt>
                <c:pt idx="567">
                  <c:v>0.12912039765035746</c:v>
                </c:pt>
                <c:pt idx="568">
                  <c:v>0.13062286420531896</c:v>
                </c:pt>
                <c:pt idx="569">
                  <c:v>0.13008171323169387</c:v>
                </c:pt>
                <c:pt idx="570">
                  <c:v>0.13169924834119293</c:v>
                </c:pt>
                <c:pt idx="571">
                  <c:v>0.13214768693659062</c:v>
                </c:pt>
                <c:pt idx="572">
                  <c:v>0.13341607117489293</c:v>
                </c:pt>
                <c:pt idx="573">
                  <c:v>0.13491459252227025</c:v>
                </c:pt>
                <c:pt idx="574">
                  <c:v>0.13440303060552627</c:v>
                </c:pt>
                <c:pt idx="575">
                  <c:v>0.13438363333490422</c:v>
                </c:pt>
                <c:pt idx="576">
                  <c:v>0.13464237319896433</c:v>
                </c:pt>
                <c:pt idx="577">
                  <c:v>0.13771240223402573</c:v>
                </c:pt>
                <c:pt idx="578">
                  <c:v>0.13580686697088415</c:v>
                </c:pt>
                <c:pt idx="579">
                  <c:v>0.13591601771404549</c:v>
                </c:pt>
                <c:pt idx="580">
                  <c:v>0.13839064917119981</c:v>
                </c:pt>
                <c:pt idx="581">
                  <c:v>0.13777486802077465</c:v>
                </c:pt>
                <c:pt idx="582">
                  <c:v>0.14003349936269707</c:v>
                </c:pt>
                <c:pt idx="583">
                  <c:v>0.13859645750017263</c:v>
                </c:pt>
                <c:pt idx="584">
                  <c:v>0.13861190956321051</c:v>
                </c:pt>
                <c:pt idx="585">
                  <c:v>0.13950845798670725</c:v>
                </c:pt>
                <c:pt idx="586">
                  <c:v>0.13822856689295121</c:v>
                </c:pt>
                <c:pt idx="587">
                  <c:v>0.13933454008570623</c:v>
                </c:pt>
                <c:pt idx="588">
                  <c:v>0.13947656755873541</c:v>
                </c:pt>
                <c:pt idx="589">
                  <c:v>0.13904588239746637</c:v>
                </c:pt>
                <c:pt idx="590">
                  <c:v>0.14067854080270464</c:v>
                </c:pt>
                <c:pt idx="591">
                  <c:v>0.14077158194823067</c:v>
                </c:pt>
                <c:pt idx="592">
                  <c:v>0.13995656781480625</c:v>
                </c:pt>
                <c:pt idx="593">
                  <c:v>0.14000818428069881</c:v>
                </c:pt>
                <c:pt idx="594">
                  <c:v>0.13858067666983606</c:v>
                </c:pt>
                <c:pt idx="595">
                  <c:v>0.13892160835856582</c:v>
                </c:pt>
                <c:pt idx="596">
                  <c:v>0.13939240313027368</c:v>
                </c:pt>
                <c:pt idx="597">
                  <c:v>0.13798363525543558</c:v>
                </c:pt>
                <c:pt idx="598">
                  <c:v>0.13805169008626209</c:v>
                </c:pt>
                <c:pt idx="599">
                  <c:v>0.13784686805918531</c:v>
                </c:pt>
                <c:pt idx="600">
                  <c:v>0.1404553078069018</c:v>
                </c:pt>
                <c:pt idx="601">
                  <c:v>0.13684873054039687</c:v>
                </c:pt>
                <c:pt idx="602">
                  <c:v>0.137757114586646</c:v>
                </c:pt>
                <c:pt idx="603">
                  <c:v>0.13785015573217207</c:v>
                </c:pt>
                <c:pt idx="604">
                  <c:v>0.13641377140424499</c:v>
                </c:pt>
                <c:pt idx="605">
                  <c:v>0.13541925032574201</c:v>
                </c:pt>
                <c:pt idx="606">
                  <c:v>0.136012675299857</c:v>
                </c:pt>
                <c:pt idx="607">
                  <c:v>0.13416861952156839</c:v>
                </c:pt>
                <c:pt idx="608">
                  <c:v>0.13378461931671171</c:v>
                </c:pt>
                <c:pt idx="609">
                  <c:v>0.13433398947280376</c:v>
                </c:pt>
                <c:pt idx="610">
                  <c:v>0.13327042726157826</c:v>
                </c:pt>
                <c:pt idx="611">
                  <c:v>0.12972795961831565</c:v>
                </c:pt>
                <c:pt idx="612">
                  <c:v>0.13204971428158441</c:v>
                </c:pt>
                <c:pt idx="613">
                  <c:v>0.13100785071207169</c:v>
                </c:pt>
                <c:pt idx="614">
                  <c:v>0.12919732919824831</c:v>
                </c:pt>
                <c:pt idx="615">
                  <c:v>0.12604675217501063</c:v>
                </c:pt>
                <c:pt idx="616">
                  <c:v>0.12784971204096443</c:v>
                </c:pt>
                <c:pt idx="617">
                  <c:v>0.12601683435083089</c:v>
                </c:pt>
                <c:pt idx="618">
                  <c:v>0.12491020362347849</c:v>
                </c:pt>
                <c:pt idx="619">
                  <c:v>0.1247188610556475</c:v>
                </c:pt>
                <c:pt idx="620">
                  <c:v>0.12236883240469243</c:v>
                </c:pt>
                <c:pt idx="621">
                  <c:v>0.1221133802136191</c:v>
                </c:pt>
                <c:pt idx="622">
                  <c:v>0.12309935334235642</c:v>
                </c:pt>
                <c:pt idx="623">
                  <c:v>0.11943129659099855</c:v>
                </c:pt>
                <c:pt idx="624">
                  <c:v>0.11784499437487397</c:v>
                </c:pt>
                <c:pt idx="625">
                  <c:v>0.11664663757119026</c:v>
                </c:pt>
                <c:pt idx="626">
                  <c:v>0.11422986915860341</c:v>
                </c:pt>
                <c:pt idx="627">
                  <c:v>0.11397967724430892</c:v>
                </c:pt>
                <c:pt idx="628">
                  <c:v>0.11288948488189048</c:v>
                </c:pt>
                <c:pt idx="629">
                  <c:v>0.11102175785809698</c:v>
                </c:pt>
                <c:pt idx="630">
                  <c:v>0.11058482611815305</c:v>
                </c:pt>
                <c:pt idx="631">
                  <c:v>0.10810098917663573</c:v>
                </c:pt>
                <c:pt idx="632">
                  <c:v>0.10698482419762168</c:v>
                </c:pt>
                <c:pt idx="633">
                  <c:v>0.10483074085667905</c:v>
                </c:pt>
                <c:pt idx="634">
                  <c:v>0.10386613760235584</c:v>
                </c:pt>
                <c:pt idx="635">
                  <c:v>0.10368005531130373</c:v>
                </c:pt>
                <c:pt idx="636">
                  <c:v>0.10183731460220981</c:v>
                </c:pt>
                <c:pt idx="637">
                  <c:v>9.984925874709992E-2</c:v>
                </c:pt>
                <c:pt idx="638">
                  <c:v>9.9455066755984214E-2</c:v>
                </c:pt>
                <c:pt idx="639">
                  <c:v>9.7142188809779789E-2</c:v>
                </c:pt>
                <c:pt idx="640">
                  <c:v>9.5787010004626333E-2</c:v>
                </c:pt>
                <c:pt idx="641">
                  <c:v>9.5499667385581175E-2</c:v>
                </c:pt>
                <c:pt idx="642">
                  <c:v>9.2982953714196001E-2</c:v>
                </c:pt>
                <c:pt idx="643">
                  <c:v>9.2179446436225346E-2</c:v>
                </c:pt>
                <c:pt idx="644">
                  <c:v>9.0999171833968939E-2</c:v>
                </c:pt>
                <c:pt idx="645">
                  <c:v>8.8711280202464118E-2</c:v>
                </c:pt>
                <c:pt idx="646">
                  <c:v>8.6830073719424791E-2</c:v>
                </c:pt>
                <c:pt idx="647">
                  <c:v>8.6730785995223839E-2</c:v>
                </c:pt>
                <c:pt idx="648">
                  <c:v>8.6272484380865766E-2</c:v>
                </c:pt>
                <c:pt idx="649">
                  <c:v>8.2282893211400171E-2</c:v>
                </c:pt>
                <c:pt idx="650">
                  <c:v>8.3073907332021052E-2</c:v>
                </c:pt>
                <c:pt idx="651">
                  <c:v>8.1879495735921459E-2</c:v>
                </c:pt>
                <c:pt idx="652">
                  <c:v>7.9749741175081074E-2</c:v>
                </c:pt>
                <c:pt idx="653">
                  <c:v>7.7851438792510455E-2</c:v>
                </c:pt>
                <c:pt idx="654">
                  <c:v>7.6728369700224133E-2</c:v>
                </c:pt>
                <c:pt idx="655">
                  <c:v>7.5182834629135734E-2</c:v>
                </c:pt>
                <c:pt idx="656">
                  <c:v>7.4413847917526338E-2</c:v>
                </c:pt>
                <c:pt idx="657">
                  <c:v>7.285088817960797E-2</c:v>
                </c:pt>
                <c:pt idx="658">
                  <c:v>7.2048038436234668E-2</c:v>
                </c:pt>
                <c:pt idx="659">
                  <c:v>7.0145790846079914E-2</c:v>
                </c:pt>
                <c:pt idx="660">
                  <c:v>6.8771872304901768E-2</c:v>
                </c:pt>
                <c:pt idx="661">
                  <c:v>6.9292968473307459E-2</c:v>
                </c:pt>
                <c:pt idx="662">
                  <c:v>6.6632254725101023E-2</c:v>
                </c:pt>
                <c:pt idx="663">
                  <c:v>6.5729459722929415E-2</c:v>
                </c:pt>
                <c:pt idx="664">
                  <c:v>6.4501185095065916E-2</c:v>
                </c:pt>
                <c:pt idx="665">
                  <c:v>6.3334718719354019E-2</c:v>
                </c:pt>
                <c:pt idx="666">
                  <c:v>6.1499539658129709E-2</c:v>
                </c:pt>
                <c:pt idx="667">
                  <c:v>6.1211868271785888E-2</c:v>
                </c:pt>
                <c:pt idx="668">
                  <c:v>6.0881128369315141E-2</c:v>
                </c:pt>
                <c:pt idx="669">
                  <c:v>5.9976360763351451E-2</c:v>
                </c:pt>
                <c:pt idx="670">
                  <c:v>5.8505455869063111E-2</c:v>
                </c:pt>
                <c:pt idx="671">
                  <c:v>5.7916633637129622E-2</c:v>
                </c:pt>
                <c:pt idx="672">
                  <c:v>5.749811286591168E-2</c:v>
                </c:pt>
                <c:pt idx="673">
                  <c:v>5.543772820509249E-2</c:v>
                </c:pt>
                <c:pt idx="674">
                  <c:v>5.4920577244270942E-2</c:v>
                </c:pt>
                <c:pt idx="675">
                  <c:v>5.3973069889479031E-2</c:v>
                </c:pt>
                <c:pt idx="676">
                  <c:v>5.3975042493271105E-2</c:v>
                </c:pt>
                <c:pt idx="677">
                  <c:v>5.2080027783687283E-2</c:v>
                </c:pt>
                <c:pt idx="678">
                  <c:v>5.1513232960765272E-2</c:v>
                </c:pt>
                <c:pt idx="679">
                  <c:v>5.0834657256292499E-2</c:v>
                </c:pt>
                <c:pt idx="680">
                  <c:v>4.960441002463694E-2</c:v>
                </c:pt>
                <c:pt idx="681">
                  <c:v>4.9627752502843125E-2</c:v>
                </c:pt>
                <c:pt idx="682">
                  <c:v>4.8393560063603416E-2</c:v>
                </c:pt>
                <c:pt idx="683">
                  <c:v>4.8509614920036991E-2</c:v>
                </c:pt>
                <c:pt idx="684">
                  <c:v>4.7670272006510361E-2</c:v>
                </c:pt>
                <c:pt idx="685">
                  <c:v>4.6076079375217509E-2</c:v>
                </c:pt>
                <c:pt idx="686">
                  <c:v>4.5783476479393501E-2</c:v>
                </c:pt>
                <c:pt idx="687">
                  <c:v>4.5711805208281546E-2</c:v>
                </c:pt>
                <c:pt idx="688">
                  <c:v>4.5020078811861639E-2</c:v>
                </c:pt>
                <c:pt idx="689">
                  <c:v>4.4493722366677098E-2</c:v>
                </c:pt>
                <c:pt idx="690">
                  <c:v>4.4804407463928428E-2</c:v>
                </c:pt>
                <c:pt idx="691">
                  <c:v>4.4103475583145521E-2</c:v>
                </c:pt>
                <c:pt idx="692">
                  <c:v>4.337689985306567E-2</c:v>
                </c:pt>
                <c:pt idx="693">
                  <c:v>4.2318926685917725E-2</c:v>
                </c:pt>
                <c:pt idx="694">
                  <c:v>4.2348186975500135E-2</c:v>
                </c:pt>
                <c:pt idx="695">
                  <c:v>4.2037830645547475E-2</c:v>
                </c:pt>
                <c:pt idx="696">
                  <c:v>4.2262049943246317E-2</c:v>
                </c:pt>
                <c:pt idx="697">
                  <c:v>4.0960788975076164E-2</c:v>
                </c:pt>
                <c:pt idx="698">
                  <c:v>4.0367692768259848E-2</c:v>
                </c:pt>
                <c:pt idx="699">
                  <c:v>4.1224789115915129E-2</c:v>
                </c:pt>
                <c:pt idx="700">
                  <c:v>4.0930213616299047E-2</c:v>
                </c:pt>
                <c:pt idx="701">
                  <c:v>3.9752897919730745E-2</c:v>
                </c:pt>
                <c:pt idx="702">
                  <c:v>3.9311034670306624E-2</c:v>
                </c:pt>
                <c:pt idx="703">
                  <c:v>4.0329226994314446E-2</c:v>
                </c:pt>
                <c:pt idx="704">
                  <c:v>4.0181939244506408E-2</c:v>
                </c:pt>
                <c:pt idx="705">
                  <c:v>3.915848664371973E-2</c:v>
                </c:pt>
                <c:pt idx="706">
                  <c:v>3.9141719511487108E-2</c:v>
                </c:pt>
                <c:pt idx="707">
                  <c:v>3.93452264693692E-2</c:v>
                </c:pt>
                <c:pt idx="708">
                  <c:v>3.8444075303690983E-2</c:v>
                </c:pt>
                <c:pt idx="709">
                  <c:v>3.8977664629446462E-2</c:v>
                </c:pt>
                <c:pt idx="710">
                  <c:v>3.8239582043912854E-2</c:v>
                </c:pt>
                <c:pt idx="711">
                  <c:v>3.8698541192868266E-2</c:v>
                </c:pt>
                <c:pt idx="712">
                  <c:v>3.7323307582495413E-2</c:v>
                </c:pt>
                <c:pt idx="713">
                  <c:v>3.7079691014174528E-2</c:v>
                </c:pt>
                <c:pt idx="714">
                  <c:v>3.7912129814428902E-2</c:v>
                </c:pt>
                <c:pt idx="715">
                  <c:v>3.8213938194615917E-2</c:v>
                </c:pt>
                <c:pt idx="716">
                  <c:v>3.7520567961702618E-2</c:v>
                </c:pt>
                <c:pt idx="717">
                  <c:v>3.7010321114153331E-2</c:v>
                </c:pt>
                <c:pt idx="718">
                  <c:v>3.6644074343425294E-2</c:v>
                </c:pt>
                <c:pt idx="719">
                  <c:v>3.6301827585500809E-2</c:v>
                </c:pt>
                <c:pt idx="720">
                  <c:v>3.6116402829046039E-2</c:v>
                </c:pt>
                <c:pt idx="721">
                  <c:v>3.5908950663579804E-2</c:v>
                </c:pt>
                <c:pt idx="722">
                  <c:v>3.5765279354057225E-2</c:v>
                </c:pt>
                <c:pt idx="723">
                  <c:v>3.5683087529387557E-2</c:v>
                </c:pt>
                <c:pt idx="724">
                  <c:v>3.629788237791666E-2</c:v>
                </c:pt>
                <c:pt idx="725">
                  <c:v>3.5230046191808355E-2</c:v>
                </c:pt>
                <c:pt idx="726">
                  <c:v>3.5529553200904625E-2</c:v>
                </c:pt>
                <c:pt idx="727">
                  <c:v>3.6104895973592288E-2</c:v>
                </c:pt>
                <c:pt idx="728">
                  <c:v>3.6915964899432552E-2</c:v>
                </c:pt>
                <c:pt idx="729">
                  <c:v>3.6255800163685792E-2</c:v>
                </c:pt>
                <c:pt idx="730">
                  <c:v>3.6247252213920146E-2</c:v>
                </c:pt>
                <c:pt idx="731">
                  <c:v>3.5585443641679995E-2</c:v>
                </c:pt>
                <c:pt idx="732">
                  <c:v>3.540166272171863E-2</c:v>
                </c:pt>
                <c:pt idx="733">
                  <c:v>3.5474320294726608E-2</c:v>
                </c:pt>
                <c:pt idx="734">
                  <c:v>3.5528895666307264E-2</c:v>
                </c:pt>
                <c:pt idx="735">
                  <c:v>3.540166272171863E-2</c:v>
                </c:pt>
                <c:pt idx="736">
                  <c:v>3.4939087132477738E-2</c:v>
                </c:pt>
                <c:pt idx="737">
                  <c:v>3.5609772421782218E-2</c:v>
                </c:pt>
                <c:pt idx="738">
                  <c:v>3.4926593975127949E-2</c:v>
                </c:pt>
                <c:pt idx="739">
                  <c:v>3.5474977829323968E-2</c:v>
                </c:pt>
                <c:pt idx="740">
                  <c:v>3.5061717334884883E-2</c:v>
                </c:pt>
                <c:pt idx="741">
                  <c:v>3.4934813157594918E-2</c:v>
                </c:pt>
                <c:pt idx="742">
                  <c:v>3.3923196179560668E-2</c:v>
                </c:pt>
                <c:pt idx="743">
                  <c:v>3.4823361043342854E-2</c:v>
                </c:pt>
                <c:pt idx="744">
                  <c:v>3.4374264913347795E-2</c:v>
                </c:pt>
                <c:pt idx="745">
                  <c:v>3.3626976843451187E-2</c:v>
                </c:pt>
                <c:pt idx="746">
                  <c:v>3.5115306404569502E-2</c:v>
                </c:pt>
                <c:pt idx="747">
                  <c:v>3.4609991066500395E-2</c:v>
                </c:pt>
                <c:pt idx="748">
                  <c:v>3.4886484364689156E-2</c:v>
                </c:pt>
                <c:pt idx="749">
                  <c:v>3.4045168847370452E-2</c:v>
                </c:pt>
                <c:pt idx="750">
                  <c:v>3.5443744935949484E-2</c:v>
                </c:pt>
                <c:pt idx="751">
                  <c:v>3.4575799267437812E-2</c:v>
                </c:pt>
                <c:pt idx="752">
                  <c:v>3.4656347255614089E-2</c:v>
                </c:pt>
                <c:pt idx="753">
                  <c:v>3.4613607506785861E-2</c:v>
                </c:pt>
                <c:pt idx="754">
                  <c:v>3.2895140836592479E-2</c:v>
                </c:pt>
                <c:pt idx="755">
                  <c:v>3.4573169129048391E-2</c:v>
                </c:pt>
                <c:pt idx="756">
                  <c:v>3.4252621012836687E-2</c:v>
                </c:pt>
                <c:pt idx="757">
                  <c:v>3.4118812722274475E-2</c:v>
                </c:pt>
                <c:pt idx="758">
                  <c:v>3.37423741652874E-2</c:v>
                </c:pt>
                <c:pt idx="759">
                  <c:v>3.3606593270933113E-2</c:v>
                </c:pt>
                <c:pt idx="760">
                  <c:v>3.3367908212092401E-2</c:v>
                </c:pt>
                <c:pt idx="761">
                  <c:v>3.4256566220420837E-2</c:v>
                </c:pt>
                <c:pt idx="762">
                  <c:v>3.382686736104782E-2</c:v>
                </c:pt>
                <c:pt idx="763">
                  <c:v>3.3775579662453953E-2</c:v>
                </c:pt>
                <c:pt idx="764">
                  <c:v>3.390182630514655E-2</c:v>
                </c:pt>
                <c:pt idx="765">
                  <c:v>3.3819963247775565E-2</c:v>
                </c:pt>
                <c:pt idx="766">
                  <c:v>3.3478702791747111E-2</c:v>
                </c:pt>
                <c:pt idx="767">
                  <c:v>3.2496641993864067E-2</c:v>
                </c:pt>
                <c:pt idx="768">
                  <c:v>3.3024346384973195E-2</c:v>
                </c:pt>
                <c:pt idx="769">
                  <c:v>3.3579963119740139E-2</c:v>
                </c:pt>
                <c:pt idx="770">
                  <c:v>3.4101388055444506E-2</c:v>
                </c:pt>
                <c:pt idx="771">
                  <c:v>3.3911689324106917E-2</c:v>
                </c:pt>
                <c:pt idx="772">
                  <c:v>3.4120456558767866E-2</c:v>
                </c:pt>
                <c:pt idx="773">
                  <c:v>3.3251524588360157E-2</c:v>
                </c:pt>
                <c:pt idx="774">
                  <c:v>3.2938209352719391E-2</c:v>
                </c:pt>
                <c:pt idx="775">
                  <c:v>3.2887250421424194E-2</c:v>
                </c:pt>
                <c:pt idx="776">
                  <c:v>3.3319579419186639E-2</c:v>
                </c:pt>
                <c:pt idx="777">
                  <c:v>3.4034977061111416E-2</c:v>
                </c:pt>
                <c:pt idx="778">
                  <c:v>3.3723634429262718E-2</c:v>
                </c:pt>
                <c:pt idx="779">
                  <c:v>3.3463908263306572E-2</c:v>
                </c:pt>
                <c:pt idx="780">
                  <c:v>3.3456017848138279E-2</c:v>
                </c:pt>
                <c:pt idx="781">
                  <c:v>3.3422483583673064E-2</c:v>
                </c:pt>
                <c:pt idx="782">
                  <c:v>3.3038812146115058E-2</c:v>
                </c:pt>
                <c:pt idx="783">
                  <c:v>3.2183162374573963E-2</c:v>
                </c:pt>
                <c:pt idx="784">
                  <c:v>3.3543798716885488E-2</c:v>
                </c:pt>
                <c:pt idx="785">
                  <c:v>3.2836718887617286E-2</c:v>
                </c:pt>
                <c:pt idx="786">
                  <c:v>3.2949387440874466E-2</c:v>
                </c:pt>
                <c:pt idx="787">
                  <c:v>3.2610132465367946E-2</c:v>
                </c:pt>
                <c:pt idx="788">
                  <c:v>3.2295929558020749E-2</c:v>
                </c:pt>
                <c:pt idx="789">
                  <c:v>3.2486121440306354E-2</c:v>
                </c:pt>
                <c:pt idx="790">
                  <c:v>3.2708466764402734E-2</c:v>
                </c:pt>
                <c:pt idx="791">
                  <c:v>3.3208784839531928E-2</c:v>
                </c:pt>
                <c:pt idx="792">
                  <c:v>3.2438713195836896E-2</c:v>
                </c:pt>
                <c:pt idx="793">
                  <c:v>3.2649222897180842E-2</c:v>
                </c:pt>
                <c:pt idx="794">
                  <c:v>3.2826494224628376E-2</c:v>
                </c:pt>
                <c:pt idx="795">
                  <c:v>3.3909059185717481E-2</c:v>
                </c:pt>
                <c:pt idx="796">
                  <c:v>3.2821792852257274E-2</c:v>
                </c:pt>
                <c:pt idx="797">
                  <c:v>3.2141507557831378E-2</c:v>
                </c:pt>
                <c:pt idx="798">
                  <c:v>3.3103908071253435E-2</c:v>
                </c:pt>
                <c:pt idx="799">
                  <c:v>3.2458274850108271E-2</c:v>
                </c:pt>
                <c:pt idx="800">
                  <c:v>3.3780839939232803E-2</c:v>
                </c:pt>
                <c:pt idx="801">
                  <c:v>3.1885627969269768E-2</c:v>
                </c:pt>
                <c:pt idx="802">
                  <c:v>3.2702746213405721E-2</c:v>
                </c:pt>
                <c:pt idx="803">
                  <c:v>3.1872608784242099E-2</c:v>
                </c:pt>
                <c:pt idx="804">
                  <c:v>3.2975360057470073E-2</c:v>
                </c:pt>
                <c:pt idx="805">
                  <c:v>3.2842768205912976E-2</c:v>
                </c:pt>
                <c:pt idx="806">
                  <c:v>3.2407546055922151E-2</c:v>
                </c:pt>
                <c:pt idx="807">
                  <c:v>3.2671316059652046E-2</c:v>
                </c:pt>
                <c:pt idx="808">
                  <c:v>3.2931634006745814E-2</c:v>
                </c:pt>
                <c:pt idx="809">
                  <c:v>3.2813606546520172E-2</c:v>
                </c:pt>
                <c:pt idx="810">
                  <c:v>3.2145255505036316E-2</c:v>
                </c:pt>
                <c:pt idx="811">
                  <c:v>3.3065771064606703E-2</c:v>
                </c:pt>
                <c:pt idx="812">
                  <c:v>3.2642548921017665E-2</c:v>
                </c:pt>
                <c:pt idx="813">
                  <c:v>3.2606647532001952E-2</c:v>
                </c:pt>
                <c:pt idx="814">
                  <c:v>3.3335360249523216E-2</c:v>
                </c:pt>
                <c:pt idx="815">
                  <c:v>3.2359611783774805E-2</c:v>
                </c:pt>
                <c:pt idx="816">
                  <c:v>3.3150593027665799E-2</c:v>
                </c:pt>
                <c:pt idx="817">
                  <c:v>3.184607726323873E-2</c:v>
                </c:pt>
                <c:pt idx="818">
                  <c:v>3.3205497166545139E-2</c:v>
                </c:pt>
                <c:pt idx="819">
                  <c:v>3.2787107902246669E-2</c:v>
                </c:pt>
                <c:pt idx="820">
                  <c:v>3.206109107657458E-2</c:v>
                </c:pt>
                <c:pt idx="821">
                  <c:v>3.2184773334337488E-2</c:v>
                </c:pt>
                <c:pt idx="822">
                  <c:v>3.2820083262304144E-2</c:v>
                </c:pt>
                <c:pt idx="823">
                  <c:v>3.2180926756942958E-2</c:v>
                </c:pt>
                <c:pt idx="824">
                  <c:v>3.231302545755204E-2</c:v>
                </c:pt>
                <c:pt idx="825">
                  <c:v>3.3290647896902913E-2</c:v>
                </c:pt>
                <c:pt idx="826">
                  <c:v>3.264662563552128E-2</c:v>
                </c:pt>
                <c:pt idx="827">
                  <c:v>3.2338077525711356E-2</c:v>
                </c:pt>
                <c:pt idx="828">
                  <c:v>3.188612112021779E-2</c:v>
                </c:pt>
                <c:pt idx="829">
                  <c:v>3.1973737605315654E-2</c:v>
                </c:pt>
                <c:pt idx="830">
                  <c:v>3.2434537851143676E-2</c:v>
                </c:pt>
                <c:pt idx="831">
                  <c:v>3.2259173374028477E-2</c:v>
                </c:pt>
                <c:pt idx="832">
                  <c:v>3.1659337437589245E-2</c:v>
                </c:pt>
                <c:pt idx="833">
                  <c:v>3.2055008881549017E-2</c:v>
                </c:pt>
                <c:pt idx="834">
                  <c:v>3.191718962994293E-2</c:v>
                </c:pt>
                <c:pt idx="835">
                  <c:v>3.2852466841223997E-2</c:v>
                </c:pt>
                <c:pt idx="836">
                  <c:v>3.2494044732204505E-2</c:v>
                </c:pt>
                <c:pt idx="837">
                  <c:v>3.1889244409555241E-2</c:v>
                </c:pt>
                <c:pt idx="838">
                  <c:v>3.2285080237164351E-2</c:v>
                </c:pt>
                <c:pt idx="839">
                  <c:v>3.2590833824935508E-2</c:v>
                </c:pt>
                <c:pt idx="840">
                  <c:v>3.1731337475999877E-2</c:v>
                </c:pt>
                <c:pt idx="841">
                  <c:v>3.2571042033555056E-2</c:v>
                </c:pt>
                <c:pt idx="842">
                  <c:v>3.261246671318857E-2</c:v>
                </c:pt>
                <c:pt idx="843">
                  <c:v>3.207693766037089E-2</c:v>
                </c:pt>
                <c:pt idx="844">
                  <c:v>3.1467600348999848E-2</c:v>
                </c:pt>
                <c:pt idx="845">
                  <c:v>3.1538088057836554E-2</c:v>
                </c:pt>
                <c:pt idx="846">
                  <c:v>3.1961080064316527E-2</c:v>
                </c:pt>
                <c:pt idx="847">
                  <c:v>3.2038504763155347E-2</c:v>
                </c:pt>
                <c:pt idx="848">
                  <c:v>3.279269694632421E-2</c:v>
                </c:pt>
                <c:pt idx="849">
                  <c:v>3.1922351276532174E-2</c:v>
                </c:pt>
                <c:pt idx="850">
                  <c:v>3.2611710548401604E-2</c:v>
                </c:pt>
                <c:pt idx="851">
                  <c:v>3.2679896886147558E-2</c:v>
                </c:pt>
                <c:pt idx="852">
                  <c:v>3.2644653031729212E-2</c:v>
                </c:pt>
                <c:pt idx="853">
                  <c:v>3.2473661159686432E-2</c:v>
                </c:pt>
                <c:pt idx="854">
                  <c:v>3.3291962966097634E-2</c:v>
                </c:pt>
                <c:pt idx="855">
                  <c:v>3.2944127164095602E-2</c:v>
                </c:pt>
                <c:pt idx="856">
                  <c:v>3.1833025201481187E-2</c:v>
                </c:pt>
                <c:pt idx="857">
                  <c:v>3.2936236748927317E-2</c:v>
                </c:pt>
                <c:pt idx="858">
                  <c:v>3.2876335347108064E-2</c:v>
                </c:pt>
                <c:pt idx="859">
                  <c:v>3.2581233819814093E-2</c:v>
                </c:pt>
                <c:pt idx="860">
                  <c:v>3.13847838664627E-2</c:v>
                </c:pt>
                <c:pt idx="861">
                  <c:v>2.6030183749613151E-2</c:v>
                </c:pt>
                <c:pt idx="862">
                  <c:v>2.2979979382662104E-2</c:v>
                </c:pt>
                <c:pt idx="863">
                  <c:v>2.3448111139250653E-2</c:v>
                </c:pt>
                <c:pt idx="864">
                  <c:v>2.4407191102956055E-2</c:v>
                </c:pt>
                <c:pt idx="865">
                  <c:v>2.9069473042248068E-2</c:v>
                </c:pt>
                <c:pt idx="866">
                  <c:v>3.4175689464945883E-2</c:v>
                </c:pt>
                <c:pt idx="867">
                  <c:v>3.5436512055378566E-2</c:v>
                </c:pt>
                <c:pt idx="868">
                  <c:v>3.6627964745790047E-2</c:v>
                </c:pt>
                <c:pt idx="869">
                  <c:v>3.63774440641969E-2</c:v>
                </c:pt>
                <c:pt idx="870">
                  <c:v>3.6896896396109193E-2</c:v>
                </c:pt>
                <c:pt idx="871">
                  <c:v>3.7148732146897047E-2</c:v>
                </c:pt>
                <c:pt idx="872">
                  <c:v>3.7323307582495413E-2</c:v>
                </c:pt>
                <c:pt idx="873">
                  <c:v>3.6734485350561931E-2</c:v>
                </c:pt>
                <c:pt idx="874">
                  <c:v>3.6457005750477139E-2</c:v>
                </c:pt>
                <c:pt idx="875">
                  <c:v>3.7558047433751983E-2</c:v>
                </c:pt>
                <c:pt idx="876">
                  <c:v>3.692254024540613E-2</c:v>
                </c:pt>
                <c:pt idx="877">
                  <c:v>3.7175033530791338E-2</c:v>
                </c:pt>
                <c:pt idx="878">
                  <c:v>3.700900604495861E-2</c:v>
                </c:pt>
                <c:pt idx="879">
                  <c:v>3.7359471985350071E-2</c:v>
                </c:pt>
                <c:pt idx="880">
                  <c:v>3.7446595319499919E-2</c:v>
                </c:pt>
                <c:pt idx="881">
                  <c:v>3.6607909940570643E-2</c:v>
                </c:pt>
                <c:pt idx="882">
                  <c:v>3.6538211273250763E-2</c:v>
                </c:pt>
                <c:pt idx="883">
                  <c:v>3.6539855109744161E-2</c:v>
                </c:pt>
                <c:pt idx="884">
                  <c:v>3.5518046345450867E-2</c:v>
                </c:pt>
                <c:pt idx="885">
                  <c:v>3.5960567129472355E-2</c:v>
                </c:pt>
                <c:pt idx="886">
                  <c:v>3.6484293436267468E-2</c:v>
                </c:pt>
                <c:pt idx="887">
                  <c:v>3.7002101931686363E-2</c:v>
                </c:pt>
                <c:pt idx="888">
                  <c:v>3.7097444448303173E-2</c:v>
                </c:pt>
                <c:pt idx="889">
                  <c:v>3.7109937605652961E-2</c:v>
                </c:pt>
                <c:pt idx="890">
                  <c:v>3.729371852561434E-2</c:v>
                </c:pt>
                <c:pt idx="891">
                  <c:v>3.6922211478107446E-2</c:v>
                </c:pt>
                <c:pt idx="892">
                  <c:v>3.8165609401710154E-2</c:v>
                </c:pt>
                <c:pt idx="893">
                  <c:v>3.7627746101071863E-2</c:v>
                </c:pt>
                <c:pt idx="894">
                  <c:v>3.7368019935115709E-2</c:v>
                </c:pt>
                <c:pt idx="895">
                  <c:v>3.680845799276463E-2</c:v>
                </c:pt>
                <c:pt idx="896">
                  <c:v>3.705799237246174E-2</c:v>
                </c:pt>
                <c:pt idx="897">
                  <c:v>3.6440238618244525E-2</c:v>
                </c:pt>
                <c:pt idx="898">
                  <c:v>3.6729882608380428E-2</c:v>
                </c:pt>
                <c:pt idx="899">
                  <c:v>3.7724732454182071E-2</c:v>
                </c:pt>
                <c:pt idx="900">
                  <c:v>3.8022266859486252E-2</c:v>
                </c:pt>
                <c:pt idx="901">
                  <c:v>3.7137554058741973E-2</c:v>
                </c:pt>
                <c:pt idx="902">
                  <c:v>3.7774705083581231E-2</c:v>
                </c:pt>
                <c:pt idx="903">
                  <c:v>3.7765499599218218E-2</c:v>
                </c:pt>
                <c:pt idx="904">
                  <c:v>3.6744677136820968E-2</c:v>
                </c:pt>
                <c:pt idx="905">
                  <c:v>3.7814157159422664E-2</c:v>
                </c:pt>
                <c:pt idx="906">
                  <c:v>3.7303252777276016E-2</c:v>
                </c:pt>
                <c:pt idx="907">
                  <c:v>3.6998814258699574E-2</c:v>
                </c:pt>
                <c:pt idx="908">
                  <c:v>3.6989608774336574E-2</c:v>
                </c:pt>
                <c:pt idx="909">
                  <c:v>3.7382485696257572E-2</c:v>
                </c:pt>
                <c:pt idx="910">
                  <c:v>3.7182266411362269E-2</c:v>
                </c:pt>
                <c:pt idx="911">
                  <c:v>3.6605608569479892E-2</c:v>
                </c:pt>
                <c:pt idx="912">
                  <c:v>3.7313773330833737E-2</c:v>
                </c:pt>
                <c:pt idx="913">
                  <c:v>3.7754321511063144E-2</c:v>
                </c:pt>
                <c:pt idx="914">
                  <c:v>3.7461061080641775E-2</c:v>
                </c:pt>
                <c:pt idx="915">
                  <c:v>3.649810166281197E-2</c:v>
                </c:pt>
                <c:pt idx="916">
                  <c:v>3.7635965283538825E-2</c:v>
                </c:pt>
                <c:pt idx="917">
                  <c:v>3.789404761300158E-2</c:v>
                </c:pt>
                <c:pt idx="918">
                  <c:v>3.7467307659316676E-2</c:v>
                </c:pt>
                <c:pt idx="919">
                  <c:v>3.7642869396811079E-2</c:v>
                </c:pt>
                <c:pt idx="920">
                  <c:v>3.7275307556888328E-2</c:v>
                </c:pt>
                <c:pt idx="921">
                  <c:v>3.7372293909998536E-2</c:v>
                </c:pt>
                <c:pt idx="922">
                  <c:v>3.7500513156483214E-2</c:v>
                </c:pt>
                <c:pt idx="923">
                  <c:v>3.6699307249603311E-2</c:v>
                </c:pt>
                <c:pt idx="924">
                  <c:v>3.7892732543806866E-2</c:v>
                </c:pt>
                <c:pt idx="925">
                  <c:v>3.8135691577530398E-2</c:v>
                </c:pt>
                <c:pt idx="926">
                  <c:v>3.8452294486157952E-2</c:v>
                </c:pt>
                <c:pt idx="927">
                  <c:v>3.7294704827510371E-2</c:v>
                </c:pt>
                <c:pt idx="928">
                  <c:v>3.7156622562065339E-2</c:v>
                </c:pt>
                <c:pt idx="929">
                  <c:v>3.775366397646579E-2</c:v>
                </c:pt>
                <c:pt idx="930">
                  <c:v>3.8243527251497003E-2</c:v>
                </c:pt>
                <c:pt idx="931">
                  <c:v>3.79137736509223E-2</c:v>
                </c:pt>
                <c:pt idx="932">
                  <c:v>3.801897918649947E-2</c:v>
                </c:pt>
                <c:pt idx="933">
                  <c:v>3.8337554698919099E-2</c:v>
                </c:pt>
                <c:pt idx="934">
                  <c:v>3.7912787349026263E-2</c:v>
                </c:pt>
                <c:pt idx="935">
                  <c:v>3.7114540347834464E-2</c:v>
                </c:pt>
                <c:pt idx="936">
                  <c:v>3.9339966192590343E-2</c:v>
                </c:pt>
                <c:pt idx="937">
                  <c:v>3.7833883197343383E-2</c:v>
                </c:pt>
                <c:pt idx="938">
                  <c:v>3.805908879693827E-2</c:v>
                </c:pt>
                <c:pt idx="939">
                  <c:v>3.7790485913917801E-2</c:v>
                </c:pt>
                <c:pt idx="940">
                  <c:v>3.7238485619436323E-2</c:v>
                </c:pt>
                <c:pt idx="941">
                  <c:v>3.759914334608682E-2</c:v>
                </c:pt>
                <c:pt idx="942">
                  <c:v>3.7286485645043409E-2</c:v>
                </c:pt>
                <c:pt idx="943">
                  <c:v>3.8535801380022328E-2</c:v>
                </c:pt>
                <c:pt idx="944">
                  <c:v>3.7771417410594435E-2</c:v>
                </c:pt>
                <c:pt idx="945">
                  <c:v>3.789404761300158E-2</c:v>
                </c:pt>
                <c:pt idx="946">
                  <c:v>3.7385115834647008E-2</c:v>
                </c:pt>
                <c:pt idx="947">
                  <c:v>3.8566376738799452E-2</c:v>
                </c:pt>
                <c:pt idx="948">
                  <c:v>3.8099855941974424E-2</c:v>
                </c:pt>
                <c:pt idx="949">
                  <c:v>3.9476733388840675E-2</c:v>
                </c:pt>
                <c:pt idx="950">
                  <c:v>3.5436840822677243E-2</c:v>
                </c:pt>
                <c:pt idx="951">
                  <c:v>2.6629329274725149E-2</c:v>
                </c:pt>
                <c:pt idx="952">
                  <c:v>2.7178666554087329E-2</c:v>
                </c:pt>
                <c:pt idx="953">
                  <c:v>3.5845169807636142E-2</c:v>
                </c:pt>
                <c:pt idx="954">
                  <c:v>3.9236733260805248E-2</c:v>
                </c:pt>
                <c:pt idx="955">
                  <c:v>4.0770103941842536E-2</c:v>
                </c:pt>
                <c:pt idx="956">
                  <c:v>4.0713555966469805E-2</c:v>
                </c:pt>
                <c:pt idx="957">
                  <c:v>4.1448022111717941E-2</c:v>
                </c:pt>
                <c:pt idx="958">
                  <c:v>4.1150158939115083E-2</c:v>
                </c:pt>
                <c:pt idx="959">
                  <c:v>4.1227748021603242E-2</c:v>
                </c:pt>
                <c:pt idx="960">
                  <c:v>3.9388294985496113E-2</c:v>
                </c:pt>
                <c:pt idx="961">
                  <c:v>4.0668186079252149E-2</c:v>
                </c:pt>
                <c:pt idx="962">
                  <c:v>3.9594432081767633E-2</c:v>
                </c:pt>
                <c:pt idx="963">
                  <c:v>3.998961037477939E-2</c:v>
                </c:pt>
                <c:pt idx="964">
                  <c:v>3.9523089577954362E-2</c:v>
                </c:pt>
                <c:pt idx="965">
                  <c:v>4.0056678903709828E-2</c:v>
                </c:pt>
                <c:pt idx="966">
                  <c:v>4.0681994305796651E-2</c:v>
                </c:pt>
                <c:pt idx="967">
                  <c:v>4.1254706940094893E-2</c:v>
                </c:pt>
                <c:pt idx="968">
                  <c:v>4.1000241050917603E-2</c:v>
                </c:pt>
                <c:pt idx="969">
                  <c:v>4.1559145458671336E-2</c:v>
                </c:pt>
                <c:pt idx="970">
                  <c:v>4.0922651968429438E-2</c:v>
                </c:pt>
                <c:pt idx="971">
                  <c:v>4.1166268536750331E-2</c:v>
                </c:pt>
                <c:pt idx="972">
                  <c:v>4.1069282183640116E-2</c:v>
                </c:pt>
                <c:pt idx="973">
                  <c:v>4.116955620973712E-2</c:v>
                </c:pt>
                <c:pt idx="974">
                  <c:v>4.2419858246612076E-2</c:v>
                </c:pt>
                <c:pt idx="975">
                  <c:v>4.175114556109967E-2</c:v>
                </c:pt>
                <c:pt idx="976">
                  <c:v>4.1146871266128288E-2</c:v>
                </c:pt>
                <c:pt idx="977">
                  <c:v>4.0778323124309498E-2</c:v>
                </c:pt>
                <c:pt idx="978">
                  <c:v>4.1425994702706477E-2</c:v>
                </c:pt>
                <c:pt idx="979">
                  <c:v>4.178533736016226E-2</c:v>
                </c:pt>
                <c:pt idx="980">
                  <c:v>4.159004958474713E-2</c:v>
                </c:pt>
                <c:pt idx="981">
                  <c:v>4.2111803287750167E-2</c:v>
                </c:pt>
                <c:pt idx="982">
                  <c:v>4.1162652096464865E-2</c:v>
                </c:pt>
                <c:pt idx="983">
                  <c:v>4.164002221414629E-2</c:v>
                </c:pt>
                <c:pt idx="984">
                  <c:v>4.2112132055048851E-2</c:v>
                </c:pt>
                <c:pt idx="985">
                  <c:v>4.0649117575928789E-2</c:v>
                </c:pt>
                <c:pt idx="986">
                  <c:v>4.2257775968363498E-2</c:v>
                </c:pt>
                <c:pt idx="987">
                  <c:v>4.1528241332595542E-2</c:v>
                </c:pt>
                <c:pt idx="988">
                  <c:v>4.1781720919876794E-2</c:v>
                </c:pt>
                <c:pt idx="989">
                  <c:v>4.1402980991798975E-2</c:v>
                </c:pt>
                <c:pt idx="990">
                  <c:v>4.2367255478823487E-2</c:v>
                </c:pt>
                <c:pt idx="991">
                  <c:v>4.1001227352813641E-2</c:v>
                </c:pt>
                <c:pt idx="992">
                  <c:v>4.0671144984940254E-2</c:v>
                </c:pt>
                <c:pt idx="993">
                  <c:v>4.2579639153769909E-2</c:v>
                </c:pt>
                <c:pt idx="994">
                  <c:v>4.4550270342049829E-2</c:v>
                </c:pt>
                <c:pt idx="995">
                  <c:v>2.8583489221341268E-2</c:v>
                </c:pt>
                <c:pt idx="996">
                  <c:v>3.0980137075248996E-2</c:v>
                </c:pt>
                <c:pt idx="997">
                  <c:v>3.9861391128294711E-2</c:v>
                </c:pt>
                <c:pt idx="998">
                  <c:v>4.2117063564529031E-2</c:v>
                </c:pt>
                <c:pt idx="999">
                  <c:v>4.3177338102767721E-2</c:v>
                </c:pt>
                <c:pt idx="1000">
                  <c:v>4.2337008887345054E-2</c:v>
                </c:pt>
                <c:pt idx="1001">
                  <c:v>4.2442543190220901E-2</c:v>
                </c:pt>
                <c:pt idx="1002">
                  <c:v>4.4094270098782522E-2</c:v>
                </c:pt>
                <c:pt idx="1003">
                  <c:v>4.2889995483722569E-2</c:v>
                </c:pt>
                <c:pt idx="1004">
                  <c:v>4.3546215011885187E-2</c:v>
                </c:pt>
                <c:pt idx="1005">
                  <c:v>4.2866324238217707E-2</c:v>
                </c:pt>
                <c:pt idx="1006">
                  <c:v>4.2736461155239637E-2</c:v>
                </c:pt>
                <c:pt idx="1007">
                  <c:v>4.2902488641072357E-2</c:v>
                </c:pt>
                <c:pt idx="1008">
                  <c:v>4.3870379568382342E-2</c:v>
                </c:pt>
                <c:pt idx="1009">
                  <c:v>4.2440899353727517E-2</c:v>
                </c:pt>
                <c:pt idx="1010">
                  <c:v>4.293174893065476E-2</c:v>
                </c:pt>
                <c:pt idx="1011">
                  <c:v>4.2528351455176042E-2</c:v>
                </c:pt>
                <c:pt idx="1012">
                  <c:v>4.2938653043927008E-2</c:v>
                </c:pt>
                <c:pt idx="1013">
                  <c:v>4.3731311001041273E-2</c:v>
                </c:pt>
                <c:pt idx="1014">
                  <c:v>4.2670378928205223E-2</c:v>
                </c:pt>
                <c:pt idx="1015">
                  <c:v>4.3338105311821591E-2</c:v>
                </c:pt>
                <c:pt idx="1016">
                  <c:v>4.2739748828226419E-2</c:v>
                </c:pt>
                <c:pt idx="1017">
                  <c:v>4.2642762475116211E-2</c:v>
                </c:pt>
                <c:pt idx="1018">
                  <c:v>4.2814379005026472E-2</c:v>
                </c:pt>
                <c:pt idx="1019">
                  <c:v>4.2903146175669718E-2</c:v>
                </c:pt>
                <c:pt idx="1020">
                  <c:v>4.3664900006708182E-2</c:v>
                </c:pt>
                <c:pt idx="1021">
                  <c:v>4.4079475570341982E-2</c:v>
                </c:pt>
                <c:pt idx="1022">
                  <c:v>4.3596845175881693E-2</c:v>
                </c:pt>
                <c:pt idx="1023">
                  <c:v>4.2715748815422873E-2</c:v>
                </c:pt>
                <c:pt idx="1024">
                  <c:v>4.3524516370172392E-2</c:v>
                </c:pt>
                <c:pt idx="1025">
                  <c:v>4.2789063923028219E-2</c:v>
                </c:pt>
                <c:pt idx="1026">
                  <c:v>4.3274981990475282E-2</c:v>
                </c:pt>
                <c:pt idx="1027">
                  <c:v>4.3494927313291312E-2</c:v>
                </c:pt>
                <c:pt idx="1028">
                  <c:v>4.3131639448251387E-2</c:v>
                </c:pt>
                <c:pt idx="1029">
                  <c:v>4.2740735130122456E-2</c:v>
                </c:pt>
                <c:pt idx="1030">
                  <c:v>4.3728023328054477E-2</c:v>
                </c:pt>
                <c:pt idx="1031">
                  <c:v>4.3515310885809393E-2</c:v>
                </c:pt>
                <c:pt idx="1032">
                  <c:v>4.3359146418937025E-2</c:v>
                </c:pt>
                <c:pt idx="1033">
                  <c:v>4.3785557605323246E-2</c:v>
                </c:pt>
                <c:pt idx="1034">
                  <c:v>4.3389721777714135E-2</c:v>
                </c:pt>
                <c:pt idx="1035">
                  <c:v>4.3451858797164407E-2</c:v>
                </c:pt>
                <c:pt idx="1036">
                  <c:v>4.3389721777714135E-2</c:v>
                </c:pt>
                <c:pt idx="1037">
                  <c:v>4.4147201633869787E-2</c:v>
                </c:pt>
                <c:pt idx="1038">
                  <c:v>4.3845393253682766E-2</c:v>
                </c:pt>
                <c:pt idx="1039">
                  <c:v>4.4587092279501833E-2</c:v>
                </c:pt>
                <c:pt idx="1040">
                  <c:v>4.566216134618107E-2</c:v>
                </c:pt>
                <c:pt idx="1041">
                  <c:v>3.1066175477313201E-2</c:v>
                </c:pt>
                <c:pt idx="1042">
                  <c:v>4.2543803518213942E-2</c:v>
                </c:pt>
                <c:pt idx="1043">
                  <c:v>4.4895147238363749E-2</c:v>
                </c:pt>
                <c:pt idx="1044">
                  <c:v>4.4658434783315111E-2</c:v>
                </c:pt>
                <c:pt idx="1045">
                  <c:v>4.5018763742666924E-2</c:v>
                </c:pt>
                <c:pt idx="1046">
                  <c:v>4.3699091805770758E-2</c:v>
                </c:pt>
                <c:pt idx="1047">
                  <c:v>4.4112023532911167E-2</c:v>
                </c:pt>
                <c:pt idx="1048">
                  <c:v>4.4974051390046628E-2</c:v>
                </c:pt>
                <c:pt idx="1049">
                  <c:v>4.5119366536062591E-2</c:v>
                </c:pt>
                <c:pt idx="1050">
                  <c:v>4.4962544534592877E-2</c:v>
                </c:pt>
                <c:pt idx="1051">
                  <c:v>4.3033995560543818E-2</c:v>
                </c:pt>
                <c:pt idx="1052">
                  <c:v>4.4658106016016434E-2</c:v>
                </c:pt>
                <c:pt idx="1053">
                  <c:v>4.5271585795350816E-2</c:v>
                </c:pt>
                <c:pt idx="1054">
                  <c:v>4.4384571623515778E-2</c:v>
                </c:pt>
                <c:pt idx="1055">
                  <c:v>4.5199256989641508E-2</c:v>
                </c:pt>
                <c:pt idx="1056">
                  <c:v>4.3469940998591736E-2</c:v>
                </c:pt>
                <c:pt idx="1057">
                  <c:v>4.2234433490157312E-2</c:v>
                </c:pt>
                <c:pt idx="1058">
                  <c:v>4.4846489678159303E-2</c:v>
                </c:pt>
                <c:pt idx="1059">
                  <c:v>4.4092626262289124E-2</c:v>
                </c:pt>
                <c:pt idx="1060">
                  <c:v>4.4264571559498068E-2</c:v>
                </c:pt>
                <c:pt idx="1061">
                  <c:v>4.4873119829352277E-2</c:v>
                </c:pt>
                <c:pt idx="1062">
                  <c:v>4.4682106028819973E-2</c:v>
                </c:pt>
                <c:pt idx="1063">
                  <c:v>4.5248900851741991E-2</c:v>
                </c:pt>
                <c:pt idx="1064">
                  <c:v>4.4162324929609004E-2</c:v>
                </c:pt>
                <c:pt idx="1065">
                  <c:v>4.5371859821447806E-2</c:v>
                </c:pt>
                <c:pt idx="1066">
                  <c:v>4.4538105951998717E-2</c:v>
                </c:pt>
                <c:pt idx="1067">
                  <c:v>4.4957613025112697E-2</c:v>
                </c:pt>
                <c:pt idx="1068">
                  <c:v>4.5219969329458272E-2</c:v>
                </c:pt>
                <c:pt idx="1069">
                  <c:v>4.5248900851741991E-2</c:v>
                </c:pt>
                <c:pt idx="1070">
                  <c:v>4.4501941549144067E-2</c:v>
                </c:pt>
                <c:pt idx="1071">
                  <c:v>4.6040243739661535E-2</c:v>
                </c:pt>
                <c:pt idx="1072">
                  <c:v>4.6090216369060695E-2</c:v>
                </c:pt>
                <c:pt idx="1073">
                  <c:v>4.4941832194776113E-2</c:v>
                </c:pt>
                <c:pt idx="1074">
                  <c:v>5.2849014495296685E-2</c:v>
                </c:pt>
                <c:pt idx="1075">
                  <c:v>3.5925389028513735E-2</c:v>
                </c:pt>
                <c:pt idx="1076">
                  <c:v>4.0649117575928789E-2</c:v>
                </c:pt>
                <c:pt idx="1077">
                  <c:v>4.5608243509197774E-2</c:v>
                </c:pt>
                <c:pt idx="1078">
                  <c:v>4.5314325544179045E-2</c:v>
                </c:pt>
                <c:pt idx="1079">
                  <c:v>4.4830708847822726E-2</c:v>
                </c:pt>
                <c:pt idx="1080">
                  <c:v>4.5866325838660529E-2</c:v>
                </c:pt>
                <c:pt idx="1081">
                  <c:v>4.5793668265652537E-2</c:v>
                </c:pt>
                <c:pt idx="1082">
                  <c:v>4.5863038165673733E-2</c:v>
                </c:pt>
                <c:pt idx="1083">
                  <c:v>4.4480900442028633E-2</c:v>
                </c:pt>
                <c:pt idx="1084">
                  <c:v>4.7746217252505121E-2</c:v>
                </c:pt>
                <c:pt idx="1085">
                  <c:v>4.1025884900214547E-2</c:v>
                </c:pt>
                <c:pt idx="1086">
                  <c:v>4.2938981811225692E-2</c:v>
                </c:pt>
                <c:pt idx="1087">
                  <c:v>4.6418654900440677E-2</c:v>
                </c:pt>
                <c:pt idx="1088">
                  <c:v>4.6473559039320017E-2</c:v>
                </c:pt>
                <c:pt idx="1089">
                  <c:v>4.6242435628348913E-2</c:v>
                </c:pt>
                <c:pt idx="1090">
                  <c:v>4.6150709552017569E-2</c:v>
                </c:pt>
                <c:pt idx="1091">
                  <c:v>4.6728682463094653E-2</c:v>
                </c:pt>
                <c:pt idx="1092">
                  <c:v>4.5890654618762745E-2</c:v>
                </c:pt>
                <c:pt idx="1093">
                  <c:v>4.650314809620109E-2</c:v>
                </c:pt>
                <c:pt idx="1094">
                  <c:v>4.6028079349610423E-2</c:v>
                </c:pt>
                <c:pt idx="1095">
                  <c:v>4.5907750518294037E-2</c:v>
                </c:pt>
                <c:pt idx="1096">
                  <c:v>4.6513997417057494E-2</c:v>
                </c:pt>
                <c:pt idx="1097">
                  <c:v>4.5507969483100784E-2</c:v>
                </c:pt>
                <c:pt idx="1098">
                  <c:v>4.634862746582212E-2</c:v>
                </c:pt>
                <c:pt idx="1099">
                  <c:v>4.5759147699291278E-2</c:v>
                </c:pt>
                <c:pt idx="1100">
                  <c:v>4.6092188972852763E-2</c:v>
                </c:pt>
                <c:pt idx="1101">
                  <c:v>4.6829942791087681E-2</c:v>
                </c:pt>
                <c:pt idx="1102">
                  <c:v>4.5426106425729793E-2</c:v>
                </c:pt>
                <c:pt idx="1103">
                  <c:v>4.6414709692856541E-2</c:v>
                </c:pt>
                <c:pt idx="1104">
                  <c:v>4.6055367035400752E-2</c:v>
                </c:pt>
                <c:pt idx="1105">
                  <c:v>4.6891093508641922E-2</c:v>
                </c:pt>
                <c:pt idx="1106">
                  <c:v>4.6935148326664865E-2</c:v>
                </c:pt>
                <c:pt idx="1107">
                  <c:v>4.692265516931507E-2</c:v>
                </c:pt>
                <c:pt idx="1108">
                  <c:v>4.7104792252783051E-2</c:v>
                </c:pt>
                <c:pt idx="1109">
                  <c:v>4.6584024851676044E-2</c:v>
                </c:pt>
                <c:pt idx="1110">
                  <c:v>4.5940298480863215E-2</c:v>
                </c:pt>
                <c:pt idx="1111">
                  <c:v>4.625262741460795E-2</c:v>
                </c:pt>
                <c:pt idx="1112">
                  <c:v>4.5831805272299263E-2</c:v>
                </c:pt>
                <c:pt idx="1113">
                  <c:v>4.6901285294900966E-2</c:v>
                </c:pt>
                <c:pt idx="1114">
                  <c:v>4.70686278499284E-2</c:v>
                </c:pt>
                <c:pt idx="1115">
                  <c:v>4.6433778196179894E-2</c:v>
                </c:pt>
                <c:pt idx="1116">
                  <c:v>4.7225121084099445E-2</c:v>
                </c:pt>
                <c:pt idx="1117">
                  <c:v>4.6303257578604463E-2</c:v>
                </c:pt>
                <c:pt idx="1118">
                  <c:v>4.5706544931502689E-2</c:v>
                </c:pt>
                <c:pt idx="1119">
                  <c:v>4.5268955656961388E-2</c:v>
                </c:pt>
                <c:pt idx="1120">
                  <c:v>4.6844408552229551E-2</c:v>
                </c:pt>
                <c:pt idx="1121">
                  <c:v>4.6670490651228538E-2</c:v>
                </c:pt>
                <c:pt idx="1122">
                  <c:v>5.6837290595567566E-2</c:v>
                </c:pt>
                <c:pt idx="1123">
                  <c:v>3.5908293128982444E-2</c:v>
                </c:pt>
                <c:pt idx="1124">
                  <c:v>4.5012517163992023E-2</c:v>
                </c:pt>
                <c:pt idx="1125">
                  <c:v>4.6189504093261648E-2</c:v>
                </c:pt>
                <c:pt idx="1126">
                  <c:v>4.6966381220039335E-2</c:v>
                </c:pt>
                <c:pt idx="1127">
                  <c:v>4.6494600146435451E-2</c:v>
                </c:pt>
                <c:pt idx="1128">
                  <c:v>4.6467312460645123E-2</c:v>
                </c:pt>
                <c:pt idx="1129">
                  <c:v>4.7930984474362538E-2</c:v>
                </c:pt>
                <c:pt idx="1130">
                  <c:v>4.4397722315462934E-2</c:v>
                </c:pt>
                <c:pt idx="1131">
                  <c:v>4.602742181501307E-2</c:v>
                </c:pt>
                <c:pt idx="1132">
                  <c:v>4.7521340420208918E-2</c:v>
                </c:pt>
                <c:pt idx="1133">
                  <c:v>4.8046381796198752E-2</c:v>
                </c:pt>
                <c:pt idx="1134">
                  <c:v>4.6973614100610267E-2</c:v>
                </c:pt>
                <c:pt idx="1135">
                  <c:v>4.7541723992726992E-2</c:v>
                </c:pt>
                <c:pt idx="1136">
                  <c:v>4.6690216689149258E-2</c:v>
                </c:pt>
                <c:pt idx="1137">
                  <c:v>4.7157066253272963E-2</c:v>
                </c:pt>
                <c:pt idx="1138">
                  <c:v>4.6524189203316524E-2</c:v>
                </c:pt>
                <c:pt idx="1139">
                  <c:v>4.6973614100610267E-2</c:v>
                </c:pt>
                <c:pt idx="1140">
                  <c:v>4.6419641202336721E-2</c:v>
                </c:pt>
                <c:pt idx="1141">
                  <c:v>4.6360463088574555E-2</c:v>
                </c:pt>
                <c:pt idx="1142">
                  <c:v>4.6918052427133566E-2</c:v>
                </c:pt>
                <c:pt idx="1143">
                  <c:v>4.7365504720635228E-2</c:v>
                </c:pt>
                <c:pt idx="1144">
                  <c:v>4.7327038946689826E-2</c:v>
                </c:pt>
                <c:pt idx="1145">
                  <c:v>4.690786064087453E-2</c:v>
                </c:pt>
                <c:pt idx="1146">
                  <c:v>4.7062052503954822E-2</c:v>
                </c:pt>
                <c:pt idx="1147">
                  <c:v>4.7417449953826463E-2</c:v>
                </c:pt>
                <c:pt idx="1148">
                  <c:v>4.6852298967397836E-2</c:v>
                </c:pt>
                <c:pt idx="1149">
                  <c:v>4.7952683116075326E-2</c:v>
                </c:pt>
                <c:pt idx="1150">
                  <c:v>4.8406710755550565E-2</c:v>
                </c:pt>
                <c:pt idx="1151">
                  <c:v>4.6589613895753584E-2</c:v>
                </c:pt>
                <c:pt idx="1152">
                  <c:v>4.5768024416355593E-2</c:v>
                </c:pt>
                <c:pt idx="1153">
                  <c:v>4.8401121711473025E-2</c:v>
                </c:pt>
                <c:pt idx="1154">
                  <c:v>4.7847806347796833E-2</c:v>
                </c:pt>
                <c:pt idx="1155">
                  <c:v>4.8444518994898614E-2</c:v>
                </c:pt>
                <c:pt idx="1156">
                  <c:v>4.5409996828094538E-2</c:v>
                </c:pt>
                <c:pt idx="1157">
                  <c:v>4.8106546211856942E-2</c:v>
                </c:pt>
                <c:pt idx="1158">
                  <c:v>4.8500080668375307E-2</c:v>
                </c:pt>
                <c:pt idx="1159">
                  <c:v>4.6794435922830391E-2</c:v>
                </c:pt>
                <c:pt idx="1160">
                  <c:v>4.8227203810472019E-2</c:v>
                </c:pt>
                <c:pt idx="1161">
                  <c:v>4.8040792752121204E-2</c:v>
                </c:pt>
                <c:pt idx="1162">
                  <c:v>4.7619313075215164E-2</c:v>
                </c:pt>
                <c:pt idx="1163">
                  <c:v>4.728298412866689E-2</c:v>
                </c:pt>
                <c:pt idx="1164">
                  <c:v>4.7540408923532285E-2</c:v>
                </c:pt>
                <c:pt idx="1165">
                  <c:v>4.8316628515712612E-2</c:v>
                </c:pt>
                <c:pt idx="1166">
                  <c:v>4.6840463344645401E-2</c:v>
                </c:pt>
                <c:pt idx="1167">
                  <c:v>4.7888902260131663E-2</c:v>
                </c:pt>
                <c:pt idx="1168">
                  <c:v>4.8314984679219221E-2</c:v>
                </c:pt>
                <c:pt idx="1169">
                  <c:v>5.0002547223336802E-2</c:v>
                </c:pt>
                <c:pt idx="1170">
                  <c:v>4.5302489921426617E-2</c:v>
                </c:pt>
                <c:pt idx="1171">
                  <c:v>4.7438491060941897E-2</c:v>
                </c:pt>
                <c:pt idx="1172">
                  <c:v>4.7757724107958879E-2</c:v>
                </c:pt>
                <c:pt idx="1173">
                  <c:v>4.8252190125171596E-2</c:v>
                </c:pt>
                <c:pt idx="1174">
                  <c:v>4.8457340919547079E-2</c:v>
                </c:pt>
                <c:pt idx="1175">
                  <c:v>4.7847148813199472E-2</c:v>
                </c:pt>
                <c:pt idx="1176">
                  <c:v>4.7554545917375457E-2</c:v>
                </c:pt>
                <c:pt idx="1177">
                  <c:v>4.7309285512561181E-2</c:v>
                </c:pt>
                <c:pt idx="1178">
                  <c:v>4.8142710614711599E-2</c:v>
                </c:pt>
                <c:pt idx="1179">
                  <c:v>4.8751916419163162E-2</c:v>
                </c:pt>
                <c:pt idx="1180">
                  <c:v>4.769920352879408E-2</c:v>
                </c:pt>
                <c:pt idx="1181">
                  <c:v>4.7799806322189747E-2</c:v>
                </c:pt>
                <c:pt idx="1182">
                  <c:v>4.9137231693214559E-2</c:v>
                </c:pt>
                <c:pt idx="1183">
                  <c:v>4.6628408436997663E-2</c:v>
                </c:pt>
                <c:pt idx="1184">
                  <c:v>4.8284080553143427E-2</c:v>
                </c:pt>
                <c:pt idx="1185">
                  <c:v>4.8349176478281797E-2</c:v>
                </c:pt>
                <c:pt idx="1186">
                  <c:v>4.8195313382500188E-2</c:v>
                </c:pt>
                <c:pt idx="1187">
                  <c:v>4.6842764715736153E-2</c:v>
                </c:pt>
                <c:pt idx="1188">
                  <c:v>4.7841231001823262E-2</c:v>
                </c:pt>
                <c:pt idx="1189">
                  <c:v>4.8442546391106539E-2</c:v>
                </c:pt>
                <c:pt idx="1190">
                  <c:v>4.8859094558532407E-2</c:v>
                </c:pt>
                <c:pt idx="1191">
                  <c:v>4.8070381809002291E-2</c:v>
                </c:pt>
                <c:pt idx="1192">
                  <c:v>4.7661395289446025E-2</c:v>
                </c:pt>
                <c:pt idx="1193">
                  <c:v>4.7590052785632761E-2</c:v>
                </c:pt>
                <c:pt idx="1194">
                  <c:v>4.7439477362837934E-2</c:v>
                </c:pt>
                <c:pt idx="1195">
                  <c:v>4.8256135332755738E-2</c:v>
                </c:pt>
                <c:pt idx="1196">
                  <c:v>4.9871369071164018E-2</c:v>
                </c:pt>
                <c:pt idx="1197">
                  <c:v>4.7632463767162306E-2</c:v>
                </c:pt>
                <c:pt idx="1198">
                  <c:v>4.8307094264050936E-2</c:v>
                </c:pt>
                <c:pt idx="1199">
                  <c:v>4.7298107424406106E-2</c:v>
                </c:pt>
                <c:pt idx="1200">
                  <c:v>4.9055368635843567E-2</c:v>
                </c:pt>
                <c:pt idx="1201">
                  <c:v>4.6543586473938567E-2</c:v>
                </c:pt>
                <c:pt idx="1202">
                  <c:v>4.8265998351716098E-2</c:v>
                </c:pt>
                <c:pt idx="1203">
                  <c:v>4.9364738663900197E-2</c:v>
                </c:pt>
                <c:pt idx="1204">
                  <c:v>4.7471039023511082E-2</c:v>
                </c:pt>
                <c:pt idx="1205">
                  <c:v>4.8613834153718123E-2</c:v>
                </c:pt>
                <c:pt idx="1206">
                  <c:v>4.827914904366324E-2</c:v>
                </c:pt>
                <c:pt idx="1207">
                  <c:v>4.7960244763944941E-2</c:v>
                </c:pt>
                <c:pt idx="1208">
                  <c:v>4.8651642393066165E-2</c:v>
                </c:pt>
                <c:pt idx="1209">
                  <c:v>4.8492190253207022E-2</c:v>
                </c:pt>
                <c:pt idx="1210">
                  <c:v>4.7766929592321886E-2</c:v>
                </c:pt>
                <c:pt idx="1211">
                  <c:v>5.02152596655819E-2</c:v>
                </c:pt>
                <c:pt idx="1212">
                  <c:v>4.6400243931714678E-2</c:v>
                </c:pt>
                <c:pt idx="1213">
                  <c:v>4.8324847698179581E-2</c:v>
                </c:pt>
                <c:pt idx="1214">
                  <c:v>4.8217998326109013E-2</c:v>
                </c:pt>
                <c:pt idx="1215">
                  <c:v>4.8605614971251154E-2</c:v>
                </c:pt>
                <c:pt idx="1216">
                  <c:v>4.8050655771081564E-2</c:v>
                </c:pt>
                <c:pt idx="1217">
                  <c:v>4.8362327170228946E-2</c:v>
                </c:pt>
                <c:pt idx="1218">
                  <c:v>4.7985559845943195E-2</c:v>
                </c:pt>
                <c:pt idx="1219">
                  <c:v>5.0578218763323142E-2</c:v>
                </c:pt>
                <c:pt idx="1220">
                  <c:v>4.6506107001889209E-2</c:v>
                </c:pt>
                <c:pt idx="1221">
                  <c:v>4.8808135627237209E-2</c:v>
                </c:pt>
                <c:pt idx="1222">
                  <c:v>4.8681888984544605E-2</c:v>
                </c:pt>
                <c:pt idx="1223">
                  <c:v>4.9464355155399826E-2</c:v>
                </c:pt>
                <c:pt idx="1224">
                  <c:v>4.7910600901844465E-2</c:v>
                </c:pt>
                <c:pt idx="1225">
                  <c:v>4.8445505296794644E-2</c:v>
                </c:pt>
                <c:pt idx="1226">
                  <c:v>5.037043783055823E-2</c:v>
                </c:pt>
                <c:pt idx="1227">
                  <c:v>4.8105231142662228E-2</c:v>
                </c:pt>
                <c:pt idx="1228">
                  <c:v>4.8621395801587731E-2</c:v>
                </c:pt>
                <c:pt idx="1229">
                  <c:v>4.915925910222603E-2</c:v>
                </c:pt>
                <c:pt idx="1230">
                  <c:v>4.9481779822229795E-2</c:v>
                </c:pt>
                <c:pt idx="1231">
                  <c:v>4.8898546634373846E-2</c:v>
                </c:pt>
                <c:pt idx="1232">
                  <c:v>4.9373286613665836E-2</c:v>
                </c:pt>
                <c:pt idx="1233">
                  <c:v>4.8355094289658014E-2</c:v>
                </c:pt>
                <c:pt idx="1234">
                  <c:v>4.9007368610236482E-2</c:v>
                </c:pt>
                <c:pt idx="1235">
                  <c:v>4.8573395775980646E-2</c:v>
                </c:pt>
                <c:pt idx="1236">
                  <c:v>4.9000793264262911E-2</c:v>
                </c:pt>
                <c:pt idx="1237">
                  <c:v>4.7232353964670376E-2</c:v>
                </c:pt>
                <c:pt idx="1238">
                  <c:v>4.8468519007702153E-2</c:v>
                </c:pt>
                <c:pt idx="1239">
                  <c:v>5.0970438150646794E-2</c:v>
                </c:pt>
                <c:pt idx="1240">
                  <c:v>4.7865559781925485E-2</c:v>
                </c:pt>
                <c:pt idx="1241">
                  <c:v>4.8928135691254926E-2</c:v>
                </c:pt>
                <c:pt idx="1242">
                  <c:v>4.89547658424479E-2</c:v>
                </c:pt>
                <c:pt idx="1243">
                  <c:v>4.8716080783607188E-2</c:v>
                </c:pt>
                <c:pt idx="1244">
                  <c:v>4.8212080514732795E-2</c:v>
                </c:pt>
                <c:pt idx="1245">
                  <c:v>4.9571533294769064E-2</c:v>
                </c:pt>
                <c:pt idx="1246">
                  <c:v>4.9800355334649424E-2</c:v>
                </c:pt>
                <c:pt idx="1247">
                  <c:v>4.7772847403698103E-2</c:v>
                </c:pt>
                <c:pt idx="1248">
                  <c:v>5.0136684281197698E-2</c:v>
                </c:pt>
                <c:pt idx="1249">
                  <c:v>4.7675203515990541E-2</c:v>
                </c:pt>
                <c:pt idx="1250">
                  <c:v>4.9339094814603267E-2</c:v>
                </c:pt>
                <c:pt idx="1251">
                  <c:v>5.1028958729811592E-2</c:v>
                </c:pt>
                <c:pt idx="1252">
                  <c:v>4.7119915548522268E-2</c:v>
                </c:pt>
                <c:pt idx="1253">
                  <c:v>4.9851971800541975E-2</c:v>
                </c:pt>
                <c:pt idx="1254">
                  <c:v>4.8362327170228946E-2</c:v>
                </c:pt>
                <c:pt idx="1255">
                  <c:v>4.9124409768566094E-2</c:v>
                </c:pt>
                <c:pt idx="1256">
                  <c:v>4.8342929899606903E-2</c:v>
                </c:pt>
                <c:pt idx="1257">
                  <c:v>4.8918601439593243E-2</c:v>
                </c:pt>
                <c:pt idx="1258">
                  <c:v>4.9209560498923867E-2</c:v>
                </c:pt>
                <c:pt idx="1259">
                  <c:v>4.9057341239635642E-2</c:v>
                </c:pt>
                <c:pt idx="1260">
                  <c:v>4.9093176875191616E-2</c:v>
                </c:pt>
                <c:pt idx="1261">
                  <c:v>5.0236958307294688E-2</c:v>
                </c:pt>
                <c:pt idx="1262">
                  <c:v>4.9466985293789262E-2</c:v>
                </c:pt>
                <c:pt idx="1263">
                  <c:v>4.9338766047304576E-2</c:v>
                </c:pt>
                <c:pt idx="1264">
                  <c:v>4.9667533345983242E-2</c:v>
                </c:pt>
                <c:pt idx="1265">
                  <c:v>4.9926930744640705E-2</c:v>
                </c:pt>
                <c:pt idx="1266">
                  <c:v>4.9320683845877247E-2</c:v>
                </c:pt>
                <c:pt idx="1267">
                  <c:v>4.9669834717074E-2</c:v>
                </c:pt>
                <c:pt idx="1268">
                  <c:v>4.9668190880580602E-2</c:v>
                </c:pt>
                <c:pt idx="1269">
                  <c:v>4.7866217316522838E-2</c:v>
                </c:pt>
                <c:pt idx="1270">
                  <c:v>4.948934147009941E-2</c:v>
                </c:pt>
                <c:pt idx="1271">
                  <c:v>4.9151697454356422E-2</c:v>
                </c:pt>
                <c:pt idx="1272">
                  <c:v>4.9198053643470109E-2</c:v>
                </c:pt>
                <c:pt idx="1273">
                  <c:v>4.9582053848326799E-2</c:v>
                </c:pt>
                <c:pt idx="1274">
                  <c:v>4.9310820826916887E-2</c:v>
                </c:pt>
                <c:pt idx="1275">
                  <c:v>5.0335588496898294E-2</c:v>
                </c:pt>
                <c:pt idx="1276">
                  <c:v>4.9302601644449918E-2</c:v>
                </c:pt>
                <c:pt idx="1277">
                  <c:v>5.0358602207805789E-2</c:v>
                </c:pt>
                <c:pt idx="1278">
                  <c:v>4.8990930245302551E-2</c:v>
                </c:pt>
                <c:pt idx="1279">
                  <c:v>4.8124628413284271E-2</c:v>
                </c:pt>
                <c:pt idx="1280">
                  <c:v>4.9920026631368457E-2</c:v>
                </c:pt>
                <c:pt idx="1281">
                  <c:v>4.9492629143086199E-2</c:v>
                </c:pt>
                <c:pt idx="1282">
                  <c:v>4.8162107885333635E-2</c:v>
                </c:pt>
                <c:pt idx="1283">
                  <c:v>4.9105998799840088E-2</c:v>
                </c:pt>
                <c:pt idx="1284">
                  <c:v>5.0755095570012267E-2</c:v>
                </c:pt>
                <c:pt idx="1285">
                  <c:v>4.7997395468695622E-2</c:v>
                </c:pt>
                <c:pt idx="1286">
                  <c:v>4.9401560601352201E-2</c:v>
                </c:pt>
                <c:pt idx="1287">
                  <c:v>4.956462918149683E-2</c:v>
                </c:pt>
                <c:pt idx="1288">
                  <c:v>5.1828192032899435E-2</c:v>
                </c:pt>
                <c:pt idx="1289">
                  <c:v>4.9649451144555913E-2</c:v>
                </c:pt>
                <c:pt idx="1290">
                  <c:v>4.895410830785054E-2</c:v>
                </c:pt>
                <c:pt idx="1291">
                  <c:v>4.985986221571026E-2</c:v>
                </c:pt>
                <c:pt idx="1292">
                  <c:v>4.8562875222422933E-2</c:v>
                </c:pt>
                <c:pt idx="1293">
                  <c:v>4.941405375870199E-2</c:v>
                </c:pt>
                <c:pt idx="1294">
                  <c:v>4.9751040239847624E-2</c:v>
                </c:pt>
                <c:pt idx="1295">
                  <c:v>4.9463040086205112E-2</c:v>
                </c:pt>
                <c:pt idx="1296">
                  <c:v>5.064068455007209E-2</c:v>
                </c:pt>
                <c:pt idx="1297">
                  <c:v>4.9046820686077922E-2</c:v>
                </c:pt>
                <c:pt idx="1298">
                  <c:v>4.988024578822834E-2</c:v>
                </c:pt>
                <c:pt idx="1299">
                  <c:v>4.9537999030303849E-2</c:v>
                </c:pt>
                <c:pt idx="1300">
                  <c:v>5.0042328066476918E-2</c:v>
                </c:pt>
                <c:pt idx="1301">
                  <c:v>4.9408793481923133E-2</c:v>
                </c:pt>
                <c:pt idx="1302">
                  <c:v>4.9304245480943316E-2</c:v>
                </c:pt>
                <c:pt idx="1303">
                  <c:v>4.9817122466882031E-2</c:v>
                </c:pt>
                <c:pt idx="1304">
                  <c:v>5.1563863124761779E-2</c:v>
                </c:pt>
                <c:pt idx="1305">
                  <c:v>4.7660408987549994E-2</c:v>
                </c:pt>
                <c:pt idx="1306">
                  <c:v>4.9778656692936636E-2</c:v>
                </c:pt>
                <c:pt idx="1307">
                  <c:v>4.8530984794451101E-2</c:v>
                </c:pt>
                <c:pt idx="1308">
                  <c:v>4.9696136100968284E-2</c:v>
                </c:pt>
                <c:pt idx="1309">
                  <c:v>4.9830930693426541E-2</c:v>
                </c:pt>
                <c:pt idx="1310">
                  <c:v>4.9826327951245038E-2</c:v>
                </c:pt>
                <c:pt idx="1311">
                  <c:v>5.0418766623463993E-2</c:v>
                </c:pt>
                <c:pt idx="1312">
                  <c:v>4.9389067444002413E-2</c:v>
                </c:pt>
                <c:pt idx="1313">
                  <c:v>4.9516300388591054E-2</c:v>
                </c:pt>
                <c:pt idx="1314">
                  <c:v>4.9349286600862297E-2</c:v>
                </c:pt>
                <c:pt idx="1315">
                  <c:v>5.1926493455204344E-2</c:v>
                </c:pt>
                <c:pt idx="1316">
                  <c:v>4.8216354489615615E-2</c:v>
                </c:pt>
                <c:pt idx="1317">
                  <c:v>5.0229725426723763E-2</c:v>
                </c:pt>
                <c:pt idx="1318">
                  <c:v>4.9822053976362218E-2</c:v>
                </c:pt>
                <c:pt idx="1319">
                  <c:v>5.0276081615837451E-2</c:v>
                </c:pt>
                <c:pt idx="1320">
                  <c:v>5.0532520108806815E-2</c:v>
                </c:pt>
                <c:pt idx="1321">
                  <c:v>4.9498218187163726E-2</c:v>
                </c:pt>
                <c:pt idx="1322">
                  <c:v>5.0018328053673379E-2</c:v>
                </c:pt>
                <c:pt idx="1323">
                  <c:v>5.021953364046472E-2</c:v>
                </c:pt>
                <c:pt idx="1324">
                  <c:v>5.0376026874635771E-2</c:v>
                </c:pt>
                <c:pt idx="1325">
                  <c:v>4.9637944289102169E-2</c:v>
                </c:pt>
                <c:pt idx="1326">
                  <c:v>4.9126382372358168E-2</c:v>
                </c:pt>
                <c:pt idx="1327">
                  <c:v>4.9593231936481866E-2</c:v>
                </c:pt>
                <c:pt idx="1328">
                  <c:v>5.0628848927319656E-2</c:v>
                </c:pt>
                <c:pt idx="1329">
                  <c:v>4.9640903194790274E-2</c:v>
                </c:pt>
                <c:pt idx="1330">
                  <c:v>4.9838821108594826E-2</c:v>
                </c:pt>
                <c:pt idx="1331">
                  <c:v>5.0436520057592638E-2</c:v>
                </c:pt>
                <c:pt idx="1332">
                  <c:v>5.0515752976574194E-2</c:v>
                </c:pt>
                <c:pt idx="1333">
                  <c:v>4.9892081410980768E-2</c:v>
                </c:pt>
                <c:pt idx="1334">
                  <c:v>4.9697122402864322E-2</c:v>
                </c:pt>
                <c:pt idx="1335">
                  <c:v>4.9316409870994435E-2</c:v>
                </c:pt>
                <c:pt idx="1336">
                  <c:v>5.0109725362706047E-2</c:v>
                </c:pt>
                <c:pt idx="1337">
                  <c:v>4.9387423607509022E-2</c:v>
                </c:pt>
                <c:pt idx="1338">
                  <c:v>5.079093120556824E-2</c:v>
                </c:pt>
                <c:pt idx="1339">
                  <c:v>4.9947314317158792E-2</c:v>
                </c:pt>
                <c:pt idx="1340">
                  <c:v>5.0990164188567513E-2</c:v>
                </c:pt>
                <c:pt idx="1341">
                  <c:v>5.0493068032965369E-2</c:v>
                </c:pt>
                <c:pt idx="1342">
                  <c:v>4.9462711318906435E-2</c:v>
                </c:pt>
                <c:pt idx="1343">
                  <c:v>5.0115314406783587E-2</c:v>
                </c:pt>
                <c:pt idx="1344">
                  <c:v>5.0593342059062366E-2</c:v>
                </c:pt>
                <c:pt idx="1345">
                  <c:v>5.1308739700987135E-2</c:v>
                </c:pt>
                <c:pt idx="1346">
                  <c:v>4.9871040303865334E-2</c:v>
                </c:pt>
                <c:pt idx="1347">
                  <c:v>5.1808137227680032E-2</c:v>
                </c:pt>
                <c:pt idx="1348">
                  <c:v>5.0586437945790111E-2</c:v>
                </c:pt>
                <c:pt idx="1349">
                  <c:v>4.8609560178835297E-2</c:v>
                </c:pt>
                <c:pt idx="1350">
                  <c:v>5.0383588522505372E-2</c:v>
                </c:pt>
                <c:pt idx="1351">
                  <c:v>4.9072464535374859E-2</c:v>
                </c:pt>
                <c:pt idx="1352">
                  <c:v>5.0341177540975821E-2</c:v>
                </c:pt>
                <c:pt idx="1353">
                  <c:v>4.9371642777172445E-2</c:v>
                </c:pt>
                <c:pt idx="1354">
                  <c:v>4.9332190701331005E-2</c:v>
                </c:pt>
                <c:pt idx="1355">
                  <c:v>5.0154766482625027E-2</c:v>
                </c:pt>
                <c:pt idx="1356">
                  <c:v>5.0376684409233125E-2</c:v>
                </c:pt>
                <c:pt idx="1357">
                  <c:v>5.0477287202628798E-2</c:v>
                </c:pt>
                <c:pt idx="1358">
                  <c:v>4.9611971672506541E-2</c:v>
                </c:pt>
                <c:pt idx="1359">
                  <c:v>5.0259314483604836E-2</c:v>
                </c:pt>
                <c:pt idx="1360">
                  <c:v>5.056999958085618E-2</c:v>
                </c:pt>
                <c:pt idx="1361">
                  <c:v>5.0378328245726516E-2</c:v>
                </c:pt>
                <c:pt idx="1362">
                  <c:v>5.0344465213962616E-2</c:v>
                </c:pt>
                <c:pt idx="1363">
                  <c:v>4.9994328040869833E-2</c:v>
                </c:pt>
                <c:pt idx="1364">
                  <c:v>5.0846492879044934E-2</c:v>
                </c:pt>
                <c:pt idx="1365">
                  <c:v>4.915925910222603E-2</c:v>
                </c:pt>
                <c:pt idx="1366">
                  <c:v>4.9721122415667868E-2</c:v>
                </c:pt>
                <c:pt idx="1367">
                  <c:v>4.9896355385863594E-2</c:v>
                </c:pt>
                <c:pt idx="1368">
                  <c:v>5.0099862343745687E-2</c:v>
                </c:pt>
                <c:pt idx="1369">
                  <c:v>5.0424355667541533E-2</c:v>
                </c:pt>
                <c:pt idx="1370">
                  <c:v>5.0146218532859381E-2</c:v>
                </c:pt>
                <c:pt idx="1371">
                  <c:v>5.0637068109786625E-2</c:v>
                </c:pt>
                <c:pt idx="1372">
                  <c:v>4.9880903322825701E-2</c:v>
                </c:pt>
                <c:pt idx="1373">
                  <c:v>5.040397209502346E-2</c:v>
                </c:pt>
                <c:pt idx="1374">
                  <c:v>5.1288356128469055E-2</c:v>
                </c:pt>
                <c:pt idx="1375">
                  <c:v>4.9315752336397067E-2</c:v>
                </c:pt>
                <c:pt idx="1376">
                  <c:v>5.0834657256292499E-2</c:v>
                </c:pt>
                <c:pt idx="1377">
                  <c:v>5.1637178232367124E-2</c:v>
                </c:pt>
                <c:pt idx="1378">
                  <c:v>4.9838492341296149E-2</c:v>
                </c:pt>
                <c:pt idx="1379">
                  <c:v>4.9604081257338256E-2</c:v>
                </c:pt>
                <c:pt idx="1380">
                  <c:v>5.0682766764302965E-2</c:v>
                </c:pt>
                <c:pt idx="1381">
                  <c:v>5.0415478950477204E-2</c:v>
                </c:pt>
                <c:pt idx="1382">
                  <c:v>5.0663040726382239E-2</c:v>
                </c:pt>
                <c:pt idx="1383">
                  <c:v>5.0308300811107959E-2</c:v>
                </c:pt>
                <c:pt idx="1384">
                  <c:v>5.0696246223548784E-2</c:v>
                </c:pt>
                <c:pt idx="1385">
                  <c:v>5.0302382999731741E-2</c:v>
                </c:pt>
                <c:pt idx="1386">
                  <c:v>5.0870821659147157E-2</c:v>
                </c:pt>
                <c:pt idx="1387">
                  <c:v>5.0587424247686148E-2</c:v>
                </c:pt>
                <c:pt idx="1388">
                  <c:v>5.0466437881772394E-2</c:v>
                </c:pt>
                <c:pt idx="1389">
                  <c:v>5.0854383294213226E-2</c:v>
                </c:pt>
                <c:pt idx="1390">
                  <c:v>5.0106437689719265E-2</c:v>
                </c:pt>
                <c:pt idx="1391">
                  <c:v>5.040890360450364E-2</c:v>
                </c:pt>
                <c:pt idx="1392">
                  <c:v>5.0652520172824532E-2</c:v>
                </c:pt>
                <c:pt idx="1393">
                  <c:v>5.1206493071098071E-2</c:v>
                </c:pt>
                <c:pt idx="1394">
                  <c:v>5.0224136382646223E-2</c:v>
                </c:pt>
                <c:pt idx="1395">
                  <c:v>5.0473341995044656E-2</c:v>
                </c:pt>
                <c:pt idx="1396">
                  <c:v>4.9271039983776771E-2</c:v>
                </c:pt>
                <c:pt idx="1397">
                  <c:v>5.1287698593871708E-2</c:v>
                </c:pt>
                <c:pt idx="1398">
                  <c:v>5.0161341828598605E-2</c:v>
                </c:pt>
                <c:pt idx="1399">
                  <c:v>5.0711369519288001E-2</c:v>
                </c:pt>
                <c:pt idx="1400">
                  <c:v>5.1796301604927597E-2</c:v>
                </c:pt>
                <c:pt idx="1401">
                  <c:v>5.0831040816007041E-2</c:v>
                </c:pt>
                <c:pt idx="1402">
                  <c:v>5.0957616225998321E-2</c:v>
                </c:pt>
                <c:pt idx="1403">
                  <c:v>5.0257341879812768E-2</c:v>
                </c:pt>
                <c:pt idx="1404">
                  <c:v>5.147476718681987E-2</c:v>
                </c:pt>
                <c:pt idx="1405">
                  <c:v>5.0488794058082542E-2</c:v>
                </c:pt>
                <c:pt idx="1406">
                  <c:v>5.0298437792147599E-2</c:v>
                </c:pt>
                <c:pt idx="1407">
                  <c:v>5.0805068199411427E-2</c:v>
                </c:pt>
                <c:pt idx="1408">
                  <c:v>5.1299534216624136E-2</c:v>
                </c:pt>
                <c:pt idx="1409">
                  <c:v>4.9685944314709247E-2</c:v>
                </c:pt>
                <c:pt idx="1410">
                  <c:v>5.0526602297430591E-2</c:v>
                </c:pt>
                <c:pt idx="1411">
                  <c:v>5.0706438009807821E-2</c:v>
                </c:pt>
                <c:pt idx="1412">
                  <c:v>4.9997944481155306E-2</c:v>
                </c:pt>
                <c:pt idx="1413">
                  <c:v>5.0804081897515389E-2</c:v>
                </c:pt>
                <c:pt idx="1414">
                  <c:v>5.0873451797536585E-2</c:v>
                </c:pt>
                <c:pt idx="1415">
                  <c:v>5.0957287458699645E-2</c:v>
                </c:pt>
                <c:pt idx="1416">
                  <c:v>5.1170986202840774E-2</c:v>
                </c:pt>
                <c:pt idx="1417">
                  <c:v>5.0628848927319656E-2</c:v>
                </c:pt>
                <c:pt idx="1418">
                  <c:v>5.0968136779556042E-2</c:v>
                </c:pt>
                <c:pt idx="1419">
                  <c:v>5.067027360695317E-2</c:v>
                </c:pt>
                <c:pt idx="1420">
                  <c:v>4.9842437548880292E-2</c:v>
                </c:pt>
                <c:pt idx="1421">
                  <c:v>5.1879150964194619E-2</c:v>
                </c:pt>
                <c:pt idx="1422">
                  <c:v>5.0910602502287274E-2</c:v>
                </c:pt>
                <c:pt idx="1423">
                  <c:v>5.0937232653480248E-2</c:v>
                </c:pt>
                <c:pt idx="1424">
                  <c:v>5.2465671825037356E-2</c:v>
                </c:pt>
                <c:pt idx="1425">
                  <c:v>5.0370109063259547E-2</c:v>
                </c:pt>
                <c:pt idx="1426">
                  <c:v>5.0839917533071363E-2</c:v>
                </c:pt>
                <c:pt idx="1427">
                  <c:v>5.0796520249645781E-2</c:v>
                </c:pt>
                <c:pt idx="1428">
                  <c:v>5.079093120556824E-2</c:v>
                </c:pt>
                <c:pt idx="1429">
                  <c:v>5.0637725644383985E-2</c:v>
                </c:pt>
                <c:pt idx="1430">
                  <c:v>5.1161451951179097E-2</c:v>
                </c:pt>
                <c:pt idx="1431">
                  <c:v>5.1886055077466867E-2</c:v>
                </c:pt>
                <c:pt idx="1432">
                  <c:v>5.1681233050390067E-2</c:v>
                </c:pt>
                <c:pt idx="1433">
                  <c:v>5.1205835536500724E-2</c:v>
                </c:pt>
                <c:pt idx="1434">
                  <c:v>4.9762218328002691E-2</c:v>
                </c:pt>
                <c:pt idx="1435">
                  <c:v>5.1332739713790675E-2</c:v>
                </c:pt>
                <c:pt idx="1436">
                  <c:v>5.0416136485074557E-2</c:v>
                </c:pt>
                <c:pt idx="1437">
                  <c:v>5.0830054514111003E-2</c:v>
                </c:pt>
                <c:pt idx="1438">
                  <c:v>5.1307095864493744E-2</c:v>
                </c:pt>
                <c:pt idx="1439">
                  <c:v>5.1280794480599447E-2</c:v>
                </c:pt>
                <c:pt idx="1440">
                  <c:v>5.1347863009529898E-2</c:v>
                </c:pt>
                <c:pt idx="1441">
                  <c:v>5.0063040406293675E-2</c:v>
                </c:pt>
                <c:pt idx="1442">
                  <c:v>5.0097560972654942E-2</c:v>
                </c:pt>
                <c:pt idx="1443">
                  <c:v>5.0166273338078778E-2</c:v>
                </c:pt>
                <c:pt idx="1444">
                  <c:v>5.1351479449815371E-2</c:v>
                </c:pt>
                <c:pt idx="1445">
                  <c:v>5.2447260856311358E-2</c:v>
                </c:pt>
                <c:pt idx="1446">
                  <c:v>5.1381397273995127E-2</c:v>
                </c:pt>
                <c:pt idx="1447">
                  <c:v>5.1580630256994386E-2</c:v>
                </c:pt>
                <c:pt idx="1448">
                  <c:v>5.1232794454992368E-2</c:v>
                </c:pt>
                <c:pt idx="1449">
                  <c:v>4.9950273222846897E-2</c:v>
                </c:pt>
                <c:pt idx="1450">
                  <c:v>4.9891752643682091E-2</c:v>
                </c:pt>
                <c:pt idx="1451">
                  <c:v>5.0429287177021713E-2</c:v>
                </c:pt>
                <c:pt idx="1452">
                  <c:v>5.0508191328704592E-2</c:v>
                </c:pt>
                <c:pt idx="1453">
                  <c:v>5.0793561343957669E-2</c:v>
                </c:pt>
                <c:pt idx="1454">
                  <c:v>5.0505232423016487E-2</c:v>
                </c:pt>
                <c:pt idx="1455">
                  <c:v>5.08254517719295E-2</c:v>
                </c:pt>
                <c:pt idx="1456">
                  <c:v>5.1226219109018797E-2</c:v>
                </c:pt>
                <c:pt idx="1457">
                  <c:v>5.1263698581068162E-2</c:v>
                </c:pt>
                <c:pt idx="1458">
                  <c:v>5.1389616456462089E-2</c:v>
                </c:pt>
                <c:pt idx="1459">
                  <c:v>5.0869506589952443E-2</c:v>
                </c:pt>
                <c:pt idx="1460">
                  <c:v>5.1933068801177922E-2</c:v>
                </c:pt>
                <c:pt idx="1461">
                  <c:v>5.0711040751989324E-2</c:v>
                </c:pt>
                <c:pt idx="1462">
                  <c:v>5.1116410831260124E-2</c:v>
                </c:pt>
                <c:pt idx="1463">
                  <c:v>5.2244411433026612E-2</c:v>
                </c:pt>
                <c:pt idx="1464">
                  <c:v>5.1456684985392541E-2</c:v>
                </c:pt>
                <c:pt idx="1465">
                  <c:v>5.160660287359E-2</c:v>
                </c:pt>
                <c:pt idx="1466">
                  <c:v>5.0471698158551265E-2</c:v>
                </c:pt>
                <c:pt idx="1467">
                  <c:v>5.1595424785434933E-2</c:v>
                </c:pt>
                <c:pt idx="1468">
                  <c:v>5.0482218712108978E-2</c:v>
                </c:pt>
                <c:pt idx="1469">
                  <c:v>5.143958908586125E-2</c:v>
                </c:pt>
                <c:pt idx="1470">
                  <c:v>5.1564191892060469E-2</c:v>
                </c:pt>
                <c:pt idx="1471">
                  <c:v>5.1342602732751035E-2</c:v>
                </c:pt>
                <c:pt idx="1472">
                  <c:v>5.0296136421056854E-2</c:v>
                </c:pt>
                <c:pt idx="1473">
                  <c:v>5.1536904206270134E-2</c:v>
                </c:pt>
                <c:pt idx="1474">
                  <c:v>5.1228191712810865E-2</c:v>
                </c:pt>
                <c:pt idx="1475">
                  <c:v>5.0758383242999049E-2</c:v>
                </c:pt>
                <c:pt idx="1476">
                  <c:v>5.1624685075017336E-2</c:v>
                </c:pt>
                <c:pt idx="1477">
                  <c:v>5.1010547761085594E-2</c:v>
                </c:pt>
                <c:pt idx="1478">
                  <c:v>5.2156301796980734E-2</c:v>
                </c:pt>
                <c:pt idx="1479">
                  <c:v>5.1716411151348687E-2</c:v>
                </c:pt>
                <c:pt idx="1480">
                  <c:v>5.1035862843083847E-2</c:v>
                </c:pt>
                <c:pt idx="1481">
                  <c:v>5.0111369199199444E-2</c:v>
                </c:pt>
                <c:pt idx="1482">
                  <c:v>5.0419095390762669E-2</c:v>
                </c:pt>
                <c:pt idx="1483">
                  <c:v>5.048550638509576E-2</c:v>
                </c:pt>
                <c:pt idx="1484">
                  <c:v>5.1217342391954475E-2</c:v>
                </c:pt>
                <c:pt idx="1485">
                  <c:v>4.9703040214240539E-2</c:v>
                </c:pt>
                <c:pt idx="1486">
                  <c:v>5.1383041110488512E-2</c:v>
                </c:pt>
                <c:pt idx="1487">
                  <c:v>5.1149616328426663E-2</c:v>
                </c:pt>
                <c:pt idx="1488">
                  <c:v>5.0779424350114483E-2</c:v>
                </c:pt>
                <c:pt idx="1489">
                  <c:v>5.103487654118781E-2</c:v>
                </c:pt>
                <c:pt idx="1490">
                  <c:v>5.1894603027232512E-2</c:v>
                </c:pt>
                <c:pt idx="1491">
                  <c:v>5.1824575592613963E-2</c:v>
                </c:pt>
                <c:pt idx="1492">
                  <c:v>5.3317836663212458E-2</c:v>
                </c:pt>
                <c:pt idx="1493">
                  <c:v>5.3170220146105736E-2</c:v>
                </c:pt>
                <c:pt idx="1494">
                  <c:v>5.4356741327037036E-2</c:v>
                </c:pt>
                <c:pt idx="1495">
                  <c:v>5.3652850540566024E-2</c:v>
                </c:pt>
                <c:pt idx="1496">
                  <c:v>5.3266220197319906E-2</c:v>
                </c:pt>
                <c:pt idx="1497">
                  <c:v>5.339674081489533E-2</c:v>
                </c:pt>
                <c:pt idx="1498">
                  <c:v>5.3474658664682179E-2</c:v>
                </c:pt>
                <c:pt idx="1499">
                  <c:v>5.3385562726740263E-2</c:v>
                </c:pt>
                <c:pt idx="1500">
                  <c:v>5.2839809010933672E-2</c:v>
                </c:pt>
                <c:pt idx="1501">
                  <c:v>5.3014384446532045E-2</c:v>
                </c:pt>
                <c:pt idx="1502">
                  <c:v>5.3498329910187048E-2</c:v>
                </c:pt>
                <c:pt idx="1503">
                  <c:v>5.2406493711275204E-2</c:v>
                </c:pt>
                <c:pt idx="1504">
                  <c:v>5.1122986177233695E-2</c:v>
                </c:pt>
                <c:pt idx="1505">
                  <c:v>5.1847589303521471E-2</c:v>
                </c:pt>
                <c:pt idx="1506">
                  <c:v>4.8212080514732795E-2</c:v>
                </c:pt>
                <c:pt idx="1507">
                  <c:v>4.2534926801149606E-2</c:v>
                </c:pt>
                <c:pt idx="1508">
                  <c:v>3.5504238118906364E-2</c:v>
                </c:pt>
                <c:pt idx="1509">
                  <c:v>3.7136896524144612E-2</c:v>
                </c:pt>
                <c:pt idx="1510">
                  <c:v>4.4585448443008442E-2</c:v>
                </c:pt>
                <c:pt idx="1511">
                  <c:v>4.7976025594281518E-2</c:v>
                </c:pt>
                <c:pt idx="1512">
                  <c:v>5.0358930975104479E-2</c:v>
                </c:pt>
                <c:pt idx="1513">
                  <c:v>5.0623917417839483E-2</c:v>
                </c:pt>
                <c:pt idx="1514">
                  <c:v>5.0339533704482436E-2</c:v>
                </c:pt>
                <c:pt idx="1515">
                  <c:v>5.0242876118670905E-2</c:v>
                </c:pt>
                <c:pt idx="1516">
                  <c:v>5.2289123785646915E-2</c:v>
                </c:pt>
                <c:pt idx="1517">
                  <c:v>5.0371752899752945E-2</c:v>
                </c:pt>
                <c:pt idx="1518">
                  <c:v>5.0918492917455559E-2</c:v>
                </c:pt>
                <c:pt idx="1519">
                  <c:v>5.2456795107973041E-2</c:v>
                </c:pt>
                <c:pt idx="1520">
                  <c:v>5.2697452770605821E-2</c:v>
                </c:pt>
                <c:pt idx="1521">
                  <c:v>5.2362110125953584E-2</c:v>
                </c:pt>
                <c:pt idx="1522">
                  <c:v>5.1396520569734337E-2</c:v>
                </c:pt>
                <c:pt idx="1523">
                  <c:v>5.1526054885413737E-2</c:v>
                </c:pt>
                <c:pt idx="1524">
                  <c:v>5.2259205961467159E-2</c:v>
                </c:pt>
                <c:pt idx="1525">
                  <c:v>5.2255589521181693E-2</c:v>
                </c:pt>
                <c:pt idx="1526">
                  <c:v>5.1991589380342727E-2</c:v>
                </c:pt>
                <c:pt idx="1527">
                  <c:v>5.2874329577294939E-2</c:v>
                </c:pt>
                <c:pt idx="1528">
                  <c:v>5.1493178155545868E-2</c:v>
                </c:pt>
                <c:pt idx="1529">
                  <c:v>5.2213507306950825E-2</c:v>
                </c:pt>
                <c:pt idx="1530">
                  <c:v>5.1155862907101564E-2</c:v>
                </c:pt>
                <c:pt idx="1531">
                  <c:v>5.1509287753181129E-2</c:v>
                </c:pt>
                <c:pt idx="1532">
                  <c:v>5.0930986074805347E-2</c:v>
                </c:pt>
                <c:pt idx="1533">
                  <c:v>5.1867315341442191E-2</c:v>
                </c:pt>
                <c:pt idx="1534">
                  <c:v>5.1623370005822622E-2</c:v>
                </c:pt>
                <c:pt idx="1535">
                  <c:v>5.1646712484028801E-2</c:v>
                </c:pt>
                <c:pt idx="1536">
                  <c:v>5.1138438240271596E-2</c:v>
                </c:pt>
                <c:pt idx="1537">
                  <c:v>5.3096905038500397E-2</c:v>
                </c:pt>
                <c:pt idx="1538">
                  <c:v>5.2704356883878069E-2</c:v>
                </c:pt>
                <c:pt idx="1539">
                  <c:v>5.4503371542247714E-2</c:v>
                </c:pt>
                <c:pt idx="1540">
                  <c:v>5.4134165865831592E-2</c:v>
                </c:pt>
                <c:pt idx="1541">
                  <c:v>5.4520467441779012E-2</c:v>
                </c:pt>
                <c:pt idx="1542">
                  <c:v>5.5052741698339777E-2</c:v>
                </c:pt>
                <c:pt idx="1543">
                  <c:v>5.5383152833511834E-2</c:v>
                </c:pt>
                <c:pt idx="1544">
                  <c:v>5.3463809343825788E-2</c:v>
                </c:pt>
                <c:pt idx="1545">
                  <c:v>5.3304357203966632E-2</c:v>
                </c:pt>
                <c:pt idx="1546">
                  <c:v>5.3530220338158879E-2</c:v>
                </c:pt>
                <c:pt idx="1547">
                  <c:v>5.2838165174440288E-2</c:v>
                </c:pt>
                <c:pt idx="1548">
                  <c:v>5.2832247363064078E-2</c:v>
                </c:pt>
                <c:pt idx="1549">
                  <c:v>5.160167136410982E-2</c:v>
                </c:pt>
                <c:pt idx="1550">
                  <c:v>5.0317506295470965E-2</c:v>
                </c:pt>
                <c:pt idx="1551">
                  <c:v>4.8459971057936507E-2</c:v>
                </c:pt>
                <c:pt idx="1552">
                  <c:v>4.6683312575877003E-2</c:v>
                </c:pt>
                <c:pt idx="1553">
                  <c:v>4.1436186488965514E-2</c:v>
                </c:pt>
                <c:pt idx="1554">
                  <c:v>3.8876733068752105E-2</c:v>
                </c:pt>
                <c:pt idx="1555">
                  <c:v>3.96950348751633E-2</c:v>
                </c:pt>
                <c:pt idx="1556">
                  <c:v>4.3191475096610907E-2</c:v>
                </c:pt>
                <c:pt idx="1557">
                  <c:v>4.7211312857554935E-2</c:v>
                </c:pt>
                <c:pt idx="1558">
                  <c:v>4.8022053016096529E-2</c:v>
                </c:pt>
                <c:pt idx="1559">
                  <c:v>5.0754766802713597E-2</c:v>
                </c:pt>
                <c:pt idx="1560">
                  <c:v>5.1219972530343896E-2</c:v>
                </c:pt>
                <c:pt idx="1561">
                  <c:v>5.1690438534753073E-2</c:v>
                </c:pt>
                <c:pt idx="1562">
                  <c:v>5.1559589149878959E-2</c:v>
                </c:pt>
                <c:pt idx="1563">
                  <c:v>5.2584685587159043E-2</c:v>
                </c:pt>
                <c:pt idx="1564">
                  <c:v>5.1754548157995413E-2</c:v>
                </c:pt>
                <c:pt idx="1565">
                  <c:v>5.2401562201795017E-2</c:v>
                </c:pt>
                <c:pt idx="1566">
                  <c:v>5.2565945851134353E-2</c:v>
                </c:pt>
                <c:pt idx="1567">
                  <c:v>5.3458220299748248E-2</c:v>
                </c:pt>
                <c:pt idx="1568">
                  <c:v>5.1789726258954033E-2</c:v>
                </c:pt>
                <c:pt idx="1569">
                  <c:v>5.3109726963148862E-2</c:v>
                </c:pt>
                <c:pt idx="1570">
                  <c:v>5.2939754269731992E-2</c:v>
                </c:pt>
                <c:pt idx="1571">
                  <c:v>5.3571316250493703E-2</c:v>
                </c:pt>
                <c:pt idx="1572">
                  <c:v>5.4031919235942513E-2</c:v>
                </c:pt>
                <c:pt idx="1573">
                  <c:v>5.2922658370200701E-2</c:v>
                </c:pt>
                <c:pt idx="1574">
                  <c:v>5.297657620718401E-2</c:v>
                </c:pt>
                <c:pt idx="1575">
                  <c:v>5.2793452821819985E-2</c:v>
                </c:pt>
                <c:pt idx="1576">
                  <c:v>5.3003863892974339E-2</c:v>
                </c:pt>
                <c:pt idx="1577">
                  <c:v>5.3437179192632807E-2</c:v>
                </c:pt>
                <c:pt idx="1578">
                  <c:v>5.2770439110912476E-2</c:v>
                </c:pt>
                <c:pt idx="1579">
                  <c:v>5.3426658639075093E-2</c:v>
                </c:pt>
                <c:pt idx="1580">
                  <c:v>5.3340521606821283E-2</c:v>
                </c:pt>
                <c:pt idx="1581">
                  <c:v>5.3564083369922778E-2</c:v>
                </c:pt>
                <c:pt idx="1582">
                  <c:v>5.3196850297298717E-2</c:v>
                </c:pt>
                <c:pt idx="1583">
                  <c:v>5.2718822645019932E-2</c:v>
                </c:pt>
                <c:pt idx="1584">
                  <c:v>5.1945890725826394E-2</c:v>
                </c:pt>
                <c:pt idx="1585">
                  <c:v>5.4634549694420512E-2</c:v>
                </c:pt>
                <c:pt idx="1586">
                  <c:v>5.2771096645509843E-2</c:v>
                </c:pt>
                <c:pt idx="1587">
                  <c:v>5.3112685868836981E-2</c:v>
                </c:pt>
                <c:pt idx="1588">
                  <c:v>5.3633124502645305E-2</c:v>
                </c:pt>
                <c:pt idx="1589">
                  <c:v>5.3942165763403237E-2</c:v>
                </c:pt>
                <c:pt idx="1590">
                  <c:v>5.4011206896125763E-2</c:v>
                </c:pt>
                <c:pt idx="1591">
                  <c:v>5.4123974079572548E-2</c:v>
                </c:pt>
                <c:pt idx="1592">
                  <c:v>5.3891864366705407E-2</c:v>
                </c:pt>
                <c:pt idx="1593">
                  <c:v>5.5818440736962384E-2</c:v>
                </c:pt>
                <c:pt idx="1594">
                  <c:v>5.6362221848976893E-2</c:v>
                </c:pt>
                <c:pt idx="1595">
                  <c:v>5.554293374066966E-2</c:v>
                </c:pt>
                <c:pt idx="1596">
                  <c:v>5.3672247811188054E-2</c:v>
                </c:pt>
                <c:pt idx="1597">
                  <c:v>5.425613853364137E-2</c:v>
                </c:pt>
                <c:pt idx="1598">
                  <c:v>5.4461946862614213E-2</c:v>
                </c:pt>
                <c:pt idx="1599">
                  <c:v>5.3419096991205485E-2</c:v>
                </c:pt>
                <c:pt idx="1600">
                  <c:v>5.2508740341164262E-2</c:v>
                </c:pt>
                <c:pt idx="1601">
                  <c:v>5.1279479411404739E-2</c:v>
                </c:pt>
                <c:pt idx="1602">
                  <c:v>5.046578034717504E-2</c:v>
                </c:pt>
                <c:pt idx="1603">
                  <c:v>4.8590162908213261E-2</c:v>
                </c:pt>
                <c:pt idx="1604">
                  <c:v>4.7509176030157807E-2</c:v>
                </c:pt>
                <c:pt idx="1605">
                  <c:v>4.6306874018889936E-2</c:v>
                </c:pt>
                <c:pt idx="1606">
                  <c:v>4.4958928094307411E-2</c:v>
                </c:pt>
                <c:pt idx="1607">
                  <c:v>4.3346653261587237E-2</c:v>
                </c:pt>
                <c:pt idx="1608">
                  <c:v>4.3779311026648358E-2</c:v>
                </c:pt>
                <c:pt idx="1609">
                  <c:v>4.2460954158946913E-2</c:v>
                </c:pt>
                <c:pt idx="1610">
                  <c:v>4.2538872008733762E-2</c:v>
                </c:pt>
                <c:pt idx="1611">
                  <c:v>4.3085940793735053E-2</c:v>
                </c:pt>
                <c:pt idx="1612">
                  <c:v>4.4609777223110665E-2</c:v>
                </c:pt>
                <c:pt idx="1613">
                  <c:v>4.6245065766738348E-2</c:v>
                </c:pt>
                <c:pt idx="1614">
                  <c:v>4.6020846469039492E-2</c:v>
                </c:pt>
                <c:pt idx="1615">
                  <c:v>4.6887148301057772E-2</c:v>
                </c:pt>
                <c:pt idx="1616">
                  <c:v>4.7782710422658456E-2</c:v>
                </c:pt>
                <c:pt idx="1617">
                  <c:v>4.9081998787036542E-2</c:v>
                </c:pt>
                <c:pt idx="1618">
                  <c:v>4.9266766008893952E-2</c:v>
                </c:pt>
                <c:pt idx="1619">
                  <c:v>4.9670492251671347E-2</c:v>
                </c:pt>
                <c:pt idx="1620">
                  <c:v>5.0497013240549518E-2</c:v>
                </c:pt>
                <c:pt idx="1621">
                  <c:v>4.9417012664390102E-2</c:v>
                </c:pt>
                <c:pt idx="1622">
                  <c:v>5.0959588829790396E-2</c:v>
                </c:pt>
                <c:pt idx="1623">
                  <c:v>5.0785670928789384E-2</c:v>
                </c:pt>
                <c:pt idx="1624">
                  <c:v>5.1619753565537156E-2</c:v>
                </c:pt>
                <c:pt idx="1625">
                  <c:v>5.111509576206541E-2</c:v>
                </c:pt>
                <c:pt idx="1626">
                  <c:v>5.1782493378383095E-2</c:v>
                </c:pt>
                <c:pt idx="1627">
                  <c:v>5.1896575631024587E-2</c:v>
                </c:pt>
                <c:pt idx="1628">
                  <c:v>5.1481342532793441E-2</c:v>
                </c:pt>
                <c:pt idx="1629">
                  <c:v>5.120484923460468E-2</c:v>
                </c:pt>
                <c:pt idx="1630">
                  <c:v>5.1559589149878959E-2</c:v>
                </c:pt>
                <c:pt idx="1631">
                  <c:v>5.1174273875827563E-2</c:v>
                </c:pt>
                <c:pt idx="1632">
                  <c:v>5.3003863892974339E-2</c:v>
                </c:pt>
                <c:pt idx="1633">
                  <c:v>5.265635685827099E-2</c:v>
                </c:pt>
                <c:pt idx="1634">
                  <c:v>5.218523331926446E-2</c:v>
                </c:pt>
                <c:pt idx="1635">
                  <c:v>5.3381617519156113E-2</c:v>
                </c:pt>
                <c:pt idx="1636">
                  <c:v>5.2028411317794732E-2</c:v>
                </c:pt>
                <c:pt idx="1637">
                  <c:v>5.169504127693457E-2</c:v>
                </c:pt>
                <c:pt idx="1638">
                  <c:v>5.325635717835954E-2</c:v>
                </c:pt>
                <c:pt idx="1639">
                  <c:v>5.1301835587714888E-2</c:v>
                </c:pt>
                <c:pt idx="1640">
                  <c:v>5.294139810622539E-2</c:v>
                </c:pt>
                <c:pt idx="1641">
                  <c:v>5.1284410920884919E-2</c:v>
                </c:pt>
                <c:pt idx="1642">
                  <c:v>5.0409561139100986E-2</c:v>
                </c:pt>
                <c:pt idx="1643">
                  <c:v>4.9728026528940115E-2</c:v>
                </c:pt>
                <c:pt idx="1644">
                  <c:v>5.0895479206548064E-2</c:v>
                </c:pt>
                <c:pt idx="1645">
                  <c:v>5.0717616097962902E-2</c:v>
                </c:pt>
                <c:pt idx="1646">
                  <c:v>5.1568794634241959E-2</c:v>
                </c:pt>
                <c:pt idx="1647">
                  <c:v>5.2677726732685101E-2</c:v>
                </c:pt>
                <c:pt idx="1648">
                  <c:v>5.0998383371034475E-2</c:v>
                </c:pt>
                <c:pt idx="1649">
                  <c:v>5.1078931359210752E-2</c:v>
                </c:pt>
                <c:pt idx="1650">
                  <c:v>5.2157288098876771E-2</c:v>
                </c:pt>
                <c:pt idx="1651">
                  <c:v>5.2153014123993952E-2</c:v>
                </c:pt>
                <c:pt idx="1652">
                  <c:v>5.0652848940123202E-2</c:v>
                </c:pt>
                <c:pt idx="1653">
                  <c:v>5.0843862740655506E-2</c:v>
                </c:pt>
                <c:pt idx="1654">
                  <c:v>5.0647917430643022E-2</c:v>
                </c:pt>
                <c:pt idx="1655">
                  <c:v>5.1452411010509722E-2</c:v>
                </c:pt>
                <c:pt idx="1656">
                  <c:v>5.0553232448623565E-2</c:v>
                </c:pt>
                <c:pt idx="1657">
                  <c:v>5.0358273440507119E-2</c:v>
                </c:pt>
                <c:pt idx="1658">
                  <c:v>4.9934163625211643E-2</c:v>
                </c:pt>
                <c:pt idx="1659">
                  <c:v>5.0428300875125676E-2</c:v>
                </c:pt>
                <c:pt idx="1660">
                  <c:v>5.0206382948517571E-2</c:v>
                </c:pt>
                <c:pt idx="1661">
                  <c:v>4.9574492200457183E-2</c:v>
                </c:pt>
                <c:pt idx="1662">
                  <c:v>4.9103039894151969E-2</c:v>
                </c:pt>
                <c:pt idx="1663">
                  <c:v>4.873482051963187E-2</c:v>
                </c:pt>
                <c:pt idx="1664">
                  <c:v>4.8958711050032043E-2</c:v>
                </c:pt>
                <c:pt idx="1665">
                  <c:v>4.8290327131818314E-2</c:v>
                </c:pt>
                <c:pt idx="1666">
                  <c:v>4.8732190381242442E-2</c:v>
                </c:pt>
                <c:pt idx="1667">
                  <c:v>4.78330118193563E-2</c:v>
                </c:pt>
                <c:pt idx="1668">
                  <c:v>4.7092956630030623E-2</c:v>
                </c:pt>
                <c:pt idx="1669">
                  <c:v>4.7996409166799592E-2</c:v>
                </c:pt>
                <c:pt idx="1670">
                  <c:v>4.6029065651506468E-2</c:v>
                </c:pt>
                <c:pt idx="1671">
                  <c:v>4.8228518879666726E-2</c:v>
                </c:pt>
                <c:pt idx="1672">
                  <c:v>4.7282326594069529E-2</c:v>
                </c:pt>
                <c:pt idx="1673">
                  <c:v>4.6645504336528955E-2</c:v>
                </c:pt>
                <c:pt idx="1674">
                  <c:v>4.6744134526132561E-2</c:v>
                </c:pt>
                <c:pt idx="1675">
                  <c:v>4.7407586934866103E-2</c:v>
                </c:pt>
                <c:pt idx="1676">
                  <c:v>4.7560134961453004E-2</c:v>
                </c:pt>
                <c:pt idx="1677">
                  <c:v>4.647224397012531E-2</c:v>
                </c:pt>
                <c:pt idx="1678">
                  <c:v>4.6458106976282124E-2</c:v>
                </c:pt>
                <c:pt idx="1679">
                  <c:v>4.5453394111520121E-2</c:v>
                </c:pt>
                <c:pt idx="1680">
                  <c:v>4.5692407937659503E-2</c:v>
                </c:pt>
                <c:pt idx="1681">
                  <c:v>4.4502270316442737E-2</c:v>
                </c:pt>
                <c:pt idx="1682">
                  <c:v>4.6044188947245678E-2</c:v>
                </c:pt>
                <c:pt idx="1683">
                  <c:v>4.4255366075135069E-2</c:v>
                </c:pt>
                <c:pt idx="1684">
                  <c:v>4.4353996264738661E-2</c:v>
                </c:pt>
                <c:pt idx="1685">
                  <c:v>4.4134379709221315E-2</c:v>
                </c:pt>
                <c:pt idx="1686">
                  <c:v>4.393679056271544E-2</c:v>
                </c:pt>
                <c:pt idx="1687">
                  <c:v>4.2796954338196504E-2</c:v>
                </c:pt>
                <c:pt idx="1688">
                  <c:v>4.196122786495534E-2</c:v>
                </c:pt>
                <c:pt idx="1689">
                  <c:v>4.2952790037770194E-2</c:v>
                </c:pt>
                <c:pt idx="1690">
                  <c:v>4.5622051735742269E-2</c:v>
                </c:pt>
                <c:pt idx="1691">
                  <c:v>4.5003969214226391E-2</c:v>
                </c:pt>
                <c:pt idx="1692">
                  <c:v>4.7004189459387377E-2</c:v>
                </c:pt>
                <c:pt idx="1693">
                  <c:v>4.7367806091725986E-2</c:v>
                </c:pt>
                <c:pt idx="1694">
                  <c:v>4.7762655617439052E-2</c:v>
                </c:pt>
                <c:pt idx="1695">
                  <c:v>4.7528902068078527E-2</c:v>
                </c:pt>
                <c:pt idx="1696">
                  <c:v>4.8170655835099281E-2</c:v>
                </c:pt>
                <c:pt idx="1697">
                  <c:v>4.9391697582391848E-2</c:v>
                </c:pt>
                <c:pt idx="1698">
                  <c:v>4.9526820942148768E-2</c:v>
                </c:pt>
                <c:pt idx="1699">
                  <c:v>4.9972300631858368E-2</c:v>
                </c:pt>
                <c:pt idx="1700">
                  <c:v>5.0346766585053368E-2</c:v>
                </c:pt>
                <c:pt idx="1701">
                  <c:v>5.0111697966498121E-2</c:v>
                </c:pt>
                <c:pt idx="1702">
                  <c:v>4.9985780091104194E-2</c:v>
                </c:pt>
                <c:pt idx="1703">
                  <c:v>5.0253396672228619E-2</c:v>
                </c:pt>
                <c:pt idx="1704">
                  <c:v>5.1768685151838592E-2</c:v>
                </c:pt>
                <c:pt idx="1705">
                  <c:v>5.1809781064173423E-2</c:v>
                </c:pt>
                <c:pt idx="1706">
                  <c:v>5.1480356230897396E-2</c:v>
                </c:pt>
                <c:pt idx="1707">
                  <c:v>5.1676630308208564E-2</c:v>
                </c:pt>
                <c:pt idx="1708">
                  <c:v>5.2238164854351725E-2</c:v>
                </c:pt>
                <c:pt idx="1709">
                  <c:v>5.1959041417773535E-2</c:v>
                </c:pt>
                <c:pt idx="1710">
                  <c:v>5.213032918038512E-2</c:v>
                </c:pt>
                <c:pt idx="1711">
                  <c:v>5.2639260958739692E-2</c:v>
                </c:pt>
                <c:pt idx="1712">
                  <c:v>5.2939096735134632E-2</c:v>
                </c:pt>
                <c:pt idx="1713">
                  <c:v>5.2981836483962867E-2</c:v>
                </c:pt>
                <c:pt idx="1714">
                  <c:v>5.3680795760953706E-2</c:v>
                </c:pt>
                <c:pt idx="1715">
                  <c:v>5.3180740699663449E-2</c:v>
                </c:pt>
                <c:pt idx="1716">
                  <c:v>5.4021727449683477E-2</c:v>
                </c:pt>
                <c:pt idx="1717">
                  <c:v>5.431202897441674E-2</c:v>
                </c:pt>
                <c:pt idx="1718">
                  <c:v>5.478249497882591E-2</c:v>
                </c:pt>
                <c:pt idx="1719">
                  <c:v>5.5248687008352254E-2</c:v>
                </c:pt>
                <c:pt idx="1720">
                  <c:v>5.480189224944796E-2</c:v>
                </c:pt>
                <c:pt idx="1721">
                  <c:v>5.3953343851558311E-2</c:v>
                </c:pt>
                <c:pt idx="1722">
                  <c:v>5.2555096530277956E-2</c:v>
                </c:pt>
                <c:pt idx="1723">
                  <c:v>5.4875536124351969E-2</c:v>
                </c:pt>
                <c:pt idx="1724">
                  <c:v>5.63388793707707E-2</c:v>
                </c:pt>
                <c:pt idx="1725">
                  <c:v>5.7599373193904714E-2</c:v>
                </c:pt>
                <c:pt idx="1726">
                  <c:v>5.7250879857305322E-2</c:v>
                </c:pt>
                <c:pt idx="1727">
                  <c:v>5.7171318171025089E-2</c:v>
                </c:pt>
                <c:pt idx="1728">
                  <c:v>5.9207702819040732E-2</c:v>
                </c:pt>
                <c:pt idx="1729">
                  <c:v>5.916003156073233E-2</c:v>
                </c:pt>
                <c:pt idx="1730">
                  <c:v>5.9770881201677291E-2</c:v>
                </c:pt>
                <c:pt idx="1731">
                  <c:v>6.0170662236870551E-2</c:v>
                </c:pt>
                <c:pt idx="1732">
                  <c:v>5.9473018029074426E-2</c:v>
                </c:pt>
                <c:pt idx="1733">
                  <c:v>6.0336360955404594E-2</c:v>
                </c:pt>
                <c:pt idx="1734">
                  <c:v>5.9672579779372376E-2</c:v>
                </c:pt>
                <c:pt idx="1735">
                  <c:v>5.9338223436616169E-2</c:v>
                </c:pt>
                <c:pt idx="1736">
                  <c:v>5.9926388133952291E-2</c:v>
                </c:pt>
                <c:pt idx="1737">
                  <c:v>5.9498004343774002E-2</c:v>
                </c:pt>
                <c:pt idx="1738">
                  <c:v>6.1192142233865161E-2</c:v>
                </c:pt>
                <c:pt idx="1739">
                  <c:v>6.1623484929731562E-2</c:v>
                </c:pt>
                <c:pt idx="1740">
                  <c:v>6.0989292810580416E-2</c:v>
                </c:pt>
                <c:pt idx="1741">
                  <c:v>6.1779649396603936E-2</c:v>
                </c:pt>
                <c:pt idx="1742">
                  <c:v>6.2515430611046793E-2</c:v>
                </c:pt>
                <c:pt idx="1743">
                  <c:v>6.215543041899365E-2</c:v>
                </c:pt>
                <c:pt idx="1744">
                  <c:v>6.2827102010194161E-2</c:v>
                </c:pt>
                <c:pt idx="1745">
                  <c:v>6.3499759903290709E-2</c:v>
                </c:pt>
                <c:pt idx="1746">
                  <c:v>6.2522005957020357E-2</c:v>
                </c:pt>
                <c:pt idx="1747">
                  <c:v>6.1002772269826241E-2</c:v>
                </c:pt>
                <c:pt idx="1748">
                  <c:v>6.2239594847455386E-2</c:v>
                </c:pt>
                <c:pt idx="1749">
                  <c:v>5.9081127409049451E-2</c:v>
                </c:pt>
                <c:pt idx="1750">
                  <c:v>6.1576471206020521E-2</c:v>
                </c:pt>
                <c:pt idx="1751">
                  <c:v>6.0627320014735211E-2</c:v>
                </c:pt>
                <c:pt idx="1752">
                  <c:v>6.2568362146134038E-2</c:v>
                </c:pt>
                <c:pt idx="1753">
                  <c:v>6.3219321397517805E-2</c:v>
                </c:pt>
                <c:pt idx="1754">
                  <c:v>6.2302718168801681E-2</c:v>
                </c:pt>
                <c:pt idx="1755">
                  <c:v>6.3357732430261521E-2</c:v>
                </c:pt>
                <c:pt idx="1756">
                  <c:v>6.2887923960449704E-2</c:v>
                </c:pt>
                <c:pt idx="1757">
                  <c:v>6.4992034671993174E-2</c:v>
                </c:pt>
                <c:pt idx="1758">
                  <c:v>6.3761458673038937E-2</c:v>
                </c:pt>
                <c:pt idx="1759">
                  <c:v>6.3797623075893581E-2</c:v>
                </c:pt>
                <c:pt idx="1760">
                  <c:v>6.3389951625532029E-2</c:v>
                </c:pt>
                <c:pt idx="1761">
                  <c:v>6.3429074934074792E-2</c:v>
                </c:pt>
                <c:pt idx="1762">
                  <c:v>6.4921349702777256E-2</c:v>
                </c:pt>
                <c:pt idx="1763">
                  <c:v>6.4814829098005372E-2</c:v>
                </c:pt>
                <c:pt idx="1764">
                  <c:v>6.5203760812342221E-2</c:v>
                </c:pt>
                <c:pt idx="1765">
                  <c:v>6.3263376215540748E-2</c:v>
                </c:pt>
                <c:pt idx="1766">
                  <c:v>6.4708966027830842E-2</c:v>
                </c:pt>
                <c:pt idx="1767">
                  <c:v>6.529351428488149E-2</c:v>
                </c:pt>
                <c:pt idx="1768">
                  <c:v>6.3720033993405409E-2</c:v>
                </c:pt>
                <c:pt idx="1769">
                  <c:v>6.4835212670523445E-2</c:v>
                </c:pt>
                <c:pt idx="1770">
                  <c:v>6.5177459428447937E-2</c:v>
                </c:pt>
                <c:pt idx="1771">
                  <c:v>6.3943266989208228E-2</c:v>
                </c:pt>
                <c:pt idx="1772">
                  <c:v>6.5000253854460135E-2</c:v>
                </c:pt>
                <c:pt idx="1773">
                  <c:v>6.5406939002925643E-2</c:v>
                </c:pt>
                <c:pt idx="1774">
                  <c:v>6.4687267386118033E-2</c:v>
                </c:pt>
                <c:pt idx="1775">
                  <c:v>6.5742939182175233E-2</c:v>
                </c:pt>
                <c:pt idx="1776">
                  <c:v>6.5454939028532722E-2</c:v>
                </c:pt>
                <c:pt idx="1777">
                  <c:v>6.3923540951287508E-2</c:v>
                </c:pt>
                <c:pt idx="1778">
                  <c:v>6.4489349472313495E-2</c:v>
                </c:pt>
                <c:pt idx="1779">
                  <c:v>6.4840801714600979E-2</c:v>
                </c:pt>
                <c:pt idx="1780">
                  <c:v>6.4764527701307542E-2</c:v>
                </c:pt>
                <c:pt idx="1781">
                  <c:v>6.4340089118713376E-2</c:v>
                </c:pt>
                <c:pt idx="1782">
                  <c:v>6.3938993014325401E-2</c:v>
                </c:pt>
                <c:pt idx="1783">
                  <c:v>6.5249130699559871E-2</c:v>
                </c:pt>
                <c:pt idx="1784">
                  <c:v>6.4629733108849285E-2</c:v>
                </c:pt>
                <c:pt idx="1785">
                  <c:v>6.1727375396114025E-2</c:v>
                </c:pt>
                <c:pt idx="1786">
                  <c:v>6.3194006315519552E-2</c:v>
                </c:pt>
                <c:pt idx="1787">
                  <c:v>6.3244965246814736E-2</c:v>
                </c:pt>
                <c:pt idx="1788">
                  <c:v>6.443181519504472E-2</c:v>
                </c:pt>
                <c:pt idx="1789">
                  <c:v>6.4810883890421223E-2</c:v>
                </c:pt>
                <c:pt idx="1790">
                  <c:v>6.4719486581388555E-2</c:v>
                </c:pt>
                <c:pt idx="1791">
                  <c:v>6.6285076457696351E-2</c:v>
                </c:pt>
                <c:pt idx="1792">
                  <c:v>6.4994007275785234E-2</c:v>
                </c:pt>
                <c:pt idx="1793">
                  <c:v>6.521263752940655E-2</c:v>
                </c:pt>
                <c:pt idx="1794">
                  <c:v>6.6491871088565233E-2</c:v>
                </c:pt>
                <c:pt idx="1795">
                  <c:v>6.5613076099197157E-2</c:v>
                </c:pt>
                <c:pt idx="1796">
                  <c:v>6.5001568923654857E-2</c:v>
                </c:pt>
                <c:pt idx="1797">
                  <c:v>6.4918390797089137E-2</c:v>
                </c:pt>
                <c:pt idx="1798">
                  <c:v>6.2708745782669828E-2</c:v>
                </c:pt>
                <c:pt idx="1799">
                  <c:v>6.6779213707610391E-2</c:v>
                </c:pt>
                <c:pt idx="1800">
                  <c:v>6.5275432083454182E-2</c:v>
                </c:pt>
                <c:pt idx="1801">
                  <c:v>6.3578664054973588E-2</c:v>
                </c:pt>
                <c:pt idx="1802">
                  <c:v>6.3330444744471207E-2</c:v>
                </c:pt>
                <c:pt idx="1803">
                  <c:v>6.1468635532053915E-2</c:v>
                </c:pt>
                <c:pt idx="1804">
                  <c:v>6.1979868681499239E-2</c:v>
                </c:pt>
                <c:pt idx="1805">
                  <c:v>6.1673786326429406E-2</c:v>
                </c:pt>
                <c:pt idx="1806">
                  <c:v>6.2347430521421984E-2</c:v>
                </c:pt>
                <c:pt idx="1807">
                  <c:v>6.3728581943171048E-2</c:v>
                </c:pt>
                <c:pt idx="1808">
                  <c:v>6.238556752806871E-2</c:v>
                </c:pt>
                <c:pt idx="1809">
                  <c:v>6.1762553497072645E-2</c:v>
                </c:pt>
                <c:pt idx="1810">
                  <c:v>6.3080252830176736E-2</c:v>
                </c:pt>
                <c:pt idx="1811">
                  <c:v>6.3081239132072767E-2</c:v>
                </c:pt>
                <c:pt idx="1812">
                  <c:v>6.3241677573827954E-2</c:v>
                </c:pt>
                <c:pt idx="1813">
                  <c:v>6.2034444053079896E-2</c:v>
                </c:pt>
                <c:pt idx="1814">
                  <c:v>6.3053951446282425E-2</c:v>
                </c:pt>
                <c:pt idx="1815">
                  <c:v>6.352671882178236E-2</c:v>
                </c:pt>
                <c:pt idx="1816">
                  <c:v>6.3312691310342548E-2</c:v>
                </c:pt>
                <c:pt idx="1817">
                  <c:v>6.3232472089464947E-2</c:v>
                </c:pt>
                <c:pt idx="1818">
                  <c:v>6.4833240066731371E-2</c:v>
                </c:pt>
                <c:pt idx="1819">
                  <c:v>6.3314663914134608E-2</c:v>
                </c:pt>
                <c:pt idx="1820">
                  <c:v>6.6506008082408419E-2</c:v>
                </c:pt>
                <c:pt idx="1821">
                  <c:v>6.4678719436352408E-2</c:v>
                </c:pt>
                <c:pt idx="1822">
                  <c:v>6.3214718655336302E-2</c:v>
                </c:pt>
                <c:pt idx="1823">
                  <c:v>6.1095813415352314E-2</c:v>
                </c:pt>
                <c:pt idx="1824">
                  <c:v>6.1106991503507388E-2</c:v>
                </c:pt>
                <c:pt idx="1825">
                  <c:v>6.0390607559686574E-2</c:v>
                </c:pt>
                <c:pt idx="1826">
                  <c:v>5.8845730023195535E-2</c:v>
                </c:pt>
                <c:pt idx="1827">
                  <c:v>5.8333181804555483E-2</c:v>
                </c:pt>
                <c:pt idx="1828">
                  <c:v>5.8270387250507864E-2</c:v>
                </c:pt>
                <c:pt idx="1829">
                  <c:v>5.7607592376371683E-2</c:v>
                </c:pt>
                <c:pt idx="1830">
                  <c:v>5.7041783855345696E-2</c:v>
                </c:pt>
                <c:pt idx="1831">
                  <c:v>5.8962771181525132E-2</c:v>
                </c:pt>
                <c:pt idx="1832">
                  <c:v>5.9917511416887975E-2</c:v>
                </c:pt>
                <c:pt idx="1833">
                  <c:v>5.9372086468380075E-2</c:v>
                </c:pt>
                <c:pt idx="1834">
                  <c:v>5.7705236264079238E-2</c:v>
                </c:pt>
                <c:pt idx="1835">
                  <c:v>5.7062496195162446E-2</c:v>
                </c:pt>
                <c:pt idx="1836">
                  <c:v>5.7241674372942322E-2</c:v>
                </c:pt>
                <c:pt idx="1837">
                  <c:v>5.7229181215592527E-2</c:v>
                </c:pt>
                <c:pt idx="1838">
                  <c:v>5.71433729506374E-2</c:v>
                </c:pt>
                <c:pt idx="1839">
                  <c:v>5.570238588052881E-2</c:v>
                </c:pt>
                <c:pt idx="1840">
                  <c:v>5.5453837802727744E-2</c:v>
                </c:pt>
                <c:pt idx="1841">
                  <c:v>5.7261729178161726E-2</c:v>
                </c:pt>
                <c:pt idx="1842">
                  <c:v>5.5060632113508055E-2</c:v>
                </c:pt>
                <c:pt idx="1843">
                  <c:v>5.4799262111058525E-2</c:v>
                </c:pt>
                <c:pt idx="1844">
                  <c:v>5.4612193518110363E-2</c:v>
                </c:pt>
                <c:pt idx="1845">
                  <c:v>5.3941179461507206E-2</c:v>
                </c:pt>
                <c:pt idx="1846">
                  <c:v>3.3772620756765841E-2</c:v>
                </c:pt>
                <c:pt idx="1847">
                  <c:v>5.1508301451285092E-2</c:v>
                </c:pt>
                <c:pt idx="1848">
                  <c:v>5.0892191533561268E-2</c:v>
                </c:pt>
                <c:pt idx="1849">
                  <c:v>4.7532189741065316E-2</c:v>
                </c:pt>
                <c:pt idx="1850">
                  <c:v>4.8274546301481744E-2</c:v>
                </c:pt>
                <c:pt idx="1851">
                  <c:v>4.6965066150844621E-2</c:v>
                </c:pt>
                <c:pt idx="1852">
                  <c:v>4.5046380195755929E-2</c:v>
                </c:pt>
                <c:pt idx="1853">
                  <c:v>4.4677832053937147E-2</c:v>
                </c:pt>
                <c:pt idx="1854">
                  <c:v>4.3456790306644587E-2</c:v>
                </c:pt>
                <c:pt idx="1855">
                  <c:v>4.4001228953256456E-2</c:v>
                </c:pt>
                <c:pt idx="1856">
                  <c:v>4.4433557951018901E-2</c:v>
                </c:pt>
                <c:pt idx="1857">
                  <c:v>4.2539529543331109E-2</c:v>
                </c:pt>
                <c:pt idx="1858">
                  <c:v>4.4337886667103407E-2</c:v>
                </c:pt>
                <c:pt idx="1859">
                  <c:v>4.1292515179442935E-2</c:v>
                </c:pt>
                <c:pt idx="1860">
                  <c:v>4.3119475058200282E-2</c:v>
                </c:pt>
                <c:pt idx="1861">
                  <c:v>4.1424022098914409E-2</c:v>
                </c:pt>
                <c:pt idx="1862">
                  <c:v>4.2392570560821748E-2</c:v>
                </c:pt>
                <c:pt idx="1863">
                  <c:v>3.7761554391634075E-2</c:v>
                </c:pt>
                <c:pt idx="1864">
                  <c:v>3.7512677546534326E-2</c:v>
                </c:pt>
                <c:pt idx="1865">
                  <c:v>3.6974156711298674E-2</c:v>
                </c:pt>
                <c:pt idx="1866">
                  <c:v>3.3735141284716476E-2</c:v>
                </c:pt>
                <c:pt idx="1867">
                  <c:v>3.3420839747179666E-2</c:v>
                </c:pt>
                <c:pt idx="1868">
                  <c:v>3.1140148119515904E-2</c:v>
                </c:pt>
                <c:pt idx="1869">
                  <c:v>2.8207642445491815E-2</c:v>
                </c:pt>
                <c:pt idx="1870">
                  <c:v>2.7604814726634612E-2</c:v>
                </c:pt>
                <c:pt idx="1871">
                  <c:v>2.3363782327139575E-2</c:v>
                </c:pt>
                <c:pt idx="1872">
                  <c:v>2.0709413787797639E-2</c:v>
                </c:pt>
                <c:pt idx="1873">
                  <c:v>1.7763067010499182E-2</c:v>
                </c:pt>
                <c:pt idx="1874">
                  <c:v>3.1278624905719352E-2</c:v>
                </c:pt>
                <c:pt idx="1875">
                  <c:v>3.8181061464748055E-2</c:v>
                </c:pt>
                <c:pt idx="1876">
                  <c:v>3.1153068674353974E-2</c:v>
                </c:pt>
                <c:pt idx="1877">
                  <c:v>2.691782257931568E-2</c:v>
                </c:pt>
                <c:pt idx="1878">
                  <c:v>2.4113667658695742E-2</c:v>
                </c:pt>
                <c:pt idx="1879">
                  <c:v>2.2120154266427793E-2</c:v>
                </c:pt>
                <c:pt idx="1880">
                  <c:v>2.0913150882788809E-2</c:v>
                </c:pt>
                <c:pt idx="1881">
                  <c:v>2.0327287556543429E-2</c:v>
                </c:pt>
                <c:pt idx="1882">
                  <c:v>1.9808624266147969E-2</c:v>
                </c:pt>
                <c:pt idx="1883">
                  <c:v>1.7932316415858962E-2</c:v>
                </c:pt>
                <c:pt idx="1884">
                  <c:v>1.7198277668099105E-2</c:v>
                </c:pt>
                <c:pt idx="1885">
                  <c:v>1.7458365478083795E-2</c:v>
                </c:pt>
                <c:pt idx="1886">
                  <c:v>1.5924896166856901E-2</c:v>
                </c:pt>
                <c:pt idx="1887">
                  <c:v>1.7294639363341819E-2</c:v>
                </c:pt>
                <c:pt idx="1888">
                  <c:v>1.6436359453411299E-2</c:v>
                </c:pt>
                <c:pt idx="1889">
                  <c:v>1.5920786575623416E-2</c:v>
                </c:pt>
                <c:pt idx="1890">
                  <c:v>1.6414266290940092E-2</c:v>
                </c:pt>
                <c:pt idx="1891">
                  <c:v>1.6742606192130471E-2</c:v>
                </c:pt>
                <c:pt idx="1892">
                  <c:v>1.7767801259600157E-2</c:v>
                </c:pt>
                <c:pt idx="1893">
                  <c:v>1.7619001180218193E-2</c:v>
                </c:pt>
                <c:pt idx="1894">
                  <c:v>1.7744393027934232E-2</c:v>
                </c:pt>
                <c:pt idx="1895">
                  <c:v>1.7743143712199254E-2</c:v>
                </c:pt>
                <c:pt idx="1896">
                  <c:v>1.6901236413742929E-2</c:v>
                </c:pt>
                <c:pt idx="1897">
                  <c:v>1.8388513919505474E-2</c:v>
                </c:pt>
                <c:pt idx="1898">
                  <c:v>1.7909467088600795E-2</c:v>
                </c:pt>
                <c:pt idx="1899">
                  <c:v>1.8431582435632379E-2</c:v>
                </c:pt>
                <c:pt idx="1900">
                  <c:v>1.7541346344270292E-2</c:v>
                </c:pt>
                <c:pt idx="1901">
                  <c:v>1.5665235754360494E-2</c:v>
                </c:pt>
                <c:pt idx="1902">
                  <c:v>1.4196303463864215E-2</c:v>
                </c:pt>
                <c:pt idx="1903">
                  <c:v>1.4201530863913207E-2</c:v>
                </c:pt>
                <c:pt idx="1904">
                  <c:v>1.3897585496284779E-2</c:v>
                </c:pt>
                <c:pt idx="1905">
                  <c:v>1.453184336889566E-2</c:v>
                </c:pt>
                <c:pt idx="1906">
                  <c:v>1.5872753673286465E-2</c:v>
                </c:pt>
                <c:pt idx="1907">
                  <c:v>1.4814714752678787E-2</c:v>
                </c:pt>
                <c:pt idx="1908">
                  <c:v>1.5354221889810473E-2</c:v>
                </c:pt>
                <c:pt idx="1909">
                  <c:v>1.4910616173703352E-2</c:v>
                </c:pt>
                <c:pt idx="1910">
                  <c:v>1.5915855066143236E-2</c:v>
                </c:pt>
                <c:pt idx="1911">
                  <c:v>1.5396238350581607E-2</c:v>
                </c:pt>
                <c:pt idx="1912">
                  <c:v>1.4455141958113928E-2</c:v>
                </c:pt>
                <c:pt idx="1913">
                  <c:v>1.2527283395392106E-2</c:v>
                </c:pt>
                <c:pt idx="1914">
                  <c:v>1.3397201667695853E-2</c:v>
                </c:pt>
                <c:pt idx="1915">
                  <c:v>1.1846274812909119E-2</c:v>
                </c:pt>
                <c:pt idx="1916">
                  <c:v>1.0864345521945552E-2</c:v>
                </c:pt>
                <c:pt idx="1917">
                  <c:v>1.1517770528069397E-2</c:v>
                </c:pt>
                <c:pt idx="1918">
                  <c:v>1.059870154461319E-2</c:v>
                </c:pt>
                <c:pt idx="1919">
                  <c:v>1.1061605901152752E-2</c:v>
                </c:pt>
                <c:pt idx="1920">
                  <c:v>8.1832810779509085E-3</c:v>
                </c:pt>
                <c:pt idx="1921">
                  <c:v>9.3934735043870749E-3</c:v>
                </c:pt>
                <c:pt idx="1922">
                  <c:v>9.5565420845316919E-3</c:v>
                </c:pt>
                <c:pt idx="1923">
                  <c:v>8.955949983305506E-3</c:v>
                </c:pt>
                <c:pt idx="1924">
                  <c:v>8.0541741597597964E-3</c:v>
                </c:pt>
                <c:pt idx="1925">
                  <c:v>7.9463056090633265E-3</c:v>
                </c:pt>
                <c:pt idx="1926">
                  <c:v>7.7157082257701117E-3</c:v>
                </c:pt>
                <c:pt idx="1927">
                  <c:v>7.3580094048077242E-3</c:v>
                </c:pt>
                <c:pt idx="1928">
                  <c:v>6.7704364886092159E-3</c:v>
                </c:pt>
                <c:pt idx="1929">
                  <c:v>6.3498116066797311E-3</c:v>
                </c:pt>
                <c:pt idx="1930">
                  <c:v>6.7631378545785483E-3</c:v>
                </c:pt>
                <c:pt idx="1931">
                  <c:v>4.8728573940956975E-3</c:v>
                </c:pt>
                <c:pt idx="1932">
                  <c:v>3.3731853611729686E-3</c:v>
                </c:pt>
                <c:pt idx="1933">
                  <c:v>4.6967367521935375E-3</c:v>
                </c:pt>
                <c:pt idx="1934">
                  <c:v>5.4815371708693784E-3</c:v>
                </c:pt>
                <c:pt idx="1935">
                  <c:v>5.0632136600306443E-3</c:v>
                </c:pt>
                <c:pt idx="1936">
                  <c:v>5.44221660194741E-3</c:v>
                </c:pt>
                <c:pt idx="1937">
                  <c:v>4.9545231910874772E-3</c:v>
                </c:pt>
                <c:pt idx="1938">
                  <c:v>5.8005729575071538E-3</c:v>
                </c:pt>
                <c:pt idx="1939">
                  <c:v>3.7710266693040204E-3</c:v>
                </c:pt>
                <c:pt idx="1940">
                  <c:v>3.8450650649664558E-3</c:v>
                </c:pt>
                <c:pt idx="1941">
                  <c:v>5.0440465265176784E-3</c:v>
                </c:pt>
                <c:pt idx="1942">
                  <c:v>4.3816790498697718E-3</c:v>
                </c:pt>
                <c:pt idx="1943">
                  <c:v>3.3543798716885484E-3</c:v>
                </c:pt>
                <c:pt idx="1944">
                  <c:v>2.182738698695444E-3</c:v>
                </c:pt>
                <c:pt idx="1945">
                  <c:v>2.1132668808116553E-3</c:v>
                </c:pt>
                <c:pt idx="1946">
                  <c:v>2.1087233167439161E-3</c:v>
                </c:pt>
                <c:pt idx="1947">
                  <c:v>1.9277665078781924E-3</c:v>
                </c:pt>
                <c:pt idx="1948">
                  <c:v>1.4403163848192833E-3</c:v>
                </c:pt>
                <c:pt idx="1949">
                  <c:v>1.6073630492779128E-3</c:v>
                </c:pt>
                <c:pt idx="1950">
                  <c:v>1.5062210775124082E-3</c:v>
                </c:pt>
                <c:pt idx="1951">
                  <c:v>1.1933003626300551E-3</c:v>
                </c:pt>
                <c:pt idx="1952">
                  <c:v>1.2273047643323895E-3</c:v>
                </c:pt>
                <c:pt idx="1953">
                  <c:v>1.3692894976127443E-3</c:v>
                </c:pt>
                <c:pt idx="1954">
                  <c:v>1.4406550151369222E-3</c:v>
                </c:pt>
                <c:pt idx="1955">
                  <c:v>1.222162843781055E-3</c:v>
                </c:pt>
                <c:pt idx="1956">
                  <c:v>1.0448454889117041E-3</c:v>
                </c:pt>
                <c:pt idx="1957">
                  <c:v>9.2675227522632771E-4</c:v>
                </c:pt>
                <c:pt idx="1958">
                  <c:v>1.2751798583659768E-3</c:v>
                </c:pt>
                <c:pt idx="1959">
                  <c:v>8.5624155267871452E-4</c:v>
                </c:pt>
                <c:pt idx="1960">
                  <c:v>1.1489660924032372E-3</c:v>
                </c:pt>
                <c:pt idx="1961">
                  <c:v>7.8915329771034619E-4</c:v>
                </c:pt>
                <c:pt idx="1962">
                  <c:v>7.4080806643964851E-4</c:v>
                </c:pt>
                <c:pt idx="1963">
                  <c:v>7.7506890663495219E-4</c:v>
                </c:pt>
                <c:pt idx="1964">
                  <c:v>4.8330765509555792E-4</c:v>
                </c:pt>
                <c:pt idx="1965">
                  <c:v>6.6570775240248111E-4</c:v>
                </c:pt>
                <c:pt idx="1966">
                  <c:v>5.8854277972961177E-4</c:v>
                </c:pt>
                <c:pt idx="1967">
                  <c:v>4.168473456676658E-4</c:v>
                </c:pt>
                <c:pt idx="1968">
                  <c:v>4.2931091396057402E-4</c:v>
                </c:pt>
                <c:pt idx="1969">
                  <c:v>4.6490983706149987E-4</c:v>
                </c:pt>
                <c:pt idx="1970">
                  <c:v>4.4657777248717755E-4</c:v>
                </c:pt>
                <c:pt idx="1971">
                  <c:v>4.694270997453447E-4</c:v>
                </c:pt>
                <c:pt idx="1972">
                  <c:v>2.5513591693199363E-4</c:v>
                </c:pt>
                <c:pt idx="1973">
                  <c:v>4.8222929835589189E-4</c:v>
                </c:pt>
                <c:pt idx="1974">
                  <c:v>3.5645936824636872E-4</c:v>
                </c:pt>
                <c:pt idx="1975">
                  <c:v>2.7361428295422801E-4</c:v>
                </c:pt>
                <c:pt idx="1976">
                  <c:v>2.2190773482183969E-4</c:v>
                </c:pt>
                <c:pt idx="1977">
                  <c:v>3.3101277932864003E-4</c:v>
                </c:pt>
                <c:pt idx="1978">
                  <c:v>2.2934346481605505E-4</c:v>
                </c:pt>
                <c:pt idx="1979">
                  <c:v>1.3769793647288382E-4</c:v>
                </c:pt>
                <c:pt idx="1980">
                  <c:v>1.7422464089068086E-4</c:v>
                </c:pt>
                <c:pt idx="1981">
                  <c:v>2.9506141768353072E-4</c:v>
                </c:pt>
                <c:pt idx="1982">
                  <c:v>5.1504356243700948E-5</c:v>
                </c:pt>
                <c:pt idx="1983">
                  <c:v>1.7409083260011863E-4</c:v>
                </c:pt>
                <c:pt idx="1984">
                  <c:v>2.4409492474046808E-4</c:v>
                </c:pt>
                <c:pt idx="1985">
                  <c:v>7.0492640346185909E-5</c:v>
                </c:pt>
                <c:pt idx="1986">
                  <c:v>1.2202428427567719E-4</c:v>
                </c:pt>
                <c:pt idx="1987">
                  <c:v>5.0337889867989045E-5</c:v>
                </c:pt>
                <c:pt idx="1988">
                  <c:v>1.7102047479775858E-5</c:v>
                </c:pt>
                <c:pt idx="1989">
                  <c:v>5.2319041609826673E-5</c:v>
                </c:pt>
                <c:pt idx="1990">
                  <c:v>8.6190292556196106E-5</c:v>
                </c:pt>
                <c:pt idx="1991">
                  <c:v>1.7734398502054404E-5</c:v>
                </c:pt>
                <c:pt idx="1992">
                  <c:v>5.1601342596811159E-5</c:v>
                </c:pt>
                <c:pt idx="1993">
                  <c:v>1.7991264392512042E-5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1.8055604152863458E-5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36-4DBC-B031-B4F2DC0B8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557456"/>
        <c:axId val="797557784"/>
      </c:scatterChart>
      <c:valAx>
        <c:axId val="79755745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557784"/>
        <c:crosses val="autoZero"/>
        <c:crossBetween val="midCat"/>
      </c:valAx>
      <c:valAx>
        <c:axId val="797557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557456"/>
        <c:crossesAt val="1.0100000000000005E-1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Plot of F(x) and dq/dx*F(x)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'NE270 Homework '!$AJ$3</c:f>
              <c:strCache>
                <c:ptCount val="1"/>
                <c:pt idx="0">
                  <c:v>exp(-3.0*((x/L)-0.5)^2)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'!$AI$4:$AI$24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'NE270 Homework '!$AJ$4:$AJ$24</c:f>
              <c:numCache>
                <c:formatCode>General</c:formatCode>
                <c:ptCount val="21"/>
                <c:pt idx="0">
                  <c:v>0.47236655274101469</c:v>
                </c:pt>
                <c:pt idx="1">
                  <c:v>0.54471094563451294</c:v>
                </c:pt>
                <c:pt idx="2">
                  <c:v>0.61878339180614084</c:v>
                </c:pt>
                <c:pt idx="3">
                  <c:v>0.69246332680864342</c:v>
                </c:pt>
                <c:pt idx="4">
                  <c:v>0.76337949433685315</c:v>
                </c:pt>
                <c:pt idx="5">
                  <c:v>0.82902911818040037</c:v>
                </c:pt>
                <c:pt idx="6">
                  <c:v>0.88692043671715748</c:v>
                </c:pt>
                <c:pt idx="7">
                  <c:v>0.93472772061602749</c:v>
                </c:pt>
                <c:pt idx="8">
                  <c:v>0.97044553354850815</c:v>
                </c:pt>
                <c:pt idx="9">
                  <c:v>0.99252805481913842</c:v>
                </c:pt>
                <c:pt idx="10">
                  <c:v>1</c:v>
                </c:pt>
                <c:pt idx="11">
                  <c:v>0.99252805481913842</c:v>
                </c:pt>
                <c:pt idx="12">
                  <c:v>0.97044553354850815</c:v>
                </c:pt>
                <c:pt idx="13">
                  <c:v>0.93472772061602749</c:v>
                </c:pt>
                <c:pt idx="14">
                  <c:v>0.88692043671715759</c:v>
                </c:pt>
                <c:pt idx="15">
                  <c:v>0.82902911818040037</c:v>
                </c:pt>
                <c:pt idx="16">
                  <c:v>0.76337949433685315</c:v>
                </c:pt>
                <c:pt idx="17">
                  <c:v>0.69246332680864342</c:v>
                </c:pt>
                <c:pt idx="18">
                  <c:v>0.61878339180614084</c:v>
                </c:pt>
                <c:pt idx="19">
                  <c:v>0.54471094563451294</c:v>
                </c:pt>
                <c:pt idx="20">
                  <c:v>0.47236655274101469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42-4D3C-B6D7-05BD0090C446}"/>
            </c:ext>
          </c:extLst>
        </c:ser>
        <c:ser>
          <c:idx val="1"/>
          <c:order val="1"/>
          <c:tx>
            <c:strRef>
              <c:f>'NE270 Homework '!$AK$3</c:f>
              <c:strCache>
                <c:ptCount val="1"/>
                <c:pt idx="0">
                  <c:v>exp(-3.0*((x/L)-0.5)^2)*x^(1/3)*(3-6(x/L)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'!$AI$4:$AI$24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'NE270 Homework '!$AK$4:$AK$24</c:f>
              <c:numCache>
                <c:formatCode>General</c:formatCode>
                <c:ptCount val="21"/>
                <c:pt idx="0">
                  <c:v>0</c:v>
                </c:pt>
                <c:pt idx="1">
                  <c:v>0.5418177159703691</c:v>
                </c:pt>
                <c:pt idx="2">
                  <c:v>0.68931313963978191</c:v>
                </c:pt>
                <c:pt idx="3">
                  <c:v>0.77264469248179912</c:v>
                </c:pt>
                <c:pt idx="4">
                  <c:v>0.80356866567441354</c:v>
                </c:pt>
                <c:pt idx="5">
                  <c:v>0.78338342772845326</c:v>
                </c:pt>
                <c:pt idx="6">
                  <c:v>0.71248051732767959</c:v>
                </c:pt>
                <c:pt idx="7">
                  <c:v>0.59285749322909154</c:v>
                </c:pt>
                <c:pt idx="8">
                  <c:v>0.42901822959690933</c:v>
                </c:pt>
                <c:pt idx="9">
                  <c:v>0.22817508309693924</c:v>
                </c:pt>
                <c:pt idx="10">
                  <c:v>0</c:v>
                </c:pt>
                <c:pt idx="11">
                  <c:v>-0.24395980409436141</c:v>
                </c:pt>
                <c:pt idx="12">
                  <c:v>-0.4911032777345975</c:v>
                </c:pt>
                <c:pt idx="13">
                  <c:v>-0.7287279339993924</c:v>
                </c:pt>
                <c:pt idx="14">
                  <c:v>-0.94500024598615051</c:v>
                </c:pt>
                <c:pt idx="15">
                  <c:v>-1.1298344120273063</c:v>
                </c:pt>
                <c:pt idx="16">
                  <c:v>-1.275585745220247</c:v>
                </c:pt>
                <c:pt idx="17">
                  <c:v>-1.3774918812940193</c:v>
                </c:pt>
                <c:pt idx="18">
                  <c:v>-1.4338291107818286</c:v>
                </c:pt>
                <c:pt idx="19">
                  <c:v>-1.4457872866020907</c:v>
                </c:pt>
                <c:pt idx="20">
                  <c:v>-1.417099658223044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AF-431F-A755-AE5778FB61DF}"/>
            </c:ext>
          </c:extLst>
        </c:ser>
        <c:ser>
          <c:idx val="2"/>
          <c:order val="2"/>
          <c:tx>
            <c:strRef>
              <c:f>'NE270 Homework '!$AL$3</c:f>
              <c:strCache>
                <c:ptCount val="1"/>
                <c:pt idx="0">
                  <c:v>q0*F(x/L)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'!$AI$4:$AI$24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'NE270 Homework '!$AL$4:$AL$24</c:f>
              <c:numCache>
                <c:formatCode>General</c:formatCode>
                <c:ptCount val="21"/>
                <c:pt idx="0">
                  <c:v>0</c:v>
                </c:pt>
                <c:pt idx="1">
                  <c:v>0.17388628673582626</c:v>
                </c:pt>
                <c:pt idx="2">
                  <c:v>0.2190829929465232</c:v>
                </c:pt>
                <c:pt idx="3">
                  <c:v>0.25078742232709622</c:v>
                </c:pt>
                <c:pt idx="4">
                  <c:v>0.27602727448729458</c:v>
                </c:pt>
                <c:pt idx="5">
                  <c:v>0.29734136777519005</c:v>
                </c:pt>
                <c:pt idx="6">
                  <c:v>0.31597235243878402</c:v>
                </c:pt>
                <c:pt idx="7">
                  <c:v>0.33263250015346285</c:v>
                </c:pt>
                <c:pt idx="8">
                  <c:v>0.34777257347165247</c:v>
                </c:pt>
                <c:pt idx="9">
                  <c:v>0.36169805208975703</c:v>
                </c:pt>
                <c:pt idx="10">
                  <c:v>0.3746266482644951</c:v>
                </c:pt>
                <c:pt idx="11">
                  <c:v>0.38671963972350482</c:v>
                </c:pt>
                <c:pt idx="12">
                  <c:v>0.39810021802242562</c:v>
                </c:pt>
                <c:pt idx="13">
                  <c:v>0.40886485772090608</c:v>
                </c:pt>
                <c:pt idx="14">
                  <c:v>0.4190906888225075</c:v>
                </c:pt>
                <c:pt idx="15">
                  <c:v>0.42884045990838493</c:v>
                </c:pt>
                <c:pt idx="16">
                  <c:v>0.43816598589304634</c:v>
                </c:pt>
                <c:pt idx="17">
                  <c:v>0.44711060795174928</c:v>
                </c:pt>
                <c:pt idx="18">
                  <c:v>0.45571098953385719</c:v>
                </c:pt>
                <c:pt idx="19">
                  <c:v>0.4639984542160156</c:v>
                </c:pt>
                <c:pt idx="20">
                  <c:v>0.47199999999999998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AF-431F-A755-AE5778FB61DF}"/>
            </c:ext>
          </c:extLst>
        </c:ser>
        <c:ser>
          <c:idx val="3"/>
          <c:order val="3"/>
          <c:tx>
            <c:strRef>
              <c:f>'NE270 Homework '!$BK$8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'!$BJ$9:$BJ$53</c:f>
              <c:numCache>
                <c:formatCode>General</c:formatCode>
                <c:ptCount val="4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0.12159019772232101</c:v>
                </c:pt>
                <c:pt idx="6">
                  <c:v>0.14318039544464201</c:v>
                </c:pt>
                <c:pt idx="7">
                  <c:v>0.16477059316696299</c:v>
                </c:pt>
                <c:pt idx="8">
                  <c:v>0.18636079088928501</c:v>
                </c:pt>
                <c:pt idx="9">
                  <c:v>0.211360790889285</c:v>
                </c:pt>
                <c:pt idx="10">
                  <c:v>0.23636079088928499</c:v>
                </c:pt>
                <c:pt idx="11">
                  <c:v>0.26136079088928499</c:v>
                </c:pt>
                <c:pt idx="12">
                  <c:v>0.28636079088928501</c:v>
                </c:pt>
                <c:pt idx="13">
                  <c:v>0.31136079088928498</c:v>
                </c:pt>
                <c:pt idx="14">
                  <c:v>0.336360790889285</c:v>
                </c:pt>
                <c:pt idx="15">
                  <c:v>0.36136079088928502</c:v>
                </c:pt>
                <c:pt idx="16">
                  <c:v>0.38636079088928499</c:v>
                </c:pt>
                <c:pt idx="17">
                  <c:v>0.41136079088928501</c:v>
                </c:pt>
                <c:pt idx="18">
                  <c:v>0.43636079088928498</c:v>
                </c:pt>
                <c:pt idx="19">
                  <c:v>0.461360790889285</c:v>
                </c:pt>
                <c:pt idx="20">
                  <c:v>0.48636079088928502</c:v>
                </c:pt>
                <c:pt idx="21">
                  <c:v>0.51136079088928499</c:v>
                </c:pt>
                <c:pt idx="22">
                  <c:v>0.53636079088928501</c:v>
                </c:pt>
                <c:pt idx="23">
                  <c:v>0.56136079088928503</c:v>
                </c:pt>
                <c:pt idx="24">
                  <c:v>0.58636079088928506</c:v>
                </c:pt>
                <c:pt idx="25">
                  <c:v>0.61136079088928497</c:v>
                </c:pt>
                <c:pt idx="26">
                  <c:v>0.63636079088928499</c:v>
                </c:pt>
                <c:pt idx="27">
                  <c:v>0.66136079088928501</c:v>
                </c:pt>
                <c:pt idx="28">
                  <c:v>0.68636079088928503</c:v>
                </c:pt>
                <c:pt idx="29">
                  <c:v>0.71136079088928506</c:v>
                </c:pt>
                <c:pt idx="30">
                  <c:v>0.73636079088928397</c:v>
                </c:pt>
                <c:pt idx="31">
                  <c:v>0.76136079088928399</c:v>
                </c:pt>
                <c:pt idx="32">
                  <c:v>0.78636079088928501</c:v>
                </c:pt>
                <c:pt idx="33">
                  <c:v>0.81136079088928503</c:v>
                </c:pt>
                <c:pt idx="34">
                  <c:v>0.83636079088928506</c:v>
                </c:pt>
                <c:pt idx="35">
                  <c:v>0.86136079088928397</c:v>
                </c:pt>
                <c:pt idx="36">
                  <c:v>0.88636079088928399</c:v>
                </c:pt>
                <c:pt idx="37">
                  <c:v>0.91136079088928501</c:v>
                </c:pt>
                <c:pt idx="38">
                  <c:v>0.93636079088928403</c:v>
                </c:pt>
                <c:pt idx="39">
                  <c:v>0.96136079088928394</c:v>
                </c:pt>
                <c:pt idx="40">
                  <c:v>0.98636079088928397</c:v>
                </c:pt>
                <c:pt idx="41">
                  <c:v>0.98977059316696303</c:v>
                </c:pt>
                <c:pt idx="42">
                  <c:v>0.99318039544464198</c:v>
                </c:pt>
                <c:pt idx="43">
                  <c:v>0.99659019772232105</c:v>
                </c:pt>
                <c:pt idx="44">
                  <c:v>1</c:v>
                </c:pt>
              </c:numCache>
            </c:numRef>
          </c:xVal>
          <c:yVal>
            <c:numRef>
              <c:f>'NE270 Homework '!$BK$9:$BK$53</c:f>
              <c:numCache>
                <c:formatCode>General</c:formatCode>
                <c:ptCount val="45"/>
                <c:pt idx="0">
                  <c:v>0</c:v>
                </c:pt>
                <c:pt idx="1">
                  <c:v>0.14380627847689401</c:v>
                </c:pt>
                <c:pt idx="2">
                  <c:v>0.192275854650309</c:v>
                </c:pt>
                <c:pt idx="3">
                  <c:v>0.232518432681904</c:v>
                </c:pt>
                <c:pt idx="4">
                  <c:v>0.26883944811527399</c:v>
                </c:pt>
                <c:pt idx="5">
                  <c:v>0.29896395530425002</c:v>
                </c:pt>
                <c:pt idx="6">
                  <c:v>0.328240180052422</c:v>
                </c:pt>
                <c:pt idx="7">
                  <c:v>0.35685151379923902</c:v>
                </c:pt>
                <c:pt idx="8">
                  <c:v>0.38485351825650599</c:v>
                </c:pt>
                <c:pt idx="9">
                  <c:v>0.41648864316300299</c:v>
                </c:pt>
                <c:pt idx="10">
                  <c:v>0.44716596080278997</c:v>
                </c:pt>
                <c:pt idx="11">
                  <c:v>0.47671679556119601</c:v>
                </c:pt>
                <c:pt idx="12">
                  <c:v>0.50493680480998404</c:v>
                </c:pt>
                <c:pt idx="13">
                  <c:v>0.53159964837726104</c:v>
                </c:pt>
                <c:pt idx="14">
                  <c:v>0.55646776098101403</c:v>
                </c:pt>
                <c:pt idx="15">
                  <c:v>0.579303345079623</c:v>
                </c:pt>
                <c:pt idx="16">
                  <c:v>0.59987462629438604</c:v>
                </c:pt>
                <c:pt idx="17">
                  <c:v>0.61796107080152995</c:v>
                </c:pt>
                <c:pt idx="18">
                  <c:v>0.63336073244981295</c:v>
                </c:pt>
                <c:pt idx="19">
                  <c:v>0.64589626557964397</c:v>
                </c:pt>
                <c:pt idx="20">
                  <c:v>0.65541843892102702</c:v>
                </c:pt>
                <c:pt idx="21">
                  <c:v>0.66180869251004504</c:v>
                </c:pt>
                <c:pt idx="22">
                  <c:v>0.66498381764213799</c:v>
                </c:pt>
                <c:pt idx="23">
                  <c:v>0.66489754929098699</c:v>
                </c:pt>
                <c:pt idx="24">
                  <c:v>0.66154176491816297</c:v>
                </c:pt>
                <c:pt idx="25">
                  <c:v>0.65494665802210295</c:v>
                </c:pt>
                <c:pt idx="26">
                  <c:v>0.64518152826980002</c:v>
                </c:pt>
                <c:pt idx="27">
                  <c:v>0.63235195259136401</c:v>
                </c:pt>
                <c:pt idx="28">
                  <c:v>0.616598640619476</c:v>
                </c:pt>
                <c:pt idx="29">
                  <c:v>0.59809552455334303</c:v>
                </c:pt>
                <c:pt idx="30">
                  <c:v>0.57704657358217104</c:v>
                </c:pt>
                <c:pt idx="31">
                  <c:v>0.55367995215838295</c:v>
                </c:pt>
                <c:pt idx="32">
                  <c:v>0.52824517922366299</c:v>
                </c:pt>
                <c:pt idx="33">
                  <c:v>0.50101005291173195</c:v>
                </c:pt>
                <c:pt idx="34">
                  <c:v>0.47225493128437601</c:v>
                </c:pt>
                <c:pt idx="35">
                  <c:v>0.44226627159556398</c:v>
                </c:pt>
                <c:pt idx="36">
                  <c:v>0.41133328705622602</c:v>
                </c:pt>
                <c:pt idx="37">
                  <c:v>0.37974492823762901</c:v>
                </c:pt>
                <c:pt idx="38">
                  <c:v>0.34778391202444497</c:v>
                </c:pt>
                <c:pt idx="39">
                  <c:v>0.31572191385936998</c:v>
                </c:pt>
                <c:pt idx="40">
                  <c:v>0.28381692641897199</c:v>
                </c:pt>
                <c:pt idx="41">
                  <c:v>0.279491136258538</c:v>
                </c:pt>
                <c:pt idx="42">
                  <c:v>0.27517338999075702</c:v>
                </c:pt>
                <c:pt idx="43">
                  <c:v>0.27086426767055399</c:v>
                </c:pt>
                <c:pt idx="44">
                  <c:v>0.26656434239530802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AF-431F-A755-AE5778FB6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508600"/>
        <c:axId val="458509912"/>
      </c:scatterChart>
      <c:valAx>
        <c:axId val="458508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09912"/>
        <c:crosses val="autoZero"/>
        <c:crossBetween val="midCat"/>
      </c:valAx>
      <c:valAx>
        <c:axId val="45850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08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'NE270 Homework '!$BN$8</c:f>
              <c:strCache>
                <c:ptCount val="1"/>
                <c:pt idx="0">
                  <c:v>Tw-Ti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'!$BM$9:$BM$53</c:f>
              <c:numCache>
                <c:formatCode>General</c:formatCode>
                <c:ptCount val="4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  <c:pt idx="5">
                  <c:v>0.12159019772232101</c:v>
                </c:pt>
                <c:pt idx="6">
                  <c:v>0.14318039544464201</c:v>
                </c:pt>
                <c:pt idx="7">
                  <c:v>0.16477059316696299</c:v>
                </c:pt>
                <c:pt idx="8">
                  <c:v>0.18636079088928501</c:v>
                </c:pt>
                <c:pt idx="9">
                  <c:v>0.211360790889285</c:v>
                </c:pt>
                <c:pt idx="10">
                  <c:v>0.23636079088928499</c:v>
                </c:pt>
                <c:pt idx="11">
                  <c:v>0.26136079088928499</c:v>
                </c:pt>
                <c:pt idx="12">
                  <c:v>0.28636079088928501</c:v>
                </c:pt>
                <c:pt idx="13">
                  <c:v>0.31136079088928498</c:v>
                </c:pt>
                <c:pt idx="14">
                  <c:v>0.336360790889285</c:v>
                </c:pt>
                <c:pt idx="15">
                  <c:v>0.36136079088928502</c:v>
                </c:pt>
                <c:pt idx="16">
                  <c:v>0.38636079088928499</c:v>
                </c:pt>
                <c:pt idx="17">
                  <c:v>0.41136079088928501</c:v>
                </c:pt>
                <c:pt idx="18">
                  <c:v>0.43636079088928498</c:v>
                </c:pt>
                <c:pt idx="19">
                  <c:v>0.461360790889285</c:v>
                </c:pt>
                <c:pt idx="20">
                  <c:v>0.48636079088928502</c:v>
                </c:pt>
                <c:pt idx="21">
                  <c:v>0.51136079088928499</c:v>
                </c:pt>
                <c:pt idx="22">
                  <c:v>0.53636079088928501</c:v>
                </c:pt>
                <c:pt idx="23">
                  <c:v>0.56136079088928503</c:v>
                </c:pt>
                <c:pt idx="24">
                  <c:v>0.58636079088928506</c:v>
                </c:pt>
                <c:pt idx="25">
                  <c:v>0.61136079088928497</c:v>
                </c:pt>
                <c:pt idx="26">
                  <c:v>0.63636079088928499</c:v>
                </c:pt>
                <c:pt idx="27">
                  <c:v>0.66136079088928501</c:v>
                </c:pt>
                <c:pt idx="28">
                  <c:v>0.68636079088928503</c:v>
                </c:pt>
                <c:pt idx="29">
                  <c:v>0.71136079088928506</c:v>
                </c:pt>
                <c:pt idx="30">
                  <c:v>0.73636079088928397</c:v>
                </c:pt>
                <c:pt idx="31">
                  <c:v>0.76136079088928399</c:v>
                </c:pt>
                <c:pt idx="32">
                  <c:v>0.78636079088928501</c:v>
                </c:pt>
                <c:pt idx="33">
                  <c:v>0.81136079088928503</c:v>
                </c:pt>
                <c:pt idx="34">
                  <c:v>0.83636079088928506</c:v>
                </c:pt>
                <c:pt idx="35">
                  <c:v>0.86136079088928397</c:v>
                </c:pt>
                <c:pt idx="36">
                  <c:v>0.88636079088928399</c:v>
                </c:pt>
                <c:pt idx="37">
                  <c:v>0.91136079088928501</c:v>
                </c:pt>
                <c:pt idx="38">
                  <c:v>0.93636079088928403</c:v>
                </c:pt>
                <c:pt idx="39">
                  <c:v>0.96136079088928394</c:v>
                </c:pt>
                <c:pt idx="40">
                  <c:v>0.98636079088928397</c:v>
                </c:pt>
                <c:pt idx="41">
                  <c:v>0.98977059316696303</c:v>
                </c:pt>
                <c:pt idx="42">
                  <c:v>0.99318039544464198</c:v>
                </c:pt>
                <c:pt idx="43">
                  <c:v>0.99659019772232105</c:v>
                </c:pt>
                <c:pt idx="44">
                  <c:v>1</c:v>
                </c:pt>
              </c:numCache>
            </c:numRef>
          </c:xVal>
          <c:yVal>
            <c:numRef>
              <c:f>'NE270 Homework '!$BN$9:$BN$53</c:f>
              <c:numCache>
                <c:formatCode>General</c:formatCode>
                <c:ptCount val="45"/>
                <c:pt idx="0">
                  <c:v>0</c:v>
                </c:pt>
                <c:pt idx="1">
                  <c:v>43.421539008480956</c:v>
                </c:pt>
                <c:pt idx="2">
                  <c:v>58.056669093407237</c:v>
                </c:pt>
                <c:pt idx="3">
                  <c:v>70.207700955910397</c:v>
                </c:pt>
                <c:pt idx="4">
                  <c:v>81.174637901720558</c:v>
                </c:pt>
                <c:pt idx="5">
                  <c:v>90.270572223027386</c:v>
                </c:pt>
                <c:pt idx="6">
                  <c:v>99.1103721843904</c:v>
                </c:pt>
                <c:pt idx="7">
                  <c:v>107.74941185310483</c:v>
                </c:pt>
                <c:pt idx="8">
                  <c:v>116.20446779179417</c:v>
                </c:pt>
                <c:pt idx="9">
                  <c:v>125.75652507826611</c:v>
                </c:pt>
                <c:pt idx="10">
                  <c:v>135.0193775676002</c:v>
                </c:pt>
                <c:pt idx="11">
                  <c:v>143.94209455732795</c:v>
                </c:pt>
                <c:pt idx="12">
                  <c:v>152.46297588041168</c:v>
                </c:pt>
                <c:pt idx="13">
                  <c:v>160.51367932879808</c:v>
                </c:pt>
                <c:pt idx="14">
                  <c:v>168.02247333228559</c:v>
                </c:pt>
                <c:pt idx="15">
                  <c:v>174.91755619112277</c:v>
                </c:pt>
                <c:pt idx="16">
                  <c:v>181.12894486748564</c:v>
                </c:pt>
                <c:pt idx="17">
                  <c:v>186.59005034917612</c:v>
                </c:pt>
                <c:pt idx="18">
                  <c:v>191.23989607260722</c:v>
                </c:pt>
                <c:pt idx="19">
                  <c:v>195.02493346147563</c:v>
                </c:pt>
                <c:pt idx="20">
                  <c:v>197.90010292950976</c:v>
                </c:pt>
                <c:pt idx="21">
                  <c:v>199.82960592776874</c:v>
                </c:pt>
                <c:pt idx="22">
                  <c:v>200.7883180315809</c:v>
                </c:pt>
                <c:pt idx="23">
                  <c:v>200.76226976293523</c:v>
                </c:pt>
                <c:pt idx="24">
                  <c:v>199.74900856466257</c:v>
                </c:pt>
                <c:pt idx="25">
                  <c:v>197.75765120262372</c:v>
                </c:pt>
                <c:pt idx="26">
                  <c:v>194.8091223417602</c:v>
                </c:pt>
                <c:pt idx="27">
                  <c:v>190.93530037318061</c:v>
                </c:pt>
                <c:pt idx="28">
                  <c:v>186.17867182020674</c:v>
                </c:pt>
                <c:pt idx="29">
                  <c:v>180.5917545829796</c:v>
                </c:pt>
                <c:pt idx="30">
                  <c:v>174.23613607061264</c:v>
                </c:pt>
                <c:pt idx="31">
                  <c:v>167.18070932293801</c:v>
                </c:pt>
                <c:pt idx="32">
                  <c:v>159.50081525395794</c:v>
                </c:pt>
                <c:pt idx="33">
                  <c:v>151.27731408224494</c:v>
                </c:pt>
                <c:pt idx="34">
                  <c:v>142.5948584296813</c:v>
                </c:pt>
                <c:pt idx="35">
                  <c:v>133.53994253670771</c:v>
                </c:pt>
                <c:pt idx="36">
                  <c:v>124.19989279027463</c:v>
                </c:pt>
                <c:pt idx="37">
                  <c:v>114.66195627468649</c:v>
                </c:pt>
                <c:pt idx="38">
                  <c:v>105.01149784581861</c:v>
                </c:pt>
                <c:pt idx="39">
                  <c:v>95.330548455014821</c:v>
                </c:pt>
                <c:pt idx="40">
                  <c:v>85.697007615343281</c:v>
                </c:pt>
                <c:pt idx="41">
                  <c:v>84.390858341589791</c:v>
                </c:pt>
                <c:pt idx="42">
                  <c:v>83.087137878332697</c:v>
                </c:pt>
                <c:pt idx="43">
                  <c:v>81.786021370063722</c:v>
                </c:pt>
                <c:pt idx="44">
                  <c:v>80.48768186048072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4B-4196-9856-3950F5885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576600"/>
        <c:axId val="683576928"/>
      </c:scatterChart>
      <c:valAx>
        <c:axId val="683576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76928"/>
        <c:crosses val="autoZero"/>
        <c:crossBetween val="midCat"/>
      </c:valAx>
      <c:valAx>
        <c:axId val="68357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576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 vs (x/L)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'NE270 Homework '!$BP$8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'!$BM$10:$BM$53</c:f>
              <c:numCache>
                <c:formatCode>General</c:formatCode>
                <c:ptCount val="44"/>
                <c:pt idx="0">
                  <c:v>2.5000000000000001E-2</c:v>
                </c:pt>
                <c:pt idx="1">
                  <c:v>0.05</c:v>
                </c:pt>
                <c:pt idx="2">
                  <c:v>7.4999999999999997E-2</c:v>
                </c:pt>
                <c:pt idx="3">
                  <c:v>0.1</c:v>
                </c:pt>
                <c:pt idx="4">
                  <c:v>0.12159019772232101</c:v>
                </c:pt>
                <c:pt idx="5">
                  <c:v>0.14318039544464201</c:v>
                </c:pt>
                <c:pt idx="6">
                  <c:v>0.16477059316696299</c:v>
                </c:pt>
                <c:pt idx="7">
                  <c:v>0.18636079088928501</c:v>
                </c:pt>
                <c:pt idx="8">
                  <c:v>0.211360790889285</c:v>
                </c:pt>
                <c:pt idx="9">
                  <c:v>0.23636079088928499</c:v>
                </c:pt>
                <c:pt idx="10">
                  <c:v>0.26136079088928499</c:v>
                </c:pt>
                <c:pt idx="11">
                  <c:v>0.28636079088928501</c:v>
                </c:pt>
                <c:pt idx="12">
                  <c:v>0.31136079088928498</c:v>
                </c:pt>
                <c:pt idx="13">
                  <c:v>0.336360790889285</c:v>
                </c:pt>
                <c:pt idx="14">
                  <c:v>0.36136079088928502</c:v>
                </c:pt>
                <c:pt idx="15">
                  <c:v>0.38636079088928499</c:v>
                </c:pt>
                <c:pt idx="16">
                  <c:v>0.41136079088928501</c:v>
                </c:pt>
                <c:pt idx="17">
                  <c:v>0.43636079088928498</c:v>
                </c:pt>
                <c:pt idx="18">
                  <c:v>0.461360790889285</c:v>
                </c:pt>
                <c:pt idx="19">
                  <c:v>0.48636079088928502</c:v>
                </c:pt>
                <c:pt idx="20">
                  <c:v>0.51136079088928499</c:v>
                </c:pt>
                <c:pt idx="21">
                  <c:v>0.53636079088928501</c:v>
                </c:pt>
                <c:pt idx="22">
                  <c:v>0.56136079088928503</c:v>
                </c:pt>
                <c:pt idx="23">
                  <c:v>0.58636079088928506</c:v>
                </c:pt>
                <c:pt idx="24">
                  <c:v>0.61136079088928497</c:v>
                </c:pt>
                <c:pt idx="25">
                  <c:v>0.63636079088928499</c:v>
                </c:pt>
                <c:pt idx="26">
                  <c:v>0.66136079088928501</c:v>
                </c:pt>
                <c:pt idx="27">
                  <c:v>0.68636079088928503</c:v>
                </c:pt>
                <c:pt idx="28">
                  <c:v>0.71136079088928506</c:v>
                </c:pt>
                <c:pt idx="29">
                  <c:v>0.73636079088928397</c:v>
                </c:pt>
                <c:pt idx="30">
                  <c:v>0.76136079088928399</c:v>
                </c:pt>
                <c:pt idx="31">
                  <c:v>0.78636079088928501</c:v>
                </c:pt>
                <c:pt idx="32">
                  <c:v>0.81136079088928503</c:v>
                </c:pt>
                <c:pt idx="33">
                  <c:v>0.83636079088928506</c:v>
                </c:pt>
                <c:pt idx="34">
                  <c:v>0.86136079088928397</c:v>
                </c:pt>
                <c:pt idx="35">
                  <c:v>0.88636079088928399</c:v>
                </c:pt>
                <c:pt idx="36">
                  <c:v>0.91136079088928501</c:v>
                </c:pt>
                <c:pt idx="37">
                  <c:v>0.93636079088928403</c:v>
                </c:pt>
                <c:pt idx="38">
                  <c:v>0.96136079088928394</c:v>
                </c:pt>
                <c:pt idx="39">
                  <c:v>0.98636079088928397</c:v>
                </c:pt>
                <c:pt idx="40">
                  <c:v>0.98977059316696303</c:v>
                </c:pt>
                <c:pt idx="41">
                  <c:v>0.99318039544464198</c:v>
                </c:pt>
                <c:pt idx="42">
                  <c:v>0.99659019772232105</c:v>
                </c:pt>
                <c:pt idx="43">
                  <c:v>1</c:v>
                </c:pt>
              </c:numCache>
            </c:numRef>
          </c:xVal>
          <c:yVal>
            <c:numRef>
              <c:f>'NE270 Homework '!$BP$10:$BP$53</c:f>
              <c:numCache>
                <c:formatCode>General</c:formatCode>
                <c:ptCount val="44"/>
                <c:pt idx="0">
                  <c:v>3511.1789565684644</c:v>
                </c:pt>
                <c:pt idx="1">
                  <c:v>2814.7202766221162</c:v>
                </c:pt>
                <c:pt idx="2">
                  <c:v>2485.4394113615745</c:v>
                </c:pt>
                <c:pt idx="3">
                  <c:v>2286.8598165672579</c:v>
                </c:pt>
                <c:pt idx="4">
                  <c:v>2162.768298871149</c:v>
                </c:pt>
                <c:pt idx="5">
                  <c:v>2065.9448668321943</c:v>
                </c:pt>
                <c:pt idx="6">
                  <c:v>1987.4212388513045</c:v>
                </c:pt>
                <c:pt idx="7">
                  <c:v>1921.9158389999002</c:v>
                </c:pt>
                <c:pt idx="8">
                  <c:v>1857.9932336080171</c:v>
                </c:pt>
                <c:pt idx="9">
                  <c:v>1803.712915521136</c:v>
                </c:pt>
                <c:pt idx="10">
                  <c:v>1756.8551439612522</c:v>
                </c:pt>
                <c:pt idx="11">
                  <c:v>1715.8962762935894</c:v>
                </c:pt>
                <c:pt idx="12">
                  <c:v>1679.7568530499127</c:v>
                </c:pt>
                <c:pt idx="13">
                  <c:v>1647.6521943387465</c:v>
                </c:pt>
                <c:pt idx="14">
                  <c:v>1618.9944203105961</c:v>
                </c:pt>
                <c:pt idx="15">
                  <c:v>1593.3387938054309</c:v>
                </c:pt>
                <c:pt idx="16">
                  <c:v>1570.3488313174919</c:v>
                </c:pt>
                <c:pt idx="17">
                  <c:v>1549.7660553838493</c:v>
                </c:pt>
                <c:pt idx="18">
                  <c:v>1531.390421463467</c:v>
                </c:pt>
                <c:pt idx="19">
                  <c:v>1515.070568680472</c:v>
                </c:pt>
                <c:pt idx="20">
                  <c:v>1500.6978584630676</c:v>
                </c:pt>
                <c:pt idx="21">
                  <c:v>1488.1964407376843</c:v>
                </c:pt>
                <c:pt idx="22">
                  <c:v>1477.5208237468069</c:v>
                </c:pt>
                <c:pt idx="23">
                  <c:v>1468.6539408454735</c:v>
                </c:pt>
                <c:pt idx="24">
                  <c:v>1461.6069779035872</c:v>
                </c:pt>
                <c:pt idx="25">
                  <c:v>1456.4172177782286</c:v>
                </c:pt>
                <c:pt idx="26">
                  <c:v>1453.1533670123088</c:v>
                </c:pt>
                <c:pt idx="27">
                  <c:v>1451.9168191843482</c:v>
                </c:pt>
                <c:pt idx="28">
                  <c:v>1452.8444705419133</c:v>
                </c:pt>
                <c:pt idx="29">
                  <c:v>1456.114695729297</c:v>
                </c:pt>
                <c:pt idx="30">
                  <c:v>1461.9611188524609</c:v>
                </c:pt>
                <c:pt idx="31">
                  <c:v>1470.6815509694852</c:v>
                </c:pt>
                <c:pt idx="32">
                  <c:v>1482.6502247053443</c:v>
                </c:pt>
                <c:pt idx="33">
                  <c:v>1498.3421720583069</c:v>
                </c:pt>
                <c:pt idx="34">
                  <c:v>1518.3693803824497</c:v>
                </c:pt>
                <c:pt idx="35">
                  <c:v>1543.5210244493931</c:v>
                </c:pt>
                <c:pt idx="36">
                  <c:v>1574.8201652287526</c:v>
                </c:pt>
                <c:pt idx="37">
                  <c:v>1613.6204929562823</c:v>
                </c:pt>
                <c:pt idx="38">
                  <c:v>1661.7492736358738</c:v>
                </c:pt>
                <c:pt idx="39">
                  <c:v>1721.7205487709759</c:v>
                </c:pt>
                <c:pt idx="40">
                  <c:v>1730.9972553657285</c:v>
                </c:pt>
                <c:pt idx="41">
                  <c:v>1740.5686257744946</c:v>
                </c:pt>
                <c:pt idx="42">
                  <c:v>1750.4460831770557</c:v>
                </c:pt>
                <c:pt idx="43">
                  <c:v>1760.6416602722868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E2-4AEB-AE1B-80EBA3899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8581272"/>
        <c:axId val="788577992"/>
      </c:scatterChart>
      <c:valAx>
        <c:axId val="788581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577992"/>
        <c:crosses val="autoZero"/>
        <c:crossBetween val="midCat"/>
      </c:valAx>
      <c:valAx>
        <c:axId val="78857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581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FHR flux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'NE270 Homework '!$CJ$8</c:f>
              <c:strCache>
                <c:ptCount val="1"/>
                <c:pt idx="0">
                  <c:v>flux per lethargy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'!$CH$9:$CH$2008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'!$CJ$9:$CJ$2008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4.9363847767771523</c:v>
                </c:pt>
                <c:pt idx="179">
                  <c:v>3.2441622498525923E-3</c:v>
                </c:pt>
                <c:pt idx="180">
                  <c:v>0</c:v>
                </c:pt>
                <c:pt idx="181">
                  <c:v>1.2896613968077613</c:v>
                </c:pt>
                <c:pt idx="182">
                  <c:v>0</c:v>
                </c:pt>
                <c:pt idx="183">
                  <c:v>0</c:v>
                </c:pt>
                <c:pt idx="184">
                  <c:v>0.70309275049030617</c:v>
                </c:pt>
                <c:pt idx="185">
                  <c:v>0.27886589335405371</c:v>
                </c:pt>
                <c:pt idx="186">
                  <c:v>0</c:v>
                </c:pt>
                <c:pt idx="187">
                  <c:v>3.4433249720251719E-3</c:v>
                </c:pt>
                <c:pt idx="188">
                  <c:v>0.46037940668476524</c:v>
                </c:pt>
                <c:pt idx="189">
                  <c:v>0</c:v>
                </c:pt>
                <c:pt idx="190">
                  <c:v>2.7860009435700768</c:v>
                </c:pt>
                <c:pt idx="191">
                  <c:v>0</c:v>
                </c:pt>
                <c:pt idx="192">
                  <c:v>0</c:v>
                </c:pt>
                <c:pt idx="193">
                  <c:v>5.9396205526160442E-2</c:v>
                </c:pt>
                <c:pt idx="194">
                  <c:v>0</c:v>
                </c:pt>
                <c:pt idx="195">
                  <c:v>7.9292814835157405E-2</c:v>
                </c:pt>
                <c:pt idx="196">
                  <c:v>0</c:v>
                </c:pt>
                <c:pt idx="197">
                  <c:v>0.69771614972549734</c:v>
                </c:pt>
                <c:pt idx="198">
                  <c:v>0.28928101721198995</c:v>
                </c:pt>
                <c:pt idx="199">
                  <c:v>0</c:v>
                </c:pt>
                <c:pt idx="200">
                  <c:v>0.47426002097494818</c:v>
                </c:pt>
                <c:pt idx="201">
                  <c:v>0.69846536093354528</c:v>
                </c:pt>
                <c:pt idx="202">
                  <c:v>0</c:v>
                </c:pt>
                <c:pt idx="203">
                  <c:v>8.5646343492617932E-2</c:v>
                </c:pt>
                <c:pt idx="204">
                  <c:v>0</c:v>
                </c:pt>
                <c:pt idx="205">
                  <c:v>0</c:v>
                </c:pt>
                <c:pt idx="206">
                  <c:v>7.7597841055456387E-3</c:v>
                </c:pt>
                <c:pt idx="207">
                  <c:v>0</c:v>
                </c:pt>
                <c:pt idx="208">
                  <c:v>9.0121403799609714E-2</c:v>
                </c:pt>
                <c:pt idx="209">
                  <c:v>0.29801507899211738</c:v>
                </c:pt>
                <c:pt idx="210">
                  <c:v>0.39014940502081857</c:v>
                </c:pt>
                <c:pt idx="211">
                  <c:v>0</c:v>
                </c:pt>
                <c:pt idx="212">
                  <c:v>9.3082497889508758E-2</c:v>
                </c:pt>
                <c:pt idx="213">
                  <c:v>0.48559689223199737</c:v>
                </c:pt>
                <c:pt idx="214">
                  <c:v>0.18304069177865159</c:v>
                </c:pt>
                <c:pt idx="215">
                  <c:v>0</c:v>
                </c:pt>
                <c:pt idx="216">
                  <c:v>4.271475373435597E-3</c:v>
                </c:pt>
                <c:pt idx="217">
                  <c:v>1.6297597626187377</c:v>
                </c:pt>
                <c:pt idx="218">
                  <c:v>0.73646373685043354</c:v>
                </c:pt>
                <c:pt idx="219">
                  <c:v>4.2420120986460764E-3</c:v>
                </c:pt>
                <c:pt idx="220">
                  <c:v>0</c:v>
                </c:pt>
                <c:pt idx="221">
                  <c:v>0</c:v>
                </c:pt>
                <c:pt idx="222">
                  <c:v>9.4784544098663326E-2</c:v>
                </c:pt>
                <c:pt idx="223">
                  <c:v>4.3728131840345312E-3</c:v>
                </c:pt>
                <c:pt idx="224">
                  <c:v>0.17320224293769834</c:v>
                </c:pt>
                <c:pt idx="225">
                  <c:v>9.6345918908796443E-2</c:v>
                </c:pt>
                <c:pt idx="226">
                  <c:v>9.9056757802646264E-2</c:v>
                </c:pt>
                <c:pt idx="227">
                  <c:v>0.7785423605289935</c:v>
                </c:pt>
                <c:pt idx="228">
                  <c:v>0.23338006849698514</c:v>
                </c:pt>
                <c:pt idx="229">
                  <c:v>3.8113244606254857</c:v>
                </c:pt>
                <c:pt idx="230">
                  <c:v>1.0032124601373964</c:v>
                </c:pt>
                <c:pt idx="231">
                  <c:v>1.3726342065289217</c:v>
                </c:pt>
                <c:pt idx="232">
                  <c:v>0.20183547875398716</c:v>
                </c:pt>
                <c:pt idx="233">
                  <c:v>0.18241116783827938</c:v>
                </c:pt>
                <c:pt idx="234">
                  <c:v>0</c:v>
                </c:pt>
                <c:pt idx="235">
                  <c:v>1.073517072046128</c:v>
                </c:pt>
                <c:pt idx="236">
                  <c:v>0.50145545519902879</c:v>
                </c:pt>
                <c:pt idx="237">
                  <c:v>0.10899624135007904</c:v>
                </c:pt>
                <c:pt idx="238">
                  <c:v>0.62646802909625732</c:v>
                </c:pt>
                <c:pt idx="239">
                  <c:v>0</c:v>
                </c:pt>
                <c:pt idx="240">
                  <c:v>0.57847732070854707</c:v>
                </c:pt>
                <c:pt idx="241">
                  <c:v>0.45566186308222267</c:v>
                </c:pt>
                <c:pt idx="242">
                  <c:v>0.40972837675644497</c:v>
                </c:pt>
                <c:pt idx="243">
                  <c:v>1.6560132425024094</c:v>
                </c:pt>
                <c:pt idx="244">
                  <c:v>0.10516236283420713</c:v>
                </c:pt>
                <c:pt idx="245">
                  <c:v>2.4776352474941601</c:v>
                </c:pt>
                <c:pt idx="246">
                  <c:v>0.75138189985715587</c:v>
                </c:pt>
                <c:pt idx="247">
                  <c:v>0</c:v>
                </c:pt>
                <c:pt idx="248">
                  <c:v>0</c:v>
                </c:pt>
                <c:pt idx="249">
                  <c:v>0.20080958788819536</c:v>
                </c:pt>
                <c:pt idx="250">
                  <c:v>0.22575816567818202</c:v>
                </c:pt>
                <c:pt idx="251">
                  <c:v>0.42593978400610483</c:v>
                </c:pt>
                <c:pt idx="252">
                  <c:v>1.8705099243583772</c:v>
                </c:pt>
                <c:pt idx="253">
                  <c:v>2.1387415262604388</c:v>
                </c:pt>
                <c:pt idx="254">
                  <c:v>0.21931370578488996</c:v>
                </c:pt>
                <c:pt idx="255">
                  <c:v>0.11220448187582792</c:v>
                </c:pt>
                <c:pt idx="256">
                  <c:v>0.32326986966174187</c:v>
                </c:pt>
                <c:pt idx="257">
                  <c:v>2.7742731457179568</c:v>
                </c:pt>
                <c:pt idx="258">
                  <c:v>0.67686336349817955</c:v>
                </c:pt>
                <c:pt idx="259">
                  <c:v>0.23673208918195485</c:v>
                </c:pt>
                <c:pt idx="260">
                  <c:v>4.135373851907219</c:v>
                </c:pt>
                <c:pt idx="261">
                  <c:v>0.53708573303404761</c:v>
                </c:pt>
                <c:pt idx="262">
                  <c:v>0.12645892457998498</c:v>
                </c:pt>
                <c:pt idx="263">
                  <c:v>0.1302251875615206</c:v>
                </c:pt>
                <c:pt idx="264">
                  <c:v>0.56432702147106895</c:v>
                </c:pt>
                <c:pt idx="265">
                  <c:v>0.35743203549260855</c:v>
                </c:pt>
                <c:pt idx="266">
                  <c:v>1.9986918792788624</c:v>
                </c:pt>
                <c:pt idx="267">
                  <c:v>0.23861832943292202</c:v>
                </c:pt>
                <c:pt idx="268">
                  <c:v>2.0798616080843888</c:v>
                </c:pt>
                <c:pt idx="269">
                  <c:v>2.6197055886053264</c:v>
                </c:pt>
                <c:pt idx="270">
                  <c:v>0.55693361252691942</c:v>
                </c:pt>
                <c:pt idx="271">
                  <c:v>0.43655775446704986</c:v>
                </c:pt>
                <c:pt idx="272">
                  <c:v>0.56777230496201969</c:v>
                </c:pt>
                <c:pt idx="273">
                  <c:v>6.0941647940271791E-3</c:v>
                </c:pt>
                <c:pt idx="274">
                  <c:v>0.12556437883261651</c:v>
                </c:pt>
                <c:pt idx="275">
                  <c:v>0.25454994826463867</c:v>
                </c:pt>
                <c:pt idx="276">
                  <c:v>1.9690420788773799</c:v>
                </c:pt>
                <c:pt idx="277">
                  <c:v>1.3849682126199185</c:v>
                </c:pt>
                <c:pt idx="278">
                  <c:v>1.7427787396668002</c:v>
                </c:pt>
                <c:pt idx="279">
                  <c:v>1.3306737157379378</c:v>
                </c:pt>
                <c:pt idx="280">
                  <c:v>1.8545153531326231</c:v>
                </c:pt>
                <c:pt idx="281">
                  <c:v>1.1590002056282791</c:v>
                </c:pt>
                <c:pt idx="282">
                  <c:v>1.0422351725399768</c:v>
                </c:pt>
                <c:pt idx="283">
                  <c:v>1.3097673033971806</c:v>
                </c:pt>
                <c:pt idx="284">
                  <c:v>2.3107259123900343</c:v>
                </c:pt>
                <c:pt idx="285">
                  <c:v>6.4032921363519416E-3</c:v>
                </c:pt>
                <c:pt idx="286">
                  <c:v>2.3377721261245452</c:v>
                </c:pt>
                <c:pt idx="287">
                  <c:v>0.53435546438895165</c:v>
                </c:pt>
                <c:pt idx="288">
                  <c:v>0.80195132483024278</c:v>
                </c:pt>
                <c:pt idx="289">
                  <c:v>1.6065528677304475</c:v>
                </c:pt>
                <c:pt idx="290">
                  <c:v>1.0024974452915416</c:v>
                </c:pt>
                <c:pt idx="291">
                  <c:v>0.44665500759460064</c:v>
                </c:pt>
                <c:pt idx="292">
                  <c:v>1.7510635855981189</c:v>
                </c:pt>
                <c:pt idx="293">
                  <c:v>1.4003488037062968</c:v>
                </c:pt>
                <c:pt idx="294">
                  <c:v>1.4874795801941136</c:v>
                </c:pt>
                <c:pt idx="295">
                  <c:v>3.4961972111159412</c:v>
                </c:pt>
                <c:pt idx="296">
                  <c:v>1.5122797146845806</c:v>
                </c:pt>
                <c:pt idx="297">
                  <c:v>5.8889322175653316</c:v>
                </c:pt>
                <c:pt idx="298">
                  <c:v>1.6332027145395389</c:v>
                </c:pt>
                <c:pt idx="299">
                  <c:v>2.3705928619293846</c:v>
                </c:pt>
                <c:pt idx="300">
                  <c:v>1.7749466358297719</c:v>
                </c:pt>
                <c:pt idx="301">
                  <c:v>1.1672928234600961</c:v>
                </c:pt>
                <c:pt idx="302">
                  <c:v>5.5460359675749231</c:v>
                </c:pt>
                <c:pt idx="303">
                  <c:v>1.0614550824725761</c:v>
                </c:pt>
                <c:pt idx="304">
                  <c:v>1.5044067794796783</c:v>
                </c:pt>
                <c:pt idx="305">
                  <c:v>1.6843884512221505</c:v>
                </c:pt>
                <c:pt idx="306">
                  <c:v>2.650591121186058</c:v>
                </c:pt>
                <c:pt idx="307">
                  <c:v>3.1343841553123721</c:v>
                </c:pt>
                <c:pt idx="308">
                  <c:v>1.2651954540387267</c:v>
                </c:pt>
                <c:pt idx="309">
                  <c:v>3.4023126530949952</c:v>
                </c:pt>
                <c:pt idx="310">
                  <c:v>8.0481915611416071</c:v>
                </c:pt>
                <c:pt idx="311">
                  <c:v>6.9013621516938572</c:v>
                </c:pt>
                <c:pt idx="312">
                  <c:v>2.0549915264894363</c:v>
                </c:pt>
                <c:pt idx="313">
                  <c:v>2.7133336739098248</c:v>
                </c:pt>
                <c:pt idx="314">
                  <c:v>4.2525119362194461</c:v>
                </c:pt>
                <c:pt idx="315">
                  <c:v>3.2691489099550211</c:v>
                </c:pt>
                <c:pt idx="316">
                  <c:v>1.7294887898144975</c:v>
                </c:pt>
                <c:pt idx="317">
                  <c:v>6.9046962970076811</c:v>
                </c:pt>
                <c:pt idx="318">
                  <c:v>1.4873630016866373</c:v>
                </c:pt>
                <c:pt idx="319">
                  <c:v>1.4074911802643475</c:v>
                </c:pt>
                <c:pt idx="320">
                  <c:v>3.7512088102701862</c:v>
                </c:pt>
                <c:pt idx="321">
                  <c:v>4.3047313356683476</c:v>
                </c:pt>
                <c:pt idx="322">
                  <c:v>6.1207913251347756</c:v>
                </c:pt>
                <c:pt idx="323">
                  <c:v>5.4222218207345509</c:v>
                </c:pt>
                <c:pt idx="324">
                  <c:v>9.6411202872983193</c:v>
                </c:pt>
                <c:pt idx="325">
                  <c:v>7.3489536732985181</c:v>
                </c:pt>
                <c:pt idx="326">
                  <c:v>6.4774516109078908</c:v>
                </c:pt>
                <c:pt idx="327">
                  <c:v>5.9829566697952501</c:v>
                </c:pt>
                <c:pt idx="328">
                  <c:v>7.2869028197191117</c:v>
                </c:pt>
                <c:pt idx="329">
                  <c:v>9.3068508468611597</c:v>
                </c:pt>
                <c:pt idx="330">
                  <c:v>9.1277862593775012</c:v>
                </c:pt>
                <c:pt idx="331">
                  <c:v>7.7617348525707435</c:v>
                </c:pt>
                <c:pt idx="332">
                  <c:v>7.4478122476384545</c:v>
                </c:pt>
                <c:pt idx="333">
                  <c:v>6.2465251313982586</c:v>
                </c:pt>
                <c:pt idx="334">
                  <c:v>6.3059490826091968</c:v>
                </c:pt>
                <c:pt idx="335">
                  <c:v>6.0286632166264731</c:v>
                </c:pt>
                <c:pt idx="336">
                  <c:v>12.675347960887517</c:v>
                </c:pt>
                <c:pt idx="337">
                  <c:v>5.2894699883209944</c:v>
                </c:pt>
                <c:pt idx="338">
                  <c:v>10.255100426673712</c:v>
                </c:pt>
                <c:pt idx="339">
                  <c:v>6.9956974799437122</c:v>
                </c:pt>
                <c:pt idx="340">
                  <c:v>4.0269791556557184</c:v>
                </c:pt>
                <c:pt idx="341">
                  <c:v>3.0491885820486622</c:v>
                </c:pt>
                <c:pt idx="342">
                  <c:v>4.3261662372429974</c:v>
                </c:pt>
                <c:pt idx="343">
                  <c:v>9.424439701402294</c:v>
                </c:pt>
                <c:pt idx="344">
                  <c:v>6.9567602584466144</c:v>
                </c:pt>
                <c:pt idx="345">
                  <c:v>7.6809070873871477</c:v>
                </c:pt>
                <c:pt idx="346">
                  <c:v>2.8109798317720069</c:v>
                </c:pt>
                <c:pt idx="347">
                  <c:v>5.7878508796828463</c:v>
                </c:pt>
                <c:pt idx="348">
                  <c:v>7.2901670179284492</c:v>
                </c:pt>
                <c:pt idx="349">
                  <c:v>4.9668350829299728</c:v>
                </c:pt>
                <c:pt idx="350">
                  <c:v>7.7059636945940628</c:v>
                </c:pt>
                <c:pt idx="351">
                  <c:v>7.8402932228087998</c:v>
                </c:pt>
                <c:pt idx="352">
                  <c:v>11.753911437794526</c:v>
                </c:pt>
                <c:pt idx="353">
                  <c:v>14.772051277351988</c:v>
                </c:pt>
                <c:pt idx="354">
                  <c:v>9.2089249005810334</c:v>
                </c:pt>
                <c:pt idx="355">
                  <c:v>13.701394264689281</c:v>
                </c:pt>
                <c:pt idx="356">
                  <c:v>10.101838548844817</c:v>
                </c:pt>
                <c:pt idx="357">
                  <c:v>13.292359141457293</c:v>
                </c:pt>
                <c:pt idx="358">
                  <c:v>8.9068311282073438</c:v>
                </c:pt>
                <c:pt idx="359">
                  <c:v>7.5242877485429336</c:v>
                </c:pt>
                <c:pt idx="360">
                  <c:v>8.6446849243955466</c:v>
                </c:pt>
                <c:pt idx="361">
                  <c:v>10.457247558637686</c:v>
                </c:pt>
                <c:pt idx="362">
                  <c:v>12.771641808062975</c:v>
                </c:pt>
                <c:pt idx="363">
                  <c:v>13.537096288152625</c:v>
                </c:pt>
                <c:pt idx="364">
                  <c:v>19.482289293426039</c:v>
                </c:pt>
                <c:pt idx="365">
                  <c:v>10.814910419575096</c:v>
                </c:pt>
                <c:pt idx="366">
                  <c:v>11.385445635164304</c:v>
                </c:pt>
                <c:pt idx="367">
                  <c:v>15.387818953842018</c:v>
                </c:pt>
                <c:pt idx="368">
                  <c:v>6.6524514944308741</c:v>
                </c:pt>
                <c:pt idx="369">
                  <c:v>10.48382745834229</c:v>
                </c:pt>
                <c:pt idx="370">
                  <c:v>17.04805233831507</c:v>
                </c:pt>
                <c:pt idx="371">
                  <c:v>19.208485238866608</c:v>
                </c:pt>
                <c:pt idx="372">
                  <c:v>9.2223702884433063</c:v>
                </c:pt>
                <c:pt idx="373">
                  <c:v>11.422828476561719</c:v>
                </c:pt>
                <c:pt idx="374">
                  <c:v>10.547945637454278</c:v>
                </c:pt>
                <c:pt idx="375">
                  <c:v>9.8321536015495496</c:v>
                </c:pt>
                <c:pt idx="376">
                  <c:v>14.935649782843788</c:v>
                </c:pt>
                <c:pt idx="377">
                  <c:v>14.186049979770919</c:v>
                </c:pt>
                <c:pt idx="378">
                  <c:v>19.767984355748059</c:v>
                </c:pt>
                <c:pt idx="379">
                  <c:v>17.070046816725608</c:v>
                </c:pt>
                <c:pt idx="380">
                  <c:v>16.003742068342014</c:v>
                </c:pt>
                <c:pt idx="381">
                  <c:v>7.253561366580878</c:v>
                </c:pt>
                <c:pt idx="382">
                  <c:v>21.596246228997007</c:v>
                </c:pt>
                <c:pt idx="383">
                  <c:v>15.853122636682583</c:v>
                </c:pt>
                <c:pt idx="384">
                  <c:v>22.260044250567287</c:v>
                </c:pt>
                <c:pt idx="385">
                  <c:v>17.260924692966867</c:v>
                </c:pt>
                <c:pt idx="386">
                  <c:v>18.915018276046169</c:v>
                </c:pt>
                <c:pt idx="387">
                  <c:v>24.62612163830709</c:v>
                </c:pt>
                <c:pt idx="388">
                  <c:v>40.388002163138189</c:v>
                </c:pt>
                <c:pt idx="389">
                  <c:v>40.747297123180275</c:v>
                </c:pt>
                <c:pt idx="390">
                  <c:v>29.035120791062276</c:v>
                </c:pt>
                <c:pt idx="391">
                  <c:v>23.047104614042553</c:v>
                </c:pt>
                <c:pt idx="392">
                  <c:v>29.360141669906316</c:v>
                </c:pt>
                <c:pt idx="393">
                  <c:v>25.375721441379959</c:v>
                </c:pt>
                <c:pt idx="394">
                  <c:v>26.380239580801089</c:v>
                </c:pt>
                <c:pt idx="395">
                  <c:v>24.593557375218698</c:v>
                </c:pt>
                <c:pt idx="396">
                  <c:v>23.757145443578452</c:v>
                </c:pt>
                <c:pt idx="397">
                  <c:v>25.680224502908157</c:v>
                </c:pt>
                <c:pt idx="398">
                  <c:v>26.209024612820837</c:v>
                </c:pt>
                <c:pt idx="399">
                  <c:v>36.867331237352715</c:v>
                </c:pt>
                <c:pt idx="400">
                  <c:v>39.056597888753402</c:v>
                </c:pt>
                <c:pt idx="401">
                  <c:v>39.469674400244571</c:v>
                </c:pt>
                <c:pt idx="402">
                  <c:v>29.945676653457479</c:v>
                </c:pt>
                <c:pt idx="403">
                  <c:v>42.936330617566</c:v>
                </c:pt>
                <c:pt idx="404">
                  <c:v>32.668251117059924</c:v>
                </c:pt>
                <c:pt idx="405">
                  <c:v>39.555398462742168</c:v>
                </c:pt>
                <c:pt idx="406">
                  <c:v>33.350313104801501</c:v>
                </c:pt>
                <c:pt idx="407">
                  <c:v>33.599713391795888</c:v>
                </c:pt>
                <c:pt idx="408">
                  <c:v>33.692432164742065</c:v>
                </c:pt>
                <c:pt idx="409">
                  <c:v>34.643168752714111</c:v>
                </c:pt>
                <c:pt idx="410">
                  <c:v>43.325003361492122</c:v>
                </c:pt>
                <c:pt idx="411">
                  <c:v>43.022754151108458</c:v>
                </c:pt>
                <c:pt idx="412">
                  <c:v>42.120125627221654</c:v>
                </c:pt>
                <c:pt idx="413">
                  <c:v>47.080541120339923</c:v>
                </c:pt>
                <c:pt idx="414">
                  <c:v>37.981044578776682</c:v>
                </c:pt>
                <c:pt idx="415">
                  <c:v>50.07754139054169</c:v>
                </c:pt>
                <c:pt idx="416">
                  <c:v>65.712739937248486</c:v>
                </c:pt>
                <c:pt idx="417">
                  <c:v>40.016816195333526</c:v>
                </c:pt>
                <c:pt idx="418">
                  <c:v>58.06223652461118</c:v>
                </c:pt>
                <c:pt idx="419">
                  <c:v>76.928758141547192</c:v>
                </c:pt>
                <c:pt idx="420">
                  <c:v>64.518820582680803</c:v>
                </c:pt>
                <c:pt idx="421">
                  <c:v>60.077645761862144</c:v>
                </c:pt>
                <c:pt idx="422">
                  <c:v>57.970217222709849</c:v>
                </c:pt>
                <c:pt idx="423">
                  <c:v>61.248793447969462</c:v>
                </c:pt>
                <c:pt idx="424">
                  <c:v>57.511286498277997</c:v>
                </c:pt>
                <c:pt idx="425">
                  <c:v>53.040034422530447</c:v>
                </c:pt>
                <c:pt idx="426">
                  <c:v>60.973046418285421</c:v>
                </c:pt>
                <c:pt idx="427">
                  <c:v>50.278833613450836</c:v>
                </c:pt>
                <c:pt idx="428">
                  <c:v>55.402536736040965</c:v>
                </c:pt>
                <c:pt idx="429">
                  <c:v>67.982834353832772</c:v>
                </c:pt>
                <c:pt idx="430">
                  <c:v>73.186821208571615</c:v>
                </c:pt>
                <c:pt idx="431">
                  <c:v>67.715092381662117</c:v>
                </c:pt>
                <c:pt idx="432">
                  <c:v>69.376102956185008</c:v>
                </c:pt>
                <c:pt idx="433">
                  <c:v>75.805873957535084</c:v>
                </c:pt>
                <c:pt idx="434">
                  <c:v>79.274939464011013</c:v>
                </c:pt>
                <c:pt idx="435">
                  <c:v>70.150184245827901</c:v>
                </c:pt>
                <c:pt idx="436">
                  <c:v>84.58936502483246</c:v>
                </c:pt>
                <c:pt idx="437">
                  <c:v>63.731682500200549</c:v>
                </c:pt>
                <c:pt idx="438">
                  <c:v>91.200920778840626</c:v>
                </c:pt>
                <c:pt idx="439">
                  <c:v>71.056076967924056</c:v>
                </c:pt>
                <c:pt idx="440">
                  <c:v>89.320898048272184</c:v>
                </c:pt>
                <c:pt idx="441">
                  <c:v>100.2544076694532</c:v>
                </c:pt>
                <c:pt idx="442">
                  <c:v>112.54022797735978</c:v>
                </c:pt>
                <c:pt idx="443">
                  <c:v>95.225210856923894</c:v>
                </c:pt>
                <c:pt idx="444">
                  <c:v>96.58451625409802</c:v>
                </c:pt>
                <c:pt idx="445">
                  <c:v>100.03912602564691</c:v>
                </c:pt>
                <c:pt idx="446">
                  <c:v>94.826512361354816</c:v>
                </c:pt>
                <c:pt idx="447">
                  <c:v>113.07804349185064</c:v>
                </c:pt>
                <c:pt idx="448">
                  <c:v>92.574215596911927</c:v>
                </c:pt>
                <c:pt idx="449">
                  <c:v>121.12429207786762</c:v>
                </c:pt>
                <c:pt idx="450">
                  <c:v>127.11642736215153</c:v>
                </c:pt>
                <c:pt idx="451">
                  <c:v>120.03000848768973</c:v>
                </c:pt>
                <c:pt idx="452">
                  <c:v>119.87534766777109</c:v>
                </c:pt>
                <c:pt idx="453">
                  <c:v>98.886553181730818</c:v>
                </c:pt>
                <c:pt idx="454">
                  <c:v>156.7102700800454</c:v>
                </c:pt>
                <c:pt idx="455">
                  <c:v>122.60639350291684</c:v>
                </c:pt>
                <c:pt idx="456">
                  <c:v>135.54116750244171</c:v>
                </c:pt>
                <c:pt idx="457">
                  <c:v>127.54932221991366</c:v>
                </c:pt>
                <c:pt idx="458">
                  <c:v>134.25802673015212</c:v>
                </c:pt>
                <c:pt idx="459">
                  <c:v>150.1733245708221</c:v>
                </c:pt>
                <c:pt idx="460">
                  <c:v>135.8333909611824</c:v>
                </c:pt>
                <c:pt idx="461">
                  <c:v>122.47582557454334</c:v>
                </c:pt>
                <c:pt idx="462">
                  <c:v>144.37315522884924</c:v>
                </c:pt>
                <c:pt idx="463">
                  <c:v>195.42987836318719</c:v>
                </c:pt>
                <c:pt idx="464">
                  <c:v>166.74767957375829</c:v>
                </c:pt>
                <c:pt idx="465">
                  <c:v>138.5621052261786</c:v>
                </c:pt>
                <c:pt idx="466">
                  <c:v>172.1499276102119</c:v>
                </c:pt>
                <c:pt idx="467">
                  <c:v>188.27195800413992</c:v>
                </c:pt>
                <c:pt idx="468">
                  <c:v>172.45380891970021</c:v>
                </c:pt>
                <c:pt idx="469">
                  <c:v>171.97195108879802</c:v>
                </c:pt>
                <c:pt idx="470">
                  <c:v>187.05021524578788</c:v>
                </c:pt>
                <c:pt idx="471">
                  <c:v>211.39491636704707</c:v>
                </c:pt>
                <c:pt idx="472">
                  <c:v>192.24806229913295</c:v>
                </c:pt>
                <c:pt idx="473">
                  <c:v>222.77686464698706</c:v>
                </c:pt>
                <c:pt idx="474">
                  <c:v>200.32151253689443</c:v>
                </c:pt>
                <c:pt idx="475">
                  <c:v>216.71633663831707</c:v>
                </c:pt>
                <c:pt idx="476">
                  <c:v>248.95884304607341</c:v>
                </c:pt>
                <c:pt idx="477">
                  <c:v>225.78769890007604</c:v>
                </c:pt>
                <c:pt idx="478">
                  <c:v>213.96896981212464</c:v>
                </c:pt>
                <c:pt idx="479">
                  <c:v>238.26082200999457</c:v>
                </c:pt>
                <c:pt idx="480">
                  <c:v>265.51299110771367</c:v>
                </c:pt>
                <c:pt idx="481">
                  <c:v>261.67056350129354</c:v>
                </c:pt>
                <c:pt idx="482">
                  <c:v>250.29794150195161</c:v>
                </c:pt>
                <c:pt idx="483">
                  <c:v>231.98034921721921</c:v>
                </c:pt>
                <c:pt idx="484">
                  <c:v>281.36844531454585</c:v>
                </c:pt>
                <c:pt idx="485">
                  <c:v>257.24524335749169</c:v>
                </c:pt>
                <c:pt idx="486">
                  <c:v>254.9160047781144</c:v>
                </c:pt>
                <c:pt idx="487">
                  <c:v>300.36607889289024</c:v>
                </c:pt>
                <c:pt idx="488">
                  <c:v>258.47320363624249</c:v>
                </c:pt>
                <c:pt idx="489">
                  <c:v>291.74004652969086</c:v>
                </c:pt>
                <c:pt idx="490">
                  <c:v>299.96582601722145</c:v>
                </c:pt>
                <c:pt idx="491">
                  <c:v>310.00867584128326</c:v>
                </c:pt>
                <c:pt idx="492">
                  <c:v>344.67523801449761</c:v>
                </c:pt>
                <c:pt idx="493">
                  <c:v>289.52350050754075</c:v>
                </c:pt>
                <c:pt idx="494">
                  <c:v>276.40142370600392</c:v>
                </c:pt>
                <c:pt idx="495">
                  <c:v>320.47043110221</c:v>
                </c:pt>
                <c:pt idx="496">
                  <c:v>297.44228992538359</c:v>
                </c:pt>
                <c:pt idx="497">
                  <c:v>330.81172190541122</c:v>
                </c:pt>
                <c:pt idx="498">
                  <c:v>370.59219460658773</c:v>
                </c:pt>
                <c:pt idx="499">
                  <c:v>324.9058547166598</c:v>
                </c:pt>
                <c:pt idx="500">
                  <c:v>354.9986534465524</c:v>
                </c:pt>
                <c:pt idx="501">
                  <c:v>380.27520543757254</c:v>
                </c:pt>
                <c:pt idx="502">
                  <c:v>391.48150876624823</c:v>
                </c:pt>
                <c:pt idx="503">
                  <c:v>378.69517806624322</c:v>
                </c:pt>
                <c:pt idx="504">
                  <c:v>394.0749919625718</c:v>
                </c:pt>
                <c:pt idx="505">
                  <c:v>417.66581873548409</c:v>
                </c:pt>
                <c:pt idx="506">
                  <c:v>413.9104364146462</c:v>
                </c:pt>
                <c:pt idx="507">
                  <c:v>408.56570044188095</c:v>
                </c:pt>
                <c:pt idx="508">
                  <c:v>431.56430839681332</c:v>
                </c:pt>
                <c:pt idx="509">
                  <c:v>406.96158017900649</c:v>
                </c:pt>
                <c:pt idx="510">
                  <c:v>465.75756182967376</c:v>
                </c:pt>
                <c:pt idx="511">
                  <c:v>440.95898171930662</c:v>
                </c:pt>
                <c:pt idx="512">
                  <c:v>445.47834185913945</c:v>
                </c:pt>
                <c:pt idx="513">
                  <c:v>482.42906558884022</c:v>
                </c:pt>
                <c:pt idx="514">
                  <c:v>533.16480923259337</c:v>
                </c:pt>
                <c:pt idx="515">
                  <c:v>476.40972865281191</c:v>
                </c:pt>
                <c:pt idx="516">
                  <c:v>526.40714174921482</c:v>
                </c:pt>
                <c:pt idx="517">
                  <c:v>483.77515875516701</c:v>
                </c:pt>
                <c:pt idx="518">
                  <c:v>513.61381633876124</c:v>
                </c:pt>
                <c:pt idx="519">
                  <c:v>520.0543902818041</c:v>
                </c:pt>
                <c:pt idx="520">
                  <c:v>547.97105687213843</c:v>
                </c:pt>
                <c:pt idx="521">
                  <c:v>574.37298005533012</c:v>
                </c:pt>
                <c:pt idx="522">
                  <c:v>519.0051837145171</c:v>
                </c:pt>
                <c:pt idx="523">
                  <c:v>569.08731052635289</c:v>
                </c:pt>
                <c:pt idx="524">
                  <c:v>569.58859810850106</c:v>
                </c:pt>
                <c:pt idx="525">
                  <c:v>595.14571570751423</c:v>
                </c:pt>
                <c:pt idx="526">
                  <c:v>617.31039873896589</c:v>
                </c:pt>
                <c:pt idx="527">
                  <c:v>603.05984198505803</c:v>
                </c:pt>
                <c:pt idx="528">
                  <c:v>594.13148269247006</c:v>
                </c:pt>
                <c:pt idx="529">
                  <c:v>631.86405961231219</c:v>
                </c:pt>
                <c:pt idx="530">
                  <c:v>665.38504365205904</c:v>
                </c:pt>
                <c:pt idx="531">
                  <c:v>645.51773440794113</c:v>
                </c:pt>
                <c:pt idx="532">
                  <c:v>689.09244893244761</c:v>
                </c:pt>
                <c:pt idx="533">
                  <c:v>694.00273566735098</c:v>
                </c:pt>
                <c:pt idx="534">
                  <c:v>692.78643323934784</c:v>
                </c:pt>
                <c:pt idx="535">
                  <c:v>746.26177180879495</c:v>
                </c:pt>
                <c:pt idx="536">
                  <c:v>762.83224086148198</c:v>
                </c:pt>
                <c:pt idx="537">
                  <c:v>726.0703743138929</c:v>
                </c:pt>
                <c:pt idx="538">
                  <c:v>769.25960257367751</c:v>
                </c:pt>
                <c:pt idx="539">
                  <c:v>749.09152078027068</c:v>
                </c:pt>
                <c:pt idx="540">
                  <c:v>768.73655367013373</c:v>
                </c:pt>
                <c:pt idx="541">
                  <c:v>763.80683718398416</c:v>
                </c:pt>
                <c:pt idx="542">
                  <c:v>783.82725286792095</c:v>
                </c:pt>
                <c:pt idx="543">
                  <c:v>782.39722317621124</c:v>
                </c:pt>
                <c:pt idx="544">
                  <c:v>812.28795249314476</c:v>
                </c:pt>
                <c:pt idx="545">
                  <c:v>792.81934174459604</c:v>
                </c:pt>
                <c:pt idx="546">
                  <c:v>837.96631173993342</c:v>
                </c:pt>
                <c:pt idx="547">
                  <c:v>900.61560165771868</c:v>
                </c:pt>
                <c:pt idx="548">
                  <c:v>883.2687197452392</c:v>
                </c:pt>
                <c:pt idx="549">
                  <c:v>857.96341172237499</c:v>
                </c:pt>
                <c:pt idx="550">
                  <c:v>931.50113423845039</c:v>
                </c:pt>
                <c:pt idx="551">
                  <c:v>925.89759397908756</c:v>
                </c:pt>
                <c:pt idx="552">
                  <c:v>954.46710021128945</c:v>
                </c:pt>
                <c:pt idx="553">
                  <c:v>918.98837443598984</c:v>
                </c:pt>
                <c:pt idx="554">
                  <c:v>935.4492596916491</c:v>
                </c:pt>
                <c:pt idx="555">
                  <c:v>941.91548090633682</c:v>
                </c:pt>
                <c:pt idx="556">
                  <c:v>958.49294466947242</c:v>
                </c:pt>
                <c:pt idx="557">
                  <c:v>998.06746200744067</c:v>
                </c:pt>
                <c:pt idx="558">
                  <c:v>1031.7741944690997</c:v>
                </c:pt>
                <c:pt idx="559">
                  <c:v>993.14007709144073</c:v>
                </c:pt>
                <c:pt idx="560">
                  <c:v>1104.8300591542729</c:v>
                </c:pt>
                <c:pt idx="561">
                  <c:v>1047.9475194063175</c:v>
                </c:pt>
                <c:pt idx="562">
                  <c:v>1087.7241061572447</c:v>
                </c:pt>
                <c:pt idx="563">
                  <c:v>1052.4241340934088</c:v>
                </c:pt>
                <c:pt idx="564">
                  <c:v>1098.1073652231373</c:v>
                </c:pt>
                <c:pt idx="565">
                  <c:v>1110.7755630355662</c:v>
                </c:pt>
                <c:pt idx="566">
                  <c:v>1115.570825643093</c:v>
                </c:pt>
                <c:pt idx="567">
                  <c:v>1161.2151972703296</c:v>
                </c:pt>
                <c:pt idx="568">
                  <c:v>1183.9402343277175</c:v>
                </c:pt>
                <c:pt idx="569">
                  <c:v>1131.7441505803106</c:v>
                </c:pt>
                <c:pt idx="570">
                  <c:v>1170.5647935699321</c:v>
                </c:pt>
                <c:pt idx="571">
                  <c:v>1156.1556900458563</c:v>
                </c:pt>
                <c:pt idx="572">
                  <c:v>1222.7375616158433</c:v>
                </c:pt>
                <c:pt idx="573">
                  <c:v>1193.2043397218372</c:v>
                </c:pt>
                <c:pt idx="574">
                  <c:v>1285.3013606281461</c:v>
                </c:pt>
                <c:pt idx="575">
                  <c:v>1192.8856918014019</c:v>
                </c:pt>
                <c:pt idx="576">
                  <c:v>1212.5796876644051</c:v>
                </c:pt>
                <c:pt idx="577">
                  <c:v>1278.2367030750797</c:v>
                </c:pt>
                <c:pt idx="578">
                  <c:v>1290.6562000715592</c:v>
                </c:pt>
                <c:pt idx="579">
                  <c:v>1317.4692567911175</c:v>
                </c:pt>
                <c:pt idx="580">
                  <c:v>1309.3709364717611</c:v>
                </c:pt>
                <c:pt idx="581">
                  <c:v>1313.8320073578559</c:v>
                </c:pt>
                <c:pt idx="582">
                  <c:v>1301.0627748389472</c:v>
                </c:pt>
                <c:pt idx="583">
                  <c:v>1356.2199526762529</c:v>
                </c:pt>
                <c:pt idx="584">
                  <c:v>1280.7781145380641</c:v>
                </c:pt>
                <c:pt idx="585">
                  <c:v>1336.1062741863352</c:v>
                </c:pt>
                <c:pt idx="586">
                  <c:v>1339.0518244752373</c:v>
                </c:pt>
                <c:pt idx="587">
                  <c:v>1411.7734974389782</c:v>
                </c:pt>
                <c:pt idx="588">
                  <c:v>1385.7609464707577</c:v>
                </c:pt>
                <c:pt idx="589">
                  <c:v>1393.7504601831361</c:v>
                </c:pt>
                <c:pt idx="590">
                  <c:v>1359.6162731940638</c:v>
                </c:pt>
                <c:pt idx="591">
                  <c:v>1448.1149041696028</c:v>
                </c:pt>
                <c:pt idx="592">
                  <c:v>1389.3904240035208</c:v>
                </c:pt>
                <c:pt idx="593">
                  <c:v>1475.86836084947</c:v>
                </c:pt>
                <c:pt idx="594">
                  <c:v>1385.4656142518174</c:v>
                </c:pt>
                <c:pt idx="595">
                  <c:v>1483.3682448304482</c:v>
                </c:pt>
                <c:pt idx="596">
                  <c:v>1437.4907161882588</c:v>
                </c:pt>
                <c:pt idx="597">
                  <c:v>1522.0645374120945</c:v>
                </c:pt>
                <c:pt idx="598">
                  <c:v>1515.8314732123597</c:v>
                </c:pt>
                <c:pt idx="599">
                  <c:v>1403.7839837265999</c:v>
                </c:pt>
                <c:pt idx="600">
                  <c:v>1525.3675951239243</c:v>
                </c:pt>
                <c:pt idx="601">
                  <c:v>1495.080498881571</c:v>
                </c:pt>
                <c:pt idx="602">
                  <c:v>1512.0465576696279</c:v>
                </c:pt>
                <c:pt idx="603">
                  <c:v>1509.2486734901956</c:v>
                </c:pt>
                <c:pt idx="604">
                  <c:v>1451.4101899809341</c:v>
                </c:pt>
                <c:pt idx="605">
                  <c:v>1530.8001535723217</c:v>
                </c:pt>
                <c:pt idx="606">
                  <c:v>1547.8827908678547</c:v>
                </c:pt>
                <c:pt idx="607">
                  <c:v>1531.7560973336276</c:v>
                </c:pt>
                <c:pt idx="608">
                  <c:v>1535.6342756823406</c:v>
                </c:pt>
                <c:pt idx="609">
                  <c:v>1459.8971053252117</c:v>
                </c:pt>
                <c:pt idx="610">
                  <c:v>1576.7165417170029</c:v>
                </c:pt>
                <c:pt idx="611">
                  <c:v>1578.2786937171859</c:v>
                </c:pt>
                <c:pt idx="612">
                  <c:v>1521.2018564567697</c:v>
                </c:pt>
                <c:pt idx="613">
                  <c:v>1503.3264853103974</c:v>
                </c:pt>
                <c:pt idx="614">
                  <c:v>1477.7336169690916</c:v>
                </c:pt>
                <c:pt idx="615">
                  <c:v>1505.1140224250346</c:v>
                </c:pt>
                <c:pt idx="616">
                  <c:v>1566.6363867705486</c:v>
                </c:pt>
                <c:pt idx="617">
                  <c:v>1588.6464089820815</c:v>
                </c:pt>
                <c:pt idx="618">
                  <c:v>1540.7248705088075</c:v>
                </c:pt>
                <c:pt idx="619">
                  <c:v>1552.0407576345108</c:v>
                </c:pt>
                <c:pt idx="620">
                  <c:v>1623.3246290060438</c:v>
                </c:pt>
                <c:pt idx="621">
                  <c:v>1631.1897923104473</c:v>
                </c:pt>
                <c:pt idx="622">
                  <c:v>1580.633579568208</c:v>
                </c:pt>
                <c:pt idx="623">
                  <c:v>1631.0498981014757</c:v>
                </c:pt>
                <c:pt idx="624">
                  <c:v>1572.6751534578229</c:v>
                </c:pt>
                <c:pt idx="625">
                  <c:v>1590.5116651017031</c:v>
                </c:pt>
                <c:pt idx="626">
                  <c:v>1575.3953186322708</c:v>
                </c:pt>
                <c:pt idx="627">
                  <c:v>1623.7520835334572</c:v>
                </c:pt>
                <c:pt idx="628">
                  <c:v>1589.8510535593371</c:v>
                </c:pt>
                <c:pt idx="629">
                  <c:v>1635.8762483109963</c:v>
                </c:pt>
                <c:pt idx="630">
                  <c:v>1583.9910405835265</c:v>
                </c:pt>
                <c:pt idx="631">
                  <c:v>1617.2858623187692</c:v>
                </c:pt>
                <c:pt idx="632">
                  <c:v>1553.5640501322016</c:v>
                </c:pt>
                <c:pt idx="633">
                  <c:v>1543.880262111167</c:v>
                </c:pt>
                <c:pt idx="634">
                  <c:v>1562.8048398248263</c:v>
                </c:pt>
                <c:pt idx="635">
                  <c:v>1545.4113265093563</c:v>
                </c:pt>
                <c:pt idx="636">
                  <c:v>1619.7417828762709</c:v>
                </c:pt>
                <c:pt idx="637">
                  <c:v>1635.4798813855768</c:v>
                </c:pt>
                <c:pt idx="638">
                  <c:v>1600.0711027147631</c:v>
                </c:pt>
                <c:pt idx="639">
                  <c:v>1565.5094611982774</c:v>
                </c:pt>
                <c:pt idx="640">
                  <c:v>1595.1359458982647</c:v>
                </c:pt>
                <c:pt idx="641">
                  <c:v>1688.9971882177153</c:v>
                </c:pt>
                <c:pt idx="642">
                  <c:v>1624.7624305982517</c:v>
                </c:pt>
                <c:pt idx="643">
                  <c:v>1603.8171587550028</c:v>
                </c:pt>
                <c:pt idx="644">
                  <c:v>1528.0100412933878</c:v>
                </c:pt>
                <c:pt idx="645">
                  <c:v>1599.3638597694066</c:v>
                </c:pt>
                <c:pt idx="646">
                  <c:v>1524.2717571536466</c:v>
                </c:pt>
                <c:pt idx="647">
                  <c:v>1586.1982603250785</c:v>
                </c:pt>
                <c:pt idx="648">
                  <c:v>1583.2216224341826</c:v>
                </c:pt>
                <c:pt idx="649">
                  <c:v>1602.5736546752553</c:v>
                </c:pt>
                <c:pt idx="650">
                  <c:v>1564.5302017354761</c:v>
                </c:pt>
                <c:pt idx="651">
                  <c:v>1670.0803824045547</c:v>
                </c:pt>
                <c:pt idx="652">
                  <c:v>1562.6338580138611</c:v>
                </c:pt>
                <c:pt idx="653">
                  <c:v>1528.0877602983721</c:v>
                </c:pt>
                <c:pt idx="654">
                  <c:v>1522.0489936110978</c:v>
                </c:pt>
                <c:pt idx="655">
                  <c:v>1641.8062083912928</c:v>
                </c:pt>
                <c:pt idx="656">
                  <c:v>1612.4439683082519</c:v>
                </c:pt>
                <c:pt idx="657">
                  <c:v>1550.9837791667253</c:v>
                </c:pt>
                <c:pt idx="658">
                  <c:v>1534.095439383653</c:v>
                </c:pt>
                <c:pt idx="659">
                  <c:v>1524.7691587855456</c:v>
                </c:pt>
                <c:pt idx="660">
                  <c:v>1523.7354960192554</c:v>
                </c:pt>
                <c:pt idx="661">
                  <c:v>1531.5851155226624</c:v>
                </c:pt>
                <c:pt idx="662">
                  <c:v>1527.458236358</c:v>
                </c:pt>
                <c:pt idx="663">
                  <c:v>1558.2427342322524</c:v>
                </c:pt>
                <c:pt idx="664">
                  <c:v>1529.9297007164985</c:v>
                </c:pt>
                <c:pt idx="665">
                  <c:v>1514.9143889535458</c:v>
                </c:pt>
                <c:pt idx="666">
                  <c:v>1455.3505435336342</c:v>
                </c:pt>
                <c:pt idx="667">
                  <c:v>1481.1066217854072</c:v>
                </c:pt>
                <c:pt idx="668">
                  <c:v>1484.767186920164</c:v>
                </c:pt>
                <c:pt idx="669">
                  <c:v>1432.9052948941896</c:v>
                </c:pt>
                <c:pt idx="670">
                  <c:v>1463.340057246013</c:v>
                </c:pt>
                <c:pt idx="671">
                  <c:v>1404.0560002440445</c:v>
                </c:pt>
                <c:pt idx="672">
                  <c:v>1533.1938989258358</c:v>
                </c:pt>
                <c:pt idx="673">
                  <c:v>1411.6802346329973</c:v>
                </c:pt>
                <c:pt idx="674">
                  <c:v>1413.3900527426501</c:v>
                </c:pt>
                <c:pt idx="675">
                  <c:v>1369.2534298121077</c:v>
                </c:pt>
                <c:pt idx="676">
                  <c:v>1401.436869776076</c:v>
                </c:pt>
                <c:pt idx="677">
                  <c:v>1417.8433517282465</c:v>
                </c:pt>
                <c:pt idx="678">
                  <c:v>1396.2607840441265</c:v>
                </c:pt>
                <c:pt idx="679">
                  <c:v>1401.4057821740826</c:v>
                </c:pt>
                <c:pt idx="680">
                  <c:v>1384.9526688189217</c:v>
                </c:pt>
                <c:pt idx="681">
                  <c:v>1368.3907488567829</c:v>
                </c:pt>
                <c:pt idx="682">
                  <c:v>1364.310501095111</c:v>
                </c:pt>
                <c:pt idx="683">
                  <c:v>1318.0443774280006</c:v>
                </c:pt>
                <c:pt idx="684">
                  <c:v>1345.6890275008905</c:v>
                </c:pt>
                <c:pt idx="685">
                  <c:v>1313.5211313379189</c:v>
                </c:pt>
                <c:pt idx="686">
                  <c:v>1367.7612249164108</c:v>
                </c:pt>
                <c:pt idx="687">
                  <c:v>1392.4603247003979</c:v>
                </c:pt>
                <c:pt idx="688">
                  <c:v>1325.4976300059882</c:v>
                </c:pt>
                <c:pt idx="689">
                  <c:v>1379.0848839426124</c:v>
                </c:pt>
                <c:pt idx="690">
                  <c:v>1344.1657350031994</c:v>
                </c:pt>
                <c:pt idx="691">
                  <c:v>1327.3628861256095</c:v>
                </c:pt>
                <c:pt idx="692">
                  <c:v>1388.3878488392245</c:v>
                </c:pt>
                <c:pt idx="693">
                  <c:v>1339.5259104056408</c:v>
                </c:pt>
                <c:pt idx="694">
                  <c:v>1337.0622179476411</c:v>
                </c:pt>
                <c:pt idx="695">
                  <c:v>1281.5475326874077</c:v>
                </c:pt>
                <c:pt idx="696">
                  <c:v>1307.9642224815466</c:v>
                </c:pt>
                <c:pt idx="697">
                  <c:v>1362.0177904480763</c:v>
                </c:pt>
                <c:pt idx="698">
                  <c:v>1402.812496164297</c:v>
                </c:pt>
                <c:pt idx="699">
                  <c:v>1296.3763188383982</c:v>
                </c:pt>
                <c:pt idx="700">
                  <c:v>1343.3030540478744</c:v>
                </c:pt>
                <c:pt idx="701">
                  <c:v>1332.0648859271555</c:v>
                </c:pt>
                <c:pt idx="702">
                  <c:v>1302.9668904610608</c:v>
                </c:pt>
                <c:pt idx="703">
                  <c:v>1255.737051132146</c:v>
                </c:pt>
                <c:pt idx="704">
                  <c:v>1302.6871020431176</c:v>
                </c:pt>
                <c:pt idx="705">
                  <c:v>1287.9748943996033</c:v>
                </c:pt>
                <c:pt idx="706">
                  <c:v>1286.3583390959316</c:v>
                </c:pt>
                <c:pt idx="707">
                  <c:v>1251.5479967634963</c:v>
                </c:pt>
                <c:pt idx="708">
                  <c:v>1304.2881135457926</c:v>
                </c:pt>
                <c:pt idx="709">
                  <c:v>1219.3878725010234</c:v>
                </c:pt>
                <c:pt idx="710">
                  <c:v>1285.7365870560575</c:v>
                </c:pt>
                <c:pt idx="711">
                  <c:v>1271.8248851638812</c:v>
                </c:pt>
                <c:pt idx="712">
                  <c:v>1207.8543721613639</c:v>
                </c:pt>
                <c:pt idx="713">
                  <c:v>1272.2212520893006</c:v>
                </c:pt>
                <c:pt idx="714">
                  <c:v>1257.6800262567519</c:v>
                </c:pt>
                <c:pt idx="715">
                  <c:v>1250.1179670717866</c:v>
                </c:pt>
                <c:pt idx="716">
                  <c:v>1295.5214097835719</c:v>
                </c:pt>
                <c:pt idx="717">
                  <c:v>1333.5260032208589</c:v>
                </c:pt>
                <c:pt idx="718">
                  <c:v>1218.7661204611495</c:v>
                </c:pt>
                <c:pt idx="719">
                  <c:v>1237.053402333938</c:v>
                </c:pt>
                <c:pt idx="720">
                  <c:v>1208.1574762808025</c:v>
                </c:pt>
                <c:pt idx="721">
                  <c:v>1220.025168341894</c:v>
                </c:pt>
                <c:pt idx="722">
                  <c:v>1143.2077038154841</c:v>
                </c:pt>
                <c:pt idx="723">
                  <c:v>1278.4465443885372</c:v>
                </c:pt>
                <c:pt idx="724">
                  <c:v>1152.8448604335283</c:v>
                </c:pt>
                <c:pt idx="725">
                  <c:v>1242.4004698768529</c:v>
                </c:pt>
                <c:pt idx="726">
                  <c:v>1191.8753447366068</c:v>
                </c:pt>
                <c:pt idx="727">
                  <c:v>1217.064074251995</c:v>
                </c:pt>
                <c:pt idx="728">
                  <c:v>1217.8257205008404</c:v>
                </c:pt>
                <c:pt idx="729">
                  <c:v>1196.4063627271873</c:v>
                </c:pt>
                <c:pt idx="730">
                  <c:v>1292.9411388180954</c:v>
                </c:pt>
                <c:pt idx="731">
                  <c:v>1256.80180150043</c:v>
                </c:pt>
                <c:pt idx="732">
                  <c:v>1221.0588311081842</c:v>
                </c:pt>
                <c:pt idx="733">
                  <c:v>1262.3975698592942</c:v>
                </c:pt>
                <c:pt idx="734">
                  <c:v>1218.7661204611495</c:v>
                </c:pt>
                <c:pt idx="735">
                  <c:v>1225.2945168798246</c:v>
                </c:pt>
                <c:pt idx="736">
                  <c:v>1223.3670855562157</c:v>
                </c:pt>
                <c:pt idx="737">
                  <c:v>1237.1777527419129</c:v>
                </c:pt>
                <c:pt idx="738">
                  <c:v>1237.7295576773008</c:v>
                </c:pt>
                <c:pt idx="739">
                  <c:v>1236.8357891199821</c:v>
                </c:pt>
                <c:pt idx="740">
                  <c:v>1199.3907725185816</c:v>
                </c:pt>
                <c:pt idx="741">
                  <c:v>1281.1045343589976</c:v>
                </c:pt>
                <c:pt idx="742">
                  <c:v>1180.3029848944557</c:v>
                </c:pt>
                <c:pt idx="743">
                  <c:v>1172.4455934905502</c:v>
                </c:pt>
                <c:pt idx="744">
                  <c:v>1245.105091250304</c:v>
                </c:pt>
                <c:pt idx="745">
                  <c:v>1216.1703056946762</c:v>
                </c:pt>
                <c:pt idx="746">
                  <c:v>1225.5587614967708</c:v>
                </c:pt>
                <c:pt idx="747">
                  <c:v>1213.9009107491368</c:v>
                </c:pt>
                <c:pt idx="748">
                  <c:v>1207.3103391264744</c:v>
                </c:pt>
                <c:pt idx="749">
                  <c:v>1227.8981035467962</c:v>
                </c:pt>
                <c:pt idx="750">
                  <c:v>1201.4891856531558</c:v>
                </c:pt>
                <c:pt idx="751">
                  <c:v>1199.5073510260581</c:v>
                </c:pt>
                <c:pt idx="752">
                  <c:v>1217.545932082897</c:v>
                </c:pt>
                <c:pt idx="753">
                  <c:v>1247.5765556088022</c:v>
                </c:pt>
                <c:pt idx="754">
                  <c:v>1209.0201572361275</c:v>
                </c:pt>
                <c:pt idx="755">
                  <c:v>1211.3672711866509</c:v>
                </c:pt>
                <c:pt idx="756">
                  <c:v>1222.1935285809539</c:v>
                </c:pt>
                <c:pt idx="757">
                  <c:v>1215.1677305303799</c:v>
                </c:pt>
                <c:pt idx="758">
                  <c:v>1271.7937975618875</c:v>
                </c:pt>
                <c:pt idx="759">
                  <c:v>1171.8549290526701</c:v>
                </c:pt>
                <c:pt idx="760">
                  <c:v>1214.4993470875154</c:v>
                </c:pt>
                <c:pt idx="761">
                  <c:v>1188.5645151242791</c:v>
                </c:pt>
                <c:pt idx="762">
                  <c:v>1235.693319746714</c:v>
                </c:pt>
                <c:pt idx="763">
                  <c:v>1226.79449367602</c:v>
                </c:pt>
                <c:pt idx="764">
                  <c:v>1173.0673455304241</c:v>
                </c:pt>
                <c:pt idx="765">
                  <c:v>1141.1792377853958</c:v>
                </c:pt>
                <c:pt idx="766">
                  <c:v>1223.0639814367771</c:v>
                </c:pt>
                <c:pt idx="767">
                  <c:v>1223.9655218945943</c:v>
                </c:pt>
                <c:pt idx="768">
                  <c:v>1141.3890790988532</c:v>
                </c:pt>
                <c:pt idx="769">
                  <c:v>1130.4462431970742</c:v>
                </c:pt>
                <c:pt idx="770">
                  <c:v>1201.2638005387016</c:v>
                </c:pt>
                <c:pt idx="771">
                  <c:v>1178.1812560583862</c:v>
                </c:pt>
                <c:pt idx="772">
                  <c:v>1151.7257067617554</c:v>
                </c:pt>
                <c:pt idx="773">
                  <c:v>1162.7540335690173</c:v>
                </c:pt>
                <c:pt idx="774">
                  <c:v>1135.4902066205505</c:v>
                </c:pt>
                <c:pt idx="775">
                  <c:v>1165.6218648529352</c:v>
                </c:pt>
                <c:pt idx="776">
                  <c:v>1188.7976721392315</c:v>
                </c:pt>
                <c:pt idx="777">
                  <c:v>1204.2015789271054</c:v>
                </c:pt>
                <c:pt idx="778">
                  <c:v>1202.3130071059886</c:v>
                </c:pt>
                <c:pt idx="779">
                  <c:v>1102.4207699997619</c:v>
                </c:pt>
                <c:pt idx="780">
                  <c:v>1186.504961492197</c:v>
                </c:pt>
                <c:pt idx="781">
                  <c:v>1196.1343462097425</c:v>
                </c:pt>
                <c:pt idx="782">
                  <c:v>1206.1134664497174</c:v>
                </c:pt>
                <c:pt idx="783">
                  <c:v>1142.819108790563</c:v>
                </c:pt>
                <c:pt idx="784">
                  <c:v>1209.346577057061</c:v>
                </c:pt>
                <c:pt idx="785">
                  <c:v>1162.326579041604</c:v>
                </c:pt>
                <c:pt idx="786">
                  <c:v>1143.6351583428975</c:v>
                </c:pt>
                <c:pt idx="787">
                  <c:v>1127.7571656246198</c:v>
                </c:pt>
                <c:pt idx="788">
                  <c:v>1170.5414778684367</c:v>
                </c:pt>
                <c:pt idx="789">
                  <c:v>1161.790317907213</c:v>
                </c:pt>
                <c:pt idx="790">
                  <c:v>1190.7795067663294</c:v>
                </c:pt>
                <c:pt idx="791">
                  <c:v>1151.166129925869</c:v>
                </c:pt>
                <c:pt idx="792">
                  <c:v>1193.0566736123671</c:v>
                </c:pt>
                <c:pt idx="793">
                  <c:v>1147.7853532090551</c:v>
                </c:pt>
                <c:pt idx="794">
                  <c:v>1220.172834451364</c:v>
                </c:pt>
                <c:pt idx="795">
                  <c:v>1183.7847963177489</c:v>
                </c:pt>
                <c:pt idx="796">
                  <c:v>1162.2333162356229</c:v>
                </c:pt>
                <c:pt idx="797">
                  <c:v>1171.5673687342287</c:v>
                </c:pt>
                <c:pt idx="798">
                  <c:v>1153.2878587619384</c:v>
                </c:pt>
                <c:pt idx="799">
                  <c:v>1207.6678465494019</c:v>
                </c:pt>
                <c:pt idx="800">
                  <c:v>1174.0776925952191</c:v>
                </c:pt>
                <c:pt idx="801">
                  <c:v>1162.9638748824746</c:v>
                </c:pt>
                <c:pt idx="802">
                  <c:v>1173.3160463463737</c:v>
                </c:pt>
                <c:pt idx="803">
                  <c:v>1153.42775297091</c:v>
                </c:pt>
                <c:pt idx="804">
                  <c:v>1143.8760872583484</c:v>
                </c:pt>
                <c:pt idx="805">
                  <c:v>1162.9016996784871</c:v>
                </c:pt>
                <c:pt idx="806">
                  <c:v>1121.5707328278754</c:v>
                </c:pt>
                <c:pt idx="807">
                  <c:v>1220.2039220533577</c:v>
                </c:pt>
                <c:pt idx="808">
                  <c:v>1159.015749429276</c:v>
                </c:pt>
                <c:pt idx="809">
                  <c:v>1240.9004930806573</c:v>
                </c:pt>
                <c:pt idx="810">
                  <c:v>1198.8311956826954</c:v>
                </c:pt>
                <c:pt idx="811">
                  <c:v>1202.3596385089791</c:v>
                </c:pt>
                <c:pt idx="812">
                  <c:v>1157.8577362550109</c:v>
                </c:pt>
                <c:pt idx="813">
                  <c:v>1153.5598752793833</c:v>
                </c:pt>
                <c:pt idx="814">
                  <c:v>1145.7024838754778</c:v>
                </c:pt>
                <c:pt idx="815">
                  <c:v>1185.6578243378688</c:v>
                </c:pt>
                <c:pt idx="816">
                  <c:v>1166.7643342262033</c:v>
                </c:pt>
                <c:pt idx="817">
                  <c:v>1199.763823742506</c:v>
                </c:pt>
                <c:pt idx="818">
                  <c:v>1142.9045996960458</c:v>
                </c:pt>
                <c:pt idx="819">
                  <c:v>1155.1997462845504</c:v>
                </c:pt>
                <c:pt idx="820">
                  <c:v>1200.7353113048089</c:v>
                </c:pt>
                <c:pt idx="821">
                  <c:v>1165.8627937683862</c:v>
                </c:pt>
                <c:pt idx="822">
                  <c:v>1210.776606748771</c:v>
                </c:pt>
                <c:pt idx="823">
                  <c:v>1179.6268295510929</c:v>
                </c:pt>
                <c:pt idx="824">
                  <c:v>1185.8987532533199</c:v>
                </c:pt>
                <c:pt idx="825">
                  <c:v>1168.5363275398436</c:v>
                </c:pt>
                <c:pt idx="826">
                  <c:v>1207.2015325194966</c:v>
                </c:pt>
                <c:pt idx="827">
                  <c:v>1213.8309636446511</c:v>
                </c:pt>
                <c:pt idx="828">
                  <c:v>1209.0434729376227</c:v>
                </c:pt>
                <c:pt idx="829">
                  <c:v>1120.8557179820207</c:v>
                </c:pt>
                <c:pt idx="830">
                  <c:v>1131.8840447892824</c:v>
                </c:pt>
                <c:pt idx="831">
                  <c:v>1194.0048454731748</c:v>
                </c:pt>
                <c:pt idx="832">
                  <c:v>1203.3544417727774</c:v>
                </c:pt>
                <c:pt idx="833">
                  <c:v>1180.419563401932</c:v>
                </c:pt>
                <c:pt idx="834">
                  <c:v>1193.6395661497488</c:v>
                </c:pt>
                <c:pt idx="835">
                  <c:v>1169.7487440175976</c:v>
                </c:pt>
                <c:pt idx="836">
                  <c:v>1183.3651136908343</c:v>
                </c:pt>
                <c:pt idx="837">
                  <c:v>1182.4013980290299</c:v>
                </c:pt>
                <c:pt idx="838">
                  <c:v>1132.3969902221781</c:v>
                </c:pt>
                <c:pt idx="839">
                  <c:v>1124.6406335247523</c:v>
                </c:pt>
                <c:pt idx="840">
                  <c:v>1194.579966110058</c:v>
                </c:pt>
                <c:pt idx="841">
                  <c:v>1165.7539871614083</c:v>
                </c:pt>
                <c:pt idx="842">
                  <c:v>1171.023335699339</c:v>
                </c:pt>
                <c:pt idx="843">
                  <c:v>1228.1623481637425</c:v>
                </c:pt>
                <c:pt idx="844">
                  <c:v>1144.1869632782855</c:v>
                </c:pt>
                <c:pt idx="845">
                  <c:v>1218.8282956651367</c:v>
                </c:pt>
                <c:pt idx="846">
                  <c:v>1161.8291774097049</c:v>
                </c:pt>
                <c:pt idx="847">
                  <c:v>1200.3933476828781</c:v>
                </c:pt>
                <c:pt idx="848">
                  <c:v>1202.390726110973</c:v>
                </c:pt>
                <c:pt idx="849">
                  <c:v>1166.4068268032759</c:v>
                </c:pt>
                <c:pt idx="850">
                  <c:v>1168.7772564552949</c:v>
                </c:pt>
                <c:pt idx="851">
                  <c:v>1152.9614389410046</c:v>
                </c:pt>
                <c:pt idx="852">
                  <c:v>1202.7637773348972</c:v>
                </c:pt>
                <c:pt idx="853">
                  <c:v>1256.6075039879697</c:v>
                </c:pt>
                <c:pt idx="854">
                  <c:v>1204.1860351261084</c:v>
                </c:pt>
                <c:pt idx="855">
                  <c:v>1194.3623528961023</c:v>
                </c:pt>
                <c:pt idx="856">
                  <c:v>1265.4674705561713</c:v>
                </c:pt>
                <c:pt idx="857">
                  <c:v>1184.3210574521402</c:v>
                </c:pt>
                <c:pt idx="858">
                  <c:v>1129.2338267193202</c:v>
                </c:pt>
                <c:pt idx="859">
                  <c:v>1153.1479645529669</c:v>
                </c:pt>
                <c:pt idx="860">
                  <c:v>1110.1071795927019</c:v>
                </c:pt>
                <c:pt idx="861">
                  <c:v>990.32664911101165</c:v>
                </c:pt>
                <c:pt idx="862">
                  <c:v>894.69341347792056</c:v>
                </c:pt>
                <c:pt idx="863">
                  <c:v>882.39826688941582</c:v>
                </c:pt>
                <c:pt idx="864">
                  <c:v>972.00050773573093</c:v>
                </c:pt>
                <c:pt idx="865">
                  <c:v>1092.9701389936799</c:v>
                </c:pt>
                <c:pt idx="866">
                  <c:v>1326.492433269786</c:v>
                </c:pt>
                <c:pt idx="867">
                  <c:v>1365.1498663489408</c:v>
                </c:pt>
                <c:pt idx="868">
                  <c:v>1394.978420461887</c:v>
                </c:pt>
                <c:pt idx="869">
                  <c:v>1417.485844305319</c:v>
                </c:pt>
                <c:pt idx="870">
                  <c:v>1419.436591330423</c:v>
                </c:pt>
                <c:pt idx="871">
                  <c:v>1427.231807530341</c:v>
                </c:pt>
                <c:pt idx="872">
                  <c:v>1492.6478940255647</c:v>
                </c:pt>
                <c:pt idx="873">
                  <c:v>1422.4909482263033</c:v>
                </c:pt>
                <c:pt idx="874">
                  <c:v>1422.8173680472371</c:v>
                </c:pt>
                <c:pt idx="875">
                  <c:v>1434.3275526854011</c:v>
                </c:pt>
                <c:pt idx="876">
                  <c:v>1425.4675861171991</c:v>
                </c:pt>
                <c:pt idx="877">
                  <c:v>1412.5662312898173</c:v>
                </c:pt>
                <c:pt idx="878">
                  <c:v>1462.1742721712494</c:v>
                </c:pt>
                <c:pt idx="879">
                  <c:v>1444.1590068159057</c:v>
                </c:pt>
                <c:pt idx="880">
                  <c:v>1445.0994067762149</c:v>
                </c:pt>
                <c:pt idx="881">
                  <c:v>1422.8639994502275</c:v>
                </c:pt>
                <c:pt idx="882">
                  <c:v>1432.3534899588017</c:v>
                </c:pt>
                <c:pt idx="883">
                  <c:v>1394.0069328995839</c:v>
                </c:pt>
                <c:pt idx="884">
                  <c:v>1314.997792432619</c:v>
                </c:pt>
                <c:pt idx="885">
                  <c:v>1350.3677116009408</c:v>
                </c:pt>
                <c:pt idx="886">
                  <c:v>1400.6674516267324</c:v>
                </c:pt>
                <c:pt idx="887">
                  <c:v>1391.6831346505558</c:v>
                </c:pt>
                <c:pt idx="888">
                  <c:v>1462.6328143006565</c:v>
                </c:pt>
                <c:pt idx="889">
                  <c:v>1550.5096932363215</c:v>
                </c:pt>
                <c:pt idx="890">
                  <c:v>1493.3473650704227</c:v>
                </c:pt>
                <c:pt idx="891">
                  <c:v>1491.217864333855</c:v>
                </c:pt>
                <c:pt idx="892">
                  <c:v>1533.745703861224</c:v>
                </c:pt>
                <c:pt idx="893">
                  <c:v>1498.0726805734639</c:v>
                </c:pt>
                <c:pt idx="894">
                  <c:v>1487.9148066220253</c:v>
                </c:pt>
                <c:pt idx="895">
                  <c:v>1518.2252185658738</c:v>
                </c:pt>
                <c:pt idx="896">
                  <c:v>1526.3468545867254</c:v>
                </c:pt>
                <c:pt idx="897">
                  <c:v>1519.095671421697</c:v>
                </c:pt>
                <c:pt idx="898">
                  <c:v>1470.7311346200129</c:v>
                </c:pt>
                <c:pt idx="899">
                  <c:v>1432.9674700981768</c:v>
                </c:pt>
                <c:pt idx="900">
                  <c:v>1469.4643148387697</c:v>
                </c:pt>
                <c:pt idx="901">
                  <c:v>1515.4661938889337</c:v>
                </c:pt>
                <c:pt idx="902">
                  <c:v>1463.658705166448</c:v>
                </c:pt>
                <c:pt idx="903">
                  <c:v>1493.7359600953439</c:v>
                </c:pt>
                <c:pt idx="904">
                  <c:v>1557.9240863118168</c:v>
                </c:pt>
                <c:pt idx="905">
                  <c:v>1490.8137255079369</c:v>
                </c:pt>
                <c:pt idx="906">
                  <c:v>1450.5863685281013</c:v>
                </c:pt>
                <c:pt idx="907">
                  <c:v>1463.7597398729276</c:v>
                </c:pt>
                <c:pt idx="908">
                  <c:v>1451.4101899809341</c:v>
                </c:pt>
                <c:pt idx="909">
                  <c:v>1498.2281185834322</c:v>
                </c:pt>
                <c:pt idx="910">
                  <c:v>1446.265191850978</c:v>
                </c:pt>
                <c:pt idx="911">
                  <c:v>1490.5961122939812</c:v>
                </c:pt>
                <c:pt idx="912">
                  <c:v>1471.0964139434386</c:v>
                </c:pt>
                <c:pt idx="913">
                  <c:v>1559.2919407995391</c:v>
                </c:pt>
                <c:pt idx="914">
                  <c:v>1589.353651927438</c:v>
                </c:pt>
                <c:pt idx="915">
                  <c:v>1570.4679337162711</c:v>
                </c:pt>
                <c:pt idx="916">
                  <c:v>1528.6551090347571</c:v>
                </c:pt>
                <c:pt idx="917">
                  <c:v>1559.2763969985422</c:v>
                </c:pt>
                <c:pt idx="918">
                  <c:v>1620.8842522495388</c:v>
                </c:pt>
                <c:pt idx="919">
                  <c:v>1529.8675255125108</c:v>
                </c:pt>
                <c:pt idx="920">
                  <c:v>1532.7586724979244</c:v>
                </c:pt>
                <c:pt idx="921">
                  <c:v>1478.1532995960065</c:v>
                </c:pt>
                <c:pt idx="922">
                  <c:v>1577.1362243439178</c:v>
                </c:pt>
                <c:pt idx="923">
                  <c:v>1471.1430453464291</c:v>
                </c:pt>
                <c:pt idx="924">
                  <c:v>1552.6236501718925</c:v>
                </c:pt>
                <c:pt idx="925">
                  <c:v>1563.037996839779</c:v>
                </c:pt>
                <c:pt idx="926">
                  <c:v>1652.7801318950658</c:v>
                </c:pt>
                <c:pt idx="927">
                  <c:v>1602.589198476252</c:v>
                </c:pt>
                <c:pt idx="928">
                  <c:v>1571.4782807810659</c:v>
                </c:pt>
                <c:pt idx="929">
                  <c:v>1572.8383633682899</c:v>
                </c:pt>
                <c:pt idx="930">
                  <c:v>1573.7321319256084</c:v>
                </c:pt>
                <c:pt idx="931">
                  <c:v>1515.1630897694952</c:v>
                </c:pt>
                <c:pt idx="932">
                  <c:v>1585.5920520862014</c:v>
                </c:pt>
                <c:pt idx="933">
                  <c:v>1564.0017125015834</c:v>
                </c:pt>
                <c:pt idx="934">
                  <c:v>1615.7703417215769</c:v>
                </c:pt>
                <c:pt idx="935">
                  <c:v>1500.8472490514007</c:v>
                </c:pt>
                <c:pt idx="936">
                  <c:v>1587.9624817382203</c:v>
                </c:pt>
                <c:pt idx="937">
                  <c:v>1613.7574194924853</c:v>
                </c:pt>
                <c:pt idx="938">
                  <c:v>1569.6907436664287</c:v>
                </c:pt>
                <c:pt idx="939">
                  <c:v>1597.0711491223717</c:v>
                </c:pt>
                <c:pt idx="940">
                  <c:v>1602.7135488842268</c:v>
                </c:pt>
                <c:pt idx="941">
                  <c:v>1580.7268423741889</c:v>
                </c:pt>
                <c:pt idx="942">
                  <c:v>1689.1681700286806</c:v>
                </c:pt>
                <c:pt idx="943">
                  <c:v>1685.5309205954188</c:v>
                </c:pt>
                <c:pt idx="944">
                  <c:v>1546.4061297731546</c:v>
                </c:pt>
                <c:pt idx="945">
                  <c:v>1526.3779421887193</c:v>
                </c:pt>
                <c:pt idx="946">
                  <c:v>1540.3518192848833</c:v>
                </c:pt>
                <c:pt idx="947">
                  <c:v>1633.5369062609711</c:v>
                </c:pt>
                <c:pt idx="948">
                  <c:v>1645.0160032971414</c:v>
                </c:pt>
                <c:pt idx="949">
                  <c:v>1689.5179055511098</c:v>
                </c:pt>
                <c:pt idx="950">
                  <c:v>1533.8234228662079</c:v>
                </c:pt>
                <c:pt idx="951">
                  <c:v>1173.13729263491</c:v>
                </c:pt>
                <c:pt idx="952">
                  <c:v>1197.3933940904872</c:v>
                </c:pt>
                <c:pt idx="953">
                  <c:v>1632.2389988777345</c:v>
                </c:pt>
                <c:pt idx="954">
                  <c:v>1766.5063518884847</c:v>
                </c:pt>
                <c:pt idx="955">
                  <c:v>1779.3610753128758</c:v>
                </c:pt>
                <c:pt idx="956">
                  <c:v>1780.3714223776708</c:v>
                </c:pt>
                <c:pt idx="957">
                  <c:v>1808.3114046695002</c:v>
                </c:pt>
                <c:pt idx="958">
                  <c:v>1731.7659566605353</c:v>
                </c:pt>
                <c:pt idx="959">
                  <c:v>1722.2531504504659</c:v>
                </c:pt>
                <c:pt idx="960">
                  <c:v>1715.709210230794</c:v>
                </c:pt>
                <c:pt idx="961">
                  <c:v>1781.6615578604087</c:v>
                </c:pt>
                <c:pt idx="962">
                  <c:v>1731.4006773371095</c:v>
                </c:pt>
                <c:pt idx="963">
                  <c:v>1728.6261088591727</c:v>
                </c:pt>
                <c:pt idx="964">
                  <c:v>1790.9489789560241</c:v>
                </c:pt>
                <c:pt idx="965">
                  <c:v>1833.8265540058221</c:v>
                </c:pt>
                <c:pt idx="966">
                  <c:v>1716.4397688776457</c:v>
                </c:pt>
                <c:pt idx="967">
                  <c:v>1745.2657478262954</c:v>
                </c:pt>
                <c:pt idx="968">
                  <c:v>1809.4150145402764</c:v>
                </c:pt>
                <c:pt idx="969">
                  <c:v>1836.8420513992098</c:v>
                </c:pt>
                <c:pt idx="970">
                  <c:v>1764.2991321469326</c:v>
                </c:pt>
                <c:pt idx="971">
                  <c:v>1777.9543613226613</c:v>
                </c:pt>
                <c:pt idx="972">
                  <c:v>1871.5280433236703</c:v>
                </c:pt>
                <c:pt idx="973">
                  <c:v>1771.0295979785667</c:v>
                </c:pt>
                <c:pt idx="974">
                  <c:v>1765.6669866346549</c:v>
                </c:pt>
                <c:pt idx="975">
                  <c:v>1814.7309944811975</c:v>
                </c:pt>
                <c:pt idx="976">
                  <c:v>1787.9101658611407</c:v>
                </c:pt>
                <c:pt idx="977">
                  <c:v>1854.0179515007242</c:v>
                </c:pt>
                <c:pt idx="978">
                  <c:v>1845.7564212709008</c:v>
                </c:pt>
                <c:pt idx="979">
                  <c:v>1819.8060455066673</c:v>
                </c:pt>
                <c:pt idx="980">
                  <c:v>1864.0203874421943</c:v>
                </c:pt>
                <c:pt idx="981">
                  <c:v>1813.7051036154057</c:v>
                </c:pt>
                <c:pt idx="982">
                  <c:v>1803.8503337834059</c:v>
                </c:pt>
                <c:pt idx="983">
                  <c:v>1839.3523752602005</c:v>
                </c:pt>
                <c:pt idx="984">
                  <c:v>1915.2216679258029</c:v>
                </c:pt>
                <c:pt idx="985">
                  <c:v>1859.2795281381564</c:v>
                </c:pt>
                <c:pt idx="986">
                  <c:v>1881.5771106681309</c:v>
                </c:pt>
                <c:pt idx="987">
                  <c:v>1905.2891790888186</c:v>
                </c:pt>
                <c:pt idx="988">
                  <c:v>1834.0130796177841</c:v>
                </c:pt>
                <c:pt idx="989">
                  <c:v>1894.8748324209321</c:v>
                </c:pt>
                <c:pt idx="990">
                  <c:v>1827.7722435175508</c:v>
                </c:pt>
                <c:pt idx="991">
                  <c:v>1784.7314585572858</c:v>
                </c:pt>
                <c:pt idx="992">
                  <c:v>1824.3526072982447</c:v>
                </c:pt>
                <c:pt idx="993">
                  <c:v>1926.3199418375502</c:v>
                </c:pt>
                <c:pt idx="994">
                  <c:v>2055.8075760417705</c:v>
                </c:pt>
                <c:pt idx="995">
                  <c:v>1321.1919971298621</c:v>
                </c:pt>
                <c:pt idx="996">
                  <c:v>1499.1762904442398</c:v>
                </c:pt>
                <c:pt idx="997">
                  <c:v>1940.581379252156</c:v>
                </c:pt>
                <c:pt idx="998">
                  <c:v>1901.7607362625347</c:v>
                </c:pt>
                <c:pt idx="999">
                  <c:v>1923.3666196481495</c:v>
                </c:pt>
                <c:pt idx="1000">
                  <c:v>2021.1293560178087</c:v>
                </c:pt>
                <c:pt idx="1001">
                  <c:v>1945.0113625362567</c:v>
                </c:pt>
                <c:pt idx="1002">
                  <c:v>1974.3036555148119</c:v>
                </c:pt>
                <c:pt idx="1003">
                  <c:v>2007.2720574291211</c:v>
                </c:pt>
                <c:pt idx="1004">
                  <c:v>2000.5959949009757</c:v>
                </c:pt>
                <c:pt idx="1005">
                  <c:v>1993.4536183429254</c:v>
                </c:pt>
                <c:pt idx="1006">
                  <c:v>1918.6335322446105</c:v>
                </c:pt>
                <c:pt idx="1007">
                  <c:v>1914.9341076073611</c:v>
                </c:pt>
                <c:pt idx="1008">
                  <c:v>1930.9286788331149</c:v>
                </c:pt>
                <c:pt idx="1009">
                  <c:v>1945.9206748945724</c:v>
                </c:pt>
                <c:pt idx="1010">
                  <c:v>1932.5063746342948</c:v>
                </c:pt>
                <c:pt idx="1011">
                  <c:v>1938.6461760280486</c:v>
                </c:pt>
                <c:pt idx="1012">
                  <c:v>2022.5904733115121</c:v>
                </c:pt>
                <c:pt idx="1013">
                  <c:v>2006.4404640757898</c:v>
                </c:pt>
                <c:pt idx="1014">
                  <c:v>2023.3365757593606</c:v>
                </c:pt>
                <c:pt idx="1015">
                  <c:v>1991.4096085118404</c:v>
                </c:pt>
                <c:pt idx="1016">
                  <c:v>1927.9831285442126</c:v>
                </c:pt>
                <c:pt idx="1017">
                  <c:v>1948.3299640490832</c:v>
                </c:pt>
                <c:pt idx="1018">
                  <c:v>2055.4034372158526</c:v>
                </c:pt>
                <c:pt idx="1019">
                  <c:v>2056.9889049175308</c:v>
                </c:pt>
                <c:pt idx="1020">
                  <c:v>2052.1003795040228</c:v>
                </c:pt>
                <c:pt idx="1021">
                  <c:v>2033.0514513823889</c:v>
                </c:pt>
                <c:pt idx="1022">
                  <c:v>2013.3496836188874</c:v>
                </c:pt>
                <c:pt idx="1023">
                  <c:v>2092.9028571207418</c:v>
                </c:pt>
                <c:pt idx="1024">
                  <c:v>2049.558968041039</c:v>
                </c:pt>
                <c:pt idx="1025">
                  <c:v>1981.6869609883136</c:v>
                </c:pt>
                <c:pt idx="1026">
                  <c:v>2016.4351281167612</c:v>
                </c:pt>
                <c:pt idx="1027">
                  <c:v>1983.7776022223891</c:v>
                </c:pt>
                <c:pt idx="1028">
                  <c:v>2007.6295648520484</c:v>
                </c:pt>
                <c:pt idx="1029">
                  <c:v>1999.880980055121</c:v>
                </c:pt>
                <c:pt idx="1030">
                  <c:v>2046.0072095132596</c:v>
                </c:pt>
                <c:pt idx="1031">
                  <c:v>2065.537995465796</c:v>
                </c:pt>
                <c:pt idx="1032">
                  <c:v>1995.2178397560674</c:v>
                </c:pt>
                <c:pt idx="1033">
                  <c:v>2128.7313184184704</c:v>
                </c:pt>
                <c:pt idx="1034">
                  <c:v>2059.1184056540988</c:v>
                </c:pt>
                <c:pt idx="1035">
                  <c:v>2077.4678627308745</c:v>
                </c:pt>
                <c:pt idx="1036">
                  <c:v>2037.4348032634994</c:v>
                </c:pt>
                <c:pt idx="1037">
                  <c:v>2040.6912295723384</c:v>
                </c:pt>
                <c:pt idx="1038">
                  <c:v>2120.9671898205461</c:v>
                </c:pt>
                <c:pt idx="1039">
                  <c:v>2105.2912665152276</c:v>
                </c:pt>
                <c:pt idx="1040">
                  <c:v>2193.6966346847857</c:v>
                </c:pt>
                <c:pt idx="1041">
                  <c:v>1566.5742115665612</c:v>
                </c:pt>
                <c:pt idx="1042">
                  <c:v>1994.7204381241684</c:v>
                </c:pt>
                <c:pt idx="1043">
                  <c:v>2162.9432244125273</c:v>
                </c:pt>
                <c:pt idx="1044">
                  <c:v>2158.9717832578331</c:v>
                </c:pt>
                <c:pt idx="1045">
                  <c:v>2094.2163083049754</c:v>
                </c:pt>
                <c:pt idx="1046">
                  <c:v>2085.2164475278023</c:v>
                </c:pt>
                <c:pt idx="1047">
                  <c:v>2166.308457328344</c:v>
                </c:pt>
                <c:pt idx="1048">
                  <c:v>2134.1094735633792</c:v>
                </c:pt>
                <c:pt idx="1049">
                  <c:v>2144.6248549377451</c:v>
                </c:pt>
                <c:pt idx="1050">
                  <c:v>2104.6617425748555</c:v>
                </c:pt>
                <c:pt idx="1051">
                  <c:v>2116.9024858598714</c:v>
                </c:pt>
                <c:pt idx="1052">
                  <c:v>2135.5861346580796</c:v>
                </c:pt>
                <c:pt idx="1053">
                  <c:v>2168.9353596968112</c:v>
                </c:pt>
                <c:pt idx="1054">
                  <c:v>2112.2782050633095</c:v>
                </c:pt>
                <c:pt idx="1055">
                  <c:v>2130.7675563490575</c:v>
                </c:pt>
                <c:pt idx="1056">
                  <c:v>2083.032543487745</c:v>
                </c:pt>
                <c:pt idx="1057">
                  <c:v>2025.7614087148686</c:v>
                </c:pt>
                <c:pt idx="1058">
                  <c:v>2124.8842276717514</c:v>
                </c:pt>
                <c:pt idx="1059">
                  <c:v>2061.7453080225655</c:v>
                </c:pt>
                <c:pt idx="1060">
                  <c:v>2160.6427418649942</c:v>
                </c:pt>
                <c:pt idx="1061">
                  <c:v>2199.9219269840223</c:v>
                </c:pt>
                <c:pt idx="1062">
                  <c:v>2157.4251750586473</c:v>
                </c:pt>
                <c:pt idx="1063">
                  <c:v>2147.865737445587</c:v>
                </c:pt>
                <c:pt idx="1064">
                  <c:v>2098.4053626736254</c:v>
                </c:pt>
                <c:pt idx="1065">
                  <c:v>2160.5339352580163</c:v>
                </c:pt>
                <c:pt idx="1066">
                  <c:v>2247.6258522433404</c:v>
                </c:pt>
                <c:pt idx="1067">
                  <c:v>2216.2196023292145</c:v>
                </c:pt>
                <c:pt idx="1068">
                  <c:v>2200.1783997004704</c:v>
                </c:pt>
                <c:pt idx="1069">
                  <c:v>2239.7917765409306</c:v>
                </c:pt>
                <c:pt idx="1070">
                  <c:v>2156.5003188993346</c:v>
                </c:pt>
                <c:pt idx="1071">
                  <c:v>2201.0099930538017</c:v>
                </c:pt>
                <c:pt idx="1072">
                  <c:v>2168.6788869803631</c:v>
                </c:pt>
                <c:pt idx="1073">
                  <c:v>2223.9915028276373</c:v>
                </c:pt>
                <c:pt idx="1074">
                  <c:v>2491.8889130082675</c:v>
                </c:pt>
                <c:pt idx="1075">
                  <c:v>1772.04771694386</c:v>
                </c:pt>
                <c:pt idx="1076">
                  <c:v>1987.5392020636257</c:v>
                </c:pt>
                <c:pt idx="1077">
                  <c:v>2218.7843294936943</c:v>
                </c:pt>
                <c:pt idx="1078">
                  <c:v>2171.6632967717574</c:v>
                </c:pt>
                <c:pt idx="1079">
                  <c:v>2165.7721961939533</c:v>
                </c:pt>
                <c:pt idx="1080">
                  <c:v>2275.5813783361668</c:v>
                </c:pt>
                <c:pt idx="1081">
                  <c:v>2220.6262699118206</c:v>
                </c:pt>
                <c:pt idx="1082">
                  <c:v>2223.0511028673282</c:v>
                </c:pt>
                <c:pt idx="1083">
                  <c:v>2237.5379253963879</c:v>
                </c:pt>
                <c:pt idx="1084">
                  <c:v>2334.7799444326524</c:v>
                </c:pt>
                <c:pt idx="1085">
                  <c:v>2029.7717093720546</c:v>
                </c:pt>
                <c:pt idx="1086">
                  <c:v>2061.0613807787045</c:v>
                </c:pt>
                <c:pt idx="1087">
                  <c:v>2187.3703076790698</c:v>
                </c:pt>
                <c:pt idx="1088">
                  <c:v>2224.8930432854545</c:v>
                </c:pt>
                <c:pt idx="1089">
                  <c:v>2130.798643951051</c:v>
                </c:pt>
                <c:pt idx="1090">
                  <c:v>2277.197933639839</c:v>
                </c:pt>
                <c:pt idx="1091">
                  <c:v>2241.8202425710188</c:v>
                </c:pt>
                <c:pt idx="1092">
                  <c:v>2222.9422962603503</c:v>
                </c:pt>
                <c:pt idx="1093">
                  <c:v>2316.3216807488989</c:v>
                </c:pt>
                <c:pt idx="1094">
                  <c:v>2291.0552322285266</c:v>
                </c:pt>
                <c:pt idx="1095">
                  <c:v>2285.4905514716561</c:v>
                </c:pt>
                <c:pt idx="1096">
                  <c:v>2240.8021236057257</c:v>
                </c:pt>
                <c:pt idx="1097">
                  <c:v>2213.1263859308424</c:v>
                </c:pt>
                <c:pt idx="1098">
                  <c:v>2291.6614404674037</c:v>
                </c:pt>
                <c:pt idx="1099">
                  <c:v>2340.8653425229177</c:v>
                </c:pt>
                <c:pt idx="1100">
                  <c:v>2204.0099466461925</c:v>
                </c:pt>
                <c:pt idx="1101">
                  <c:v>2318.9952145203561</c:v>
                </c:pt>
                <c:pt idx="1102">
                  <c:v>2246.7553993875172</c:v>
                </c:pt>
                <c:pt idx="1103">
                  <c:v>2347.3082480361099</c:v>
                </c:pt>
                <c:pt idx="1104">
                  <c:v>2290.783215711082</c:v>
                </c:pt>
                <c:pt idx="1105">
                  <c:v>2269.7058215593597</c:v>
                </c:pt>
                <c:pt idx="1106">
                  <c:v>2281.1771466950318</c:v>
                </c:pt>
                <c:pt idx="1107">
                  <c:v>2222.2039657130003</c:v>
                </c:pt>
                <c:pt idx="1108">
                  <c:v>2252.0558355274416</c:v>
                </c:pt>
                <c:pt idx="1109">
                  <c:v>2285.4516919691641</c:v>
                </c:pt>
                <c:pt idx="1110">
                  <c:v>2345.6217456279524</c:v>
                </c:pt>
                <c:pt idx="1111">
                  <c:v>2262.6411640062934</c:v>
                </c:pt>
                <c:pt idx="1112">
                  <c:v>2222.2894566184827</c:v>
                </c:pt>
                <c:pt idx="1113">
                  <c:v>2325.0184374066339</c:v>
                </c:pt>
                <c:pt idx="1114">
                  <c:v>2267.2887605043502</c:v>
                </c:pt>
                <c:pt idx="1115">
                  <c:v>2294.8090601692647</c:v>
                </c:pt>
                <c:pt idx="1116">
                  <c:v>2282.5450011827538</c:v>
                </c:pt>
                <c:pt idx="1117">
                  <c:v>2270.7550281266467</c:v>
                </c:pt>
                <c:pt idx="1118">
                  <c:v>2274.9207667938012</c:v>
                </c:pt>
                <c:pt idx="1119">
                  <c:v>2251.9392570199652</c:v>
                </c:pt>
                <c:pt idx="1120">
                  <c:v>2343.1425093689554</c:v>
                </c:pt>
                <c:pt idx="1121">
                  <c:v>2362.0826308836117</c:v>
                </c:pt>
                <c:pt idx="1122">
                  <c:v>2755.7293911287202</c:v>
                </c:pt>
                <c:pt idx="1123">
                  <c:v>1797.9592332056013</c:v>
                </c:pt>
                <c:pt idx="1124">
                  <c:v>2227.4266828479404</c:v>
                </c:pt>
                <c:pt idx="1125">
                  <c:v>2322.6480077546148</c:v>
                </c:pt>
                <c:pt idx="1126">
                  <c:v>2326.9303249292457</c:v>
                </c:pt>
                <c:pt idx="1127">
                  <c:v>2286.6563365464194</c:v>
                </c:pt>
                <c:pt idx="1128">
                  <c:v>2281.7678111329119</c:v>
                </c:pt>
                <c:pt idx="1129">
                  <c:v>2304.6716019017631</c:v>
                </c:pt>
                <c:pt idx="1130">
                  <c:v>2197.9245485559277</c:v>
                </c:pt>
                <c:pt idx="1131">
                  <c:v>2281.7289516304195</c:v>
                </c:pt>
                <c:pt idx="1132">
                  <c:v>2398.4318095147341</c:v>
                </c:pt>
                <c:pt idx="1133">
                  <c:v>2321.816414401284</c:v>
                </c:pt>
                <c:pt idx="1134">
                  <c:v>2311.6352247483501</c:v>
                </c:pt>
                <c:pt idx="1135">
                  <c:v>2386.696239762116</c:v>
                </c:pt>
                <c:pt idx="1136">
                  <c:v>2214.750713135013</c:v>
                </c:pt>
                <c:pt idx="1137">
                  <c:v>2361.8417019681606</c:v>
                </c:pt>
                <c:pt idx="1138">
                  <c:v>2311.7051718528355</c:v>
                </c:pt>
                <c:pt idx="1139">
                  <c:v>2377.7507822884318</c:v>
                </c:pt>
                <c:pt idx="1140">
                  <c:v>2285.9879531035549</c:v>
                </c:pt>
                <c:pt idx="1141">
                  <c:v>2310.4927553750817</c:v>
                </c:pt>
                <c:pt idx="1142">
                  <c:v>2333.5208965519082</c:v>
                </c:pt>
                <c:pt idx="1143">
                  <c:v>2358.5386442563308</c:v>
                </c:pt>
                <c:pt idx="1144">
                  <c:v>2356.6189848332201</c:v>
                </c:pt>
                <c:pt idx="1145">
                  <c:v>2372.1550139295673</c:v>
                </c:pt>
                <c:pt idx="1146">
                  <c:v>2415.4444997057817</c:v>
                </c:pt>
                <c:pt idx="1147">
                  <c:v>2379.1574962786462</c:v>
                </c:pt>
                <c:pt idx="1148">
                  <c:v>2323.1687250880091</c:v>
                </c:pt>
                <c:pt idx="1149">
                  <c:v>2406.530129834091</c:v>
                </c:pt>
                <c:pt idx="1150">
                  <c:v>2407.1285661724696</c:v>
                </c:pt>
                <c:pt idx="1151">
                  <c:v>2348.2175603944256</c:v>
                </c:pt>
                <c:pt idx="1152">
                  <c:v>2421.3977754875732</c:v>
                </c:pt>
                <c:pt idx="1153">
                  <c:v>2387.3024480009931</c:v>
                </c:pt>
                <c:pt idx="1154">
                  <c:v>2388.421601672766</c:v>
                </c:pt>
                <c:pt idx="1155">
                  <c:v>2441.5347696789868</c:v>
                </c:pt>
                <c:pt idx="1156">
                  <c:v>2338.1995806519585</c:v>
                </c:pt>
                <c:pt idx="1157">
                  <c:v>2406.3746918241222</c:v>
                </c:pt>
                <c:pt idx="1158">
                  <c:v>2414.511871645971</c:v>
                </c:pt>
                <c:pt idx="1159">
                  <c:v>2355.0412890320404</c:v>
                </c:pt>
                <c:pt idx="1160">
                  <c:v>2404.1907877840658</c:v>
                </c:pt>
                <c:pt idx="1161">
                  <c:v>2346.6398645932454</c:v>
                </c:pt>
                <c:pt idx="1162">
                  <c:v>2476.3995153149108</c:v>
                </c:pt>
                <c:pt idx="1163">
                  <c:v>2440.0814242857814</c:v>
                </c:pt>
                <c:pt idx="1164">
                  <c:v>2388.5070925782488</c:v>
                </c:pt>
                <c:pt idx="1165">
                  <c:v>2395.7738195442739</c:v>
                </c:pt>
                <c:pt idx="1166">
                  <c:v>2389.439720638059</c:v>
                </c:pt>
                <c:pt idx="1167">
                  <c:v>2310.0264413451764</c:v>
                </c:pt>
                <c:pt idx="1168">
                  <c:v>2475.1404674341661</c:v>
                </c:pt>
                <c:pt idx="1169">
                  <c:v>2489.7516403712007</c:v>
                </c:pt>
                <c:pt idx="1170">
                  <c:v>2214.2066801001233</c:v>
                </c:pt>
                <c:pt idx="1171">
                  <c:v>2313.6792345794352</c:v>
                </c:pt>
                <c:pt idx="1172">
                  <c:v>2438.1773086636681</c:v>
                </c:pt>
                <c:pt idx="1173">
                  <c:v>2415.3667807007973</c:v>
                </c:pt>
                <c:pt idx="1174">
                  <c:v>2464.2986662388666</c:v>
                </c:pt>
                <c:pt idx="1175">
                  <c:v>2374.3777774721161</c:v>
                </c:pt>
                <c:pt idx="1176">
                  <c:v>2427.2888760653777</c:v>
                </c:pt>
                <c:pt idx="1177">
                  <c:v>2397.483637653927</c:v>
                </c:pt>
                <c:pt idx="1178">
                  <c:v>2340.6088698064696</c:v>
                </c:pt>
                <c:pt idx="1179">
                  <c:v>2441.068455649081</c:v>
                </c:pt>
                <c:pt idx="1180">
                  <c:v>2437.0037516884063</c:v>
                </c:pt>
                <c:pt idx="1181">
                  <c:v>2346.8963373096935</c:v>
                </c:pt>
                <c:pt idx="1182">
                  <c:v>2462.3246035122675</c:v>
                </c:pt>
                <c:pt idx="1183">
                  <c:v>2450.4802271526714</c:v>
                </c:pt>
                <c:pt idx="1184">
                  <c:v>2435.4882310912139</c:v>
                </c:pt>
                <c:pt idx="1185">
                  <c:v>2441.7679266939394</c:v>
                </c:pt>
                <c:pt idx="1186">
                  <c:v>2461.0888713330182</c:v>
                </c:pt>
                <c:pt idx="1187">
                  <c:v>2486.1454785399328</c:v>
                </c:pt>
                <c:pt idx="1188">
                  <c:v>2475.6534128670623</c:v>
                </c:pt>
                <c:pt idx="1189">
                  <c:v>2453.3091989340969</c:v>
                </c:pt>
                <c:pt idx="1190">
                  <c:v>2534.9841012720208</c:v>
                </c:pt>
                <c:pt idx="1191">
                  <c:v>2389.082213215132</c:v>
                </c:pt>
                <c:pt idx="1192">
                  <c:v>2446.6098207044565</c:v>
                </c:pt>
                <c:pt idx="1193">
                  <c:v>2433.4519931606269</c:v>
                </c:pt>
                <c:pt idx="1194">
                  <c:v>2535.3804681974402</c:v>
                </c:pt>
                <c:pt idx="1195">
                  <c:v>2490.3656205105763</c:v>
                </c:pt>
                <c:pt idx="1196">
                  <c:v>2473.8736476529234</c:v>
                </c:pt>
                <c:pt idx="1197">
                  <c:v>2446.0657876695668</c:v>
                </c:pt>
                <c:pt idx="1198">
                  <c:v>2395.0121732954285</c:v>
                </c:pt>
                <c:pt idx="1199">
                  <c:v>2462.6199357312075</c:v>
                </c:pt>
                <c:pt idx="1200">
                  <c:v>2418.0714020742485</c:v>
                </c:pt>
                <c:pt idx="1201">
                  <c:v>2402.302215962949</c:v>
                </c:pt>
                <c:pt idx="1202">
                  <c:v>2451.140838695037</c:v>
                </c:pt>
                <c:pt idx="1203">
                  <c:v>2487.4744735251629</c:v>
                </c:pt>
                <c:pt idx="1204">
                  <c:v>2328.2670918149743</c:v>
                </c:pt>
                <c:pt idx="1205">
                  <c:v>2479.9357300416932</c:v>
                </c:pt>
                <c:pt idx="1206">
                  <c:v>2448.6538305355416</c:v>
                </c:pt>
                <c:pt idx="1207">
                  <c:v>2470.4850990356113</c:v>
                </c:pt>
                <c:pt idx="1208">
                  <c:v>2446.5321016994722</c:v>
                </c:pt>
                <c:pt idx="1209">
                  <c:v>2509.8109155576299</c:v>
                </c:pt>
                <c:pt idx="1210">
                  <c:v>2373.5306403177883</c:v>
                </c:pt>
                <c:pt idx="1211">
                  <c:v>2527.9816189229423</c:v>
                </c:pt>
                <c:pt idx="1212">
                  <c:v>2297.3815592342426</c:v>
                </c:pt>
                <c:pt idx="1213">
                  <c:v>2423.4262415176618</c:v>
                </c:pt>
                <c:pt idx="1214">
                  <c:v>2526.3883793207656</c:v>
                </c:pt>
                <c:pt idx="1215">
                  <c:v>2478.2025962305447</c:v>
                </c:pt>
                <c:pt idx="1216">
                  <c:v>2419.0195739350561</c:v>
                </c:pt>
                <c:pt idx="1217">
                  <c:v>2550.6133931743489</c:v>
                </c:pt>
                <c:pt idx="1218">
                  <c:v>2575.6777722817624</c:v>
                </c:pt>
                <c:pt idx="1219">
                  <c:v>2577.5197126998883</c:v>
                </c:pt>
                <c:pt idx="1220">
                  <c:v>2413.0585262527661</c:v>
                </c:pt>
                <c:pt idx="1221">
                  <c:v>2411.3564800436111</c:v>
                </c:pt>
                <c:pt idx="1222">
                  <c:v>2448.2341479086272</c:v>
                </c:pt>
                <c:pt idx="1223">
                  <c:v>2485.6403050075351</c:v>
                </c:pt>
                <c:pt idx="1224">
                  <c:v>2375.83889476582</c:v>
                </c:pt>
                <c:pt idx="1225">
                  <c:v>2549.4320642985886</c:v>
                </c:pt>
                <c:pt idx="1226">
                  <c:v>2405.7296240827532</c:v>
                </c:pt>
                <c:pt idx="1227">
                  <c:v>2482.7413861216237</c:v>
                </c:pt>
                <c:pt idx="1228">
                  <c:v>2496.3577557948602</c:v>
                </c:pt>
                <c:pt idx="1229">
                  <c:v>2487.6532272366267</c:v>
                </c:pt>
                <c:pt idx="1230">
                  <c:v>2537.5255127350051</c:v>
                </c:pt>
                <c:pt idx="1231">
                  <c:v>2462.7676018406773</c:v>
                </c:pt>
                <c:pt idx="1232">
                  <c:v>2492.1997890282041</c:v>
                </c:pt>
                <c:pt idx="1233">
                  <c:v>2382.9968151248668</c:v>
                </c:pt>
                <c:pt idx="1234">
                  <c:v>2517.777113568513</c:v>
                </c:pt>
                <c:pt idx="1235">
                  <c:v>2558.4241531752637</c:v>
                </c:pt>
                <c:pt idx="1236">
                  <c:v>2541.8622332131254</c:v>
                </c:pt>
                <c:pt idx="1237">
                  <c:v>2450.7366998691191</c:v>
                </c:pt>
                <c:pt idx="1238">
                  <c:v>2485.1195876741408</c:v>
                </c:pt>
                <c:pt idx="1239">
                  <c:v>2616.4802498984814</c:v>
                </c:pt>
                <c:pt idx="1240">
                  <c:v>2454.3817212028794</c:v>
                </c:pt>
                <c:pt idx="1241">
                  <c:v>2506.0570876168917</c:v>
                </c:pt>
                <c:pt idx="1242">
                  <c:v>2462.5344448257247</c:v>
                </c:pt>
                <c:pt idx="1243">
                  <c:v>2499.4509721932322</c:v>
                </c:pt>
                <c:pt idx="1244">
                  <c:v>2501.0675274969044</c:v>
                </c:pt>
                <c:pt idx="1245">
                  <c:v>2469.6301899807845</c:v>
                </c:pt>
                <c:pt idx="1246">
                  <c:v>2586.426310671081</c:v>
                </c:pt>
                <c:pt idx="1247">
                  <c:v>2487.6221396346332</c:v>
                </c:pt>
                <c:pt idx="1248">
                  <c:v>2591.2759765820965</c:v>
                </c:pt>
                <c:pt idx="1249">
                  <c:v>2462.8530927461602</c:v>
                </c:pt>
                <c:pt idx="1250">
                  <c:v>2466.0162562490182</c:v>
                </c:pt>
                <c:pt idx="1251">
                  <c:v>2653.7853722909099</c:v>
                </c:pt>
                <c:pt idx="1252">
                  <c:v>2441.1539465545638</c:v>
                </c:pt>
                <c:pt idx="1253">
                  <c:v>2510.059616373579</c:v>
                </c:pt>
                <c:pt idx="1254">
                  <c:v>2466.5602892839074</c:v>
                </c:pt>
                <c:pt idx="1255">
                  <c:v>2558.0744176528347</c:v>
                </c:pt>
                <c:pt idx="1256">
                  <c:v>2474.1145765683746</c:v>
                </c:pt>
                <c:pt idx="1257">
                  <c:v>2554.4993434235603</c:v>
                </c:pt>
                <c:pt idx="1258">
                  <c:v>2588.4625486016671</c:v>
                </c:pt>
                <c:pt idx="1259">
                  <c:v>2517.7926573695099</c:v>
                </c:pt>
                <c:pt idx="1260">
                  <c:v>2518.4299532103805</c:v>
                </c:pt>
                <c:pt idx="1261">
                  <c:v>2618.811820048008</c:v>
                </c:pt>
                <c:pt idx="1262">
                  <c:v>2516.3159962748095</c:v>
                </c:pt>
                <c:pt idx="1263">
                  <c:v>2553.9630822891691</c:v>
                </c:pt>
                <c:pt idx="1264">
                  <c:v>2560.5225663098381</c:v>
                </c:pt>
                <c:pt idx="1265">
                  <c:v>2522.6190075790305</c:v>
                </c:pt>
                <c:pt idx="1266">
                  <c:v>2524.7174207136045</c:v>
                </c:pt>
                <c:pt idx="1267">
                  <c:v>2521.3677315987848</c:v>
                </c:pt>
                <c:pt idx="1268">
                  <c:v>2613.5113839080836</c:v>
                </c:pt>
                <c:pt idx="1269">
                  <c:v>2515.1035797970558</c:v>
                </c:pt>
                <c:pt idx="1270">
                  <c:v>2448.8714437494978</c:v>
                </c:pt>
                <c:pt idx="1271">
                  <c:v>2427.6541553888037</c:v>
                </c:pt>
                <c:pt idx="1272">
                  <c:v>2507.5570644130876</c:v>
                </c:pt>
                <c:pt idx="1273">
                  <c:v>2529.0152816892323</c:v>
                </c:pt>
                <c:pt idx="1274">
                  <c:v>2535.3571524959457</c:v>
                </c:pt>
                <c:pt idx="1275">
                  <c:v>2534.3778930331437</c:v>
                </c:pt>
                <c:pt idx="1276">
                  <c:v>2484.3968009277878</c:v>
                </c:pt>
                <c:pt idx="1277">
                  <c:v>2618.8429076500015</c:v>
                </c:pt>
                <c:pt idx="1278">
                  <c:v>2533.9426666052327</c:v>
                </c:pt>
                <c:pt idx="1279">
                  <c:v>2499.8784267206456</c:v>
                </c:pt>
                <c:pt idx="1280">
                  <c:v>2561.3697034641659</c:v>
                </c:pt>
                <c:pt idx="1281">
                  <c:v>2564.9370057929418</c:v>
                </c:pt>
                <c:pt idx="1282">
                  <c:v>2584.8952462728917</c:v>
                </c:pt>
                <c:pt idx="1283">
                  <c:v>2576.7736102520398</c:v>
                </c:pt>
                <c:pt idx="1284">
                  <c:v>2580.0533522623741</c:v>
                </c:pt>
                <c:pt idx="1285">
                  <c:v>2501.0752993974024</c:v>
                </c:pt>
                <c:pt idx="1286">
                  <c:v>2647.3502386782161</c:v>
                </c:pt>
                <c:pt idx="1287">
                  <c:v>2529.2406668036865</c:v>
                </c:pt>
                <c:pt idx="1288">
                  <c:v>2680.8782174284115</c:v>
                </c:pt>
                <c:pt idx="1289">
                  <c:v>2505.0622843530937</c:v>
                </c:pt>
                <c:pt idx="1290">
                  <c:v>2559.0070457126453</c:v>
                </c:pt>
                <c:pt idx="1291">
                  <c:v>2564.6183578725067</c:v>
                </c:pt>
                <c:pt idx="1292">
                  <c:v>2430.249970155277</c:v>
                </c:pt>
                <c:pt idx="1293">
                  <c:v>2517.9636391804752</c:v>
                </c:pt>
                <c:pt idx="1294">
                  <c:v>2529.8235593410682</c:v>
                </c:pt>
                <c:pt idx="1295">
                  <c:v>2608.5529113900898</c:v>
                </c:pt>
                <c:pt idx="1296">
                  <c:v>2572.0560666494971</c:v>
                </c:pt>
                <c:pt idx="1297">
                  <c:v>2468.6897900204754</c:v>
                </c:pt>
                <c:pt idx="1298">
                  <c:v>2643.8684272549231</c:v>
                </c:pt>
                <c:pt idx="1299">
                  <c:v>2562.1857530165003</c:v>
                </c:pt>
                <c:pt idx="1300">
                  <c:v>2545.5927454523676</c:v>
                </c:pt>
                <c:pt idx="1301">
                  <c:v>2524.8650868230743</c:v>
                </c:pt>
                <c:pt idx="1302">
                  <c:v>2466.2727289654658</c:v>
                </c:pt>
                <c:pt idx="1303">
                  <c:v>2567.7737494748662</c:v>
                </c:pt>
                <c:pt idx="1304">
                  <c:v>2657.2516399132064</c:v>
                </c:pt>
                <c:pt idx="1305">
                  <c:v>2477.7751417031313</c:v>
                </c:pt>
                <c:pt idx="1306">
                  <c:v>2549.7273965175291</c:v>
                </c:pt>
                <c:pt idx="1307">
                  <c:v>2573.3539740327333</c:v>
                </c:pt>
                <c:pt idx="1308">
                  <c:v>2573.6959376546642</c:v>
                </c:pt>
                <c:pt idx="1309">
                  <c:v>2513.4326211898951</c:v>
                </c:pt>
                <c:pt idx="1310">
                  <c:v>2558.9992738121468</c:v>
                </c:pt>
                <c:pt idx="1311">
                  <c:v>2615.0502202067714</c:v>
                </c:pt>
                <c:pt idx="1312">
                  <c:v>2588.3148824921973</c:v>
                </c:pt>
                <c:pt idx="1313">
                  <c:v>2627.1588411833141</c:v>
                </c:pt>
                <c:pt idx="1314">
                  <c:v>2568.0923973953018</c:v>
                </c:pt>
                <c:pt idx="1315">
                  <c:v>2606.6721114694719</c:v>
                </c:pt>
                <c:pt idx="1316">
                  <c:v>2518.1579366929354</c:v>
                </c:pt>
                <c:pt idx="1317">
                  <c:v>2510.1373353785639</c:v>
                </c:pt>
                <c:pt idx="1318">
                  <c:v>2655.3475242910927</c:v>
                </c:pt>
                <c:pt idx="1319">
                  <c:v>2632.8401004476605</c:v>
                </c:pt>
                <c:pt idx="1320">
                  <c:v>2524.2355628827022</c:v>
                </c:pt>
                <c:pt idx="1321">
                  <c:v>2565.527670230822</c:v>
                </c:pt>
                <c:pt idx="1322">
                  <c:v>2664.6349453867078</c:v>
                </c:pt>
                <c:pt idx="1323">
                  <c:v>2552.2377203785195</c:v>
                </c:pt>
                <c:pt idx="1324">
                  <c:v>2634.4255681493391</c:v>
                </c:pt>
                <c:pt idx="1325">
                  <c:v>2512.2124328116424</c:v>
                </c:pt>
                <c:pt idx="1326">
                  <c:v>2596.0867829906201</c:v>
                </c:pt>
                <c:pt idx="1327">
                  <c:v>2567.8592403803491</c:v>
                </c:pt>
                <c:pt idx="1328">
                  <c:v>2604.3249975189483</c:v>
                </c:pt>
                <c:pt idx="1329">
                  <c:v>2569.8333031069483</c:v>
                </c:pt>
                <c:pt idx="1330">
                  <c:v>2621.2832844065065</c:v>
                </c:pt>
                <c:pt idx="1331">
                  <c:v>2604.1462438074841</c:v>
                </c:pt>
                <c:pt idx="1332">
                  <c:v>2572.5534682813964</c:v>
                </c:pt>
                <c:pt idx="1333">
                  <c:v>2570.4472832463234</c:v>
                </c:pt>
                <c:pt idx="1334">
                  <c:v>2614.3662929629104</c:v>
                </c:pt>
                <c:pt idx="1335">
                  <c:v>2639.8114951947459</c:v>
                </c:pt>
                <c:pt idx="1336">
                  <c:v>2596.6463598265063</c:v>
                </c:pt>
                <c:pt idx="1337">
                  <c:v>2580.5585257947714</c:v>
                </c:pt>
                <c:pt idx="1338">
                  <c:v>2671.6996029397742</c:v>
                </c:pt>
                <c:pt idx="1339">
                  <c:v>2582.4004662128978</c:v>
                </c:pt>
                <c:pt idx="1340">
                  <c:v>2539.2897341481471</c:v>
                </c:pt>
                <c:pt idx="1341">
                  <c:v>2581.0092960236798</c:v>
                </c:pt>
                <c:pt idx="1342">
                  <c:v>2559.263518429093</c:v>
                </c:pt>
                <c:pt idx="1343">
                  <c:v>2559.6443415535164</c:v>
                </c:pt>
                <c:pt idx="1344">
                  <c:v>2581.3668034466077</c:v>
                </c:pt>
                <c:pt idx="1345">
                  <c:v>2631.1846856414968</c:v>
                </c:pt>
                <c:pt idx="1346">
                  <c:v>2545.8492181688162</c:v>
                </c:pt>
                <c:pt idx="1347">
                  <c:v>2595.3950838462601</c:v>
                </c:pt>
                <c:pt idx="1348">
                  <c:v>2645.2129660411501</c:v>
                </c:pt>
                <c:pt idx="1349">
                  <c:v>2721.5641165376542</c:v>
                </c:pt>
                <c:pt idx="1350">
                  <c:v>2629.3116576213774</c:v>
                </c:pt>
                <c:pt idx="1351">
                  <c:v>2679.4404158362031</c:v>
                </c:pt>
                <c:pt idx="1352">
                  <c:v>2618.3299622171057</c:v>
                </c:pt>
                <c:pt idx="1353">
                  <c:v>2623.0785934216419</c:v>
                </c:pt>
                <c:pt idx="1354">
                  <c:v>2607.0995659968848</c:v>
                </c:pt>
                <c:pt idx="1355">
                  <c:v>2738.5612629277043</c:v>
                </c:pt>
                <c:pt idx="1356">
                  <c:v>2604.3249975189483</c:v>
                </c:pt>
                <c:pt idx="1357">
                  <c:v>2628.5111518700396</c:v>
                </c:pt>
                <c:pt idx="1358">
                  <c:v>2554.8801665479832</c:v>
                </c:pt>
                <c:pt idx="1359">
                  <c:v>2579.9290018543993</c:v>
                </c:pt>
                <c:pt idx="1360">
                  <c:v>2564.8826024894533</c:v>
                </c:pt>
                <c:pt idx="1361">
                  <c:v>2609.8896782758188</c:v>
                </c:pt>
                <c:pt idx="1362">
                  <c:v>2527.1033941666205</c:v>
                </c:pt>
                <c:pt idx="1363">
                  <c:v>2637.2467680302666</c:v>
                </c:pt>
                <c:pt idx="1364">
                  <c:v>2594.5090871894404</c:v>
                </c:pt>
                <c:pt idx="1365">
                  <c:v>2683.9636619262851</c:v>
                </c:pt>
                <c:pt idx="1366">
                  <c:v>2584.1258281235478</c:v>
                </c:pt>
                <c:pt idx="1367">
                  <c:v>2687.3133510411058</c:v>
                </c:pt>
                <c:pt idx="1368">
                  <c:v>2657.0262547987527</c:v>
                </c:pt>
                <c:pt idx="1369">
                  <c:v>2695.1241110420201</c:v>
                </c:pt>
                <c:pt idx="1370">
                  <c:v>2634.8374788757551</c:v>
                </c:pt>
                <c:pt idx="1371">
                  <c:v>2568.7063775346769</c:v>
                </c:pt>
                <c:pt idx="1372">
                  <c:v>2599.0012456775289</c:v>
                </c:pt>
                <c:pt idx="1373">
                  <c:v>2617.5061407642729</c:v>
                </c:pt>
                <c:pt idx="1374">
                  <c:v>2673.3472458454398</c:v>
                </c:pt>
                <c:pt idx="1375">
                  <c:v>2625.8687057005759</c:v>
                </c:pt>
                <c:pt idx="1376">
                  <c:v>2654.2516863208152</c:v>
                </c:pt>
                <c:pt idx="1377">
                  <c:v>2574.1467078835731</c:v>
                </c:pt>
                <c:pt idx="1378">
                  <c:v>2595.1386111298125</c:v>
                </c:pt>
                <c:pt idx="1379">
                  <c:v>2730.5018021108403</c:v>
                </c:pt>
                <c:pt idx="1380">
                  <c:v>2646.3476635139191</c:v>
                </c:pt>
                <c:pt idx="1381">
                  <c:v>2551.8957567565885</c:v>
                </c:pt>
                <c:pt idx="1382">
                  <c:v>2664.9613652076423</c:v>
                </c:pt>
                <c:pt idx="1383">
                  <c:v>2607.8378965442348</c:v>
                </c:pt>
                <c:pt idx="1384">
                  <c:v>2644.4590916928028</c:v>
                </c:pt>
                <c:pt idx="1385">
                  <c:v>2587.0402908104561</c:v>
                </c:pt>
                <c:pt idx="1386">
                  <c:v>2666.3991667998498</c:v>
                </c:pt>
                <c:pt idx="1387">
                  <c:v>2637.0213829158124</c:v>
                </c:pt>
                <c:pt idx="1388">
                  <c:v>2684.0025214287775</c:v>
                </c:pt>
                <c:pt idx="1389">
                  <c:v>2571.1933856941719</c:v>
                </c:pt>
                <c:pt idx="1390">
                  <c:v>2610.9466567436043</c:v>
                </c:pt>
                <c:pt idx="1391">
                  <c:v>2582.6180794268539</c:v>
                </c:pt>
                <c:pt idx="1392">
                  <c:v>2665.1168032176101</c:v>
                </c:pt>
                <c:pt idx="1393">
                  <c:v>2658.5884067989355</c:v>
                </c:pt>
                <c:pt idx="1394">
                  <c:v>2685.4869544239764</c:v>
                </c:pt>
                <c:pt idx="1395">
                  <c:v>2617.2108085453328</c:v>
                </c:pt>
                <c:pt idx="1396">
                  <c:v>2627.4153138997622</c:v>
                </c:pt>
                <c:pt idx="1397">
                  <c:v>2667.9924064020265</c:v>
                </c:pt>
                <c:pt idx="1398">
                  <c:v>2659.964033187156</c:v>
                </c:pt>
                <c:pt idx="1399">
                  <c:v>2541.7301109046516</c:v>
                </c:pt>
                <c:pt idx="1400">
                  <c:v>2659.6764728687144</c:v>
                </c:pt>
                <c:pt idx="1401">
                  <c:v>2661.0210116549415</c:v>
                </c:pt>
                <c:pt idx="1402">
                  <c:v>2729.0950881206259</c:v>
                </c:pt>
                <c:pt idx="1403">
                  <c:v>2671.8861285517364</c:v>
                </c:pt>
                <c:pt idx="1404">
                  <c:v>2606.3612354495349</c:v>
                </c:pt>
                <c:pt idx="1405">
                  <c:v>2642.0420306377932</c:v>
                </c:pt>
                <c:pt idx="1406">
                  <c:v>2650.7310153950298</c:v>
                </c:pt>
                <c:pt idx="1407">
                  <c:v>2642.8425363891306</c:v>
                </c:pt>
                <c:pt idx="1408">
                  <c:v>2638.6767977219765</c:v>
                </c:pt>
                <c:pt idx="1409">
                  <c:v>2679.3005216272318</c:v>
                </c:pt>
                <c:pt idx="1410">
                  <c:v>2583.0766215562603</c:v>
                </c:pt>
                <c:pt idx="1411">
                  <c:v>2674.0078573878059</c:v>
                </c:pt>
                <c:pt idx="1412">
                  <c:v>2608.754980803049</c:v>
                </c:pt>
                <c:pt idx="1413">
                  <c:v>2660.2515935055981</c:v>
                </c:pt>
                <c:pt idx="1414">
                  <c:v>2607.6435990317746</c:v>
                </c:pt>
                <c:pt idx="1415">
                  <c:v>2705.0876874809978</c:v>
                </c:pt>
                <c:pt idx="1416">
                  <c:v>2599.4753316079323</c:v>
                </c:pt>
                <c:pt idx="1417">
                  <c:v>2643.5186917324941</c:v>
                </c:pt>
                <c:pt idx="1418">
                  <c:v>2623.8480115709858</c:v>
                </c:pt>
                <c:pt idx="1419">
                  <c:v>2722.3801660899885</c:v>
                </c:pt>
                <c:pt idx="1420">
                  <c:v>2699.2820778086761</c:v>
                </c:pt>
                <c:pt idx="1421">
                  <c:v>2649.8217030367146</c:v>
                </c:pt>
                <c:pt idx="1422">
                  <c:v>2711.6005400986764</c:v>
                </c:pt>
                <c:pt idx="1423">
                  <c:v>2639.0109894434086</c:v>
                </c:pt>
                <c:pt idx="1424">
                  <c:v>2648.1429725290554</c:v>
                </c:pt>
                <c:pt idx="1425">
                  <c:v>2704.7690395605632</c:v>
                </c:pt>
                <c:pt idx="1426">
                  <c:v>2626.2573007254969</c:v>
                </c:pt>
                <c:pt idx="1427">
                  <c:v>2625.6588643871182</c:v>
                </c:pt>
                <c:pt idx="1428">
                  <c:v>2654.8656664601904</c:v>
                </c:pt>
                <c:pt idx="1429">
                  <c:v>2676.2073052288592</c:v>
                </c:pt>
                <c:pt idx="1430">
                  <c:v>2637.0136110153139</c:v>
                </c:pt>
                <c:pt idx="1431">
                  <c:v>2685.5646734289603</c:v>
                </c:pt>
                <c:pt idx="1432">
                  <c:v>2682.0284587021783</c:v>
                </c:pt>
                <c:pt idx="1433">
                  <c:v>2626.7624742578946</c:v>
                </c:pt>
                <c:pt idx="1434">
                  <c:v>2633.2364673730808</c:v>
                </c:pt>
                <c:pt idx="1435">
                  <c:v>2716.9398357410928</c:v>
                </c:pt>
                <c:pt idx="1436">
                  <c:v>2728.294582369288</c:v>
                </c:pt>
                <c:pt idx="1437">
                  <c:v>2627.8816279296675</c:v>
                </c:pt>
                <c:pt idx="1438">
                  <c:v>2700.6421603959006</c:v>
                </c:pt>
                <c:pt idx="1439">
                  <c:v>2744.1648031870673</c:v>
                </c:pt>
                <c:pt idx="1440">
                  <c:v>2630.4852145966388</c:v>
                </c:pt>
                <c:pt idx="1441">
                  <c:v>2654.3294053257996</c:v>
                </c:pt>
                <c:pt idx="1442">
                  <c:v>2668.6685617453895</c:v>
                </c:pt>
                <c:pt idx="1443">
                  <c:v>2644.2337065783486</c:v>
                </c:pt>
                <c:pt idx="1444">
                  <c:v>2739.7348199029666</c:v>
                </c:pt>
                <c:pt idx="1445">
                  <c:v>2597.4779531798376</c:v>
                </c:pt>
                <c:pt idx="1446">
                  <c:v>2758.8925546315786</c:v>
                </c:pt>
                <c:pt idx="1447">
                  <c:v>2695.6992316789037</c:v>
                </c:pt>
                <c:pt idx="1448">
                  <c:v>2627.3686824967713</c:v>
                </c:pt>
                <c:pt idx="1449">
                  <c:v>2711.3673830837238</c:v>
                </c:pt>
                <c:pt idx="1450">
                  <c:v>2688.9299063447775</c:v>
                </c:pt>
                <c:pt idx="1451">
                  <c:v>2625.3324445661847</c:v>
                </c:pt>
                <c:pt idx="1452">
                  <c:v>2667.261847755175</c:v>
                </c:pt>
                <c:pt idx="1453">
                  <c:v>2641.6845232148662</c:v>
                </c:pt>
                <c:pt idx="1454">
                  <c:v>2642.4617132647081</c:v>
                </c:pt>
                <c:pt idx="1455">
                  <c:v>2695.528249867938</c:v>
                </c:pt>
                <c:pt idx="1456">
                  <c:v>2724.6417891350297</c:v>
                </c:pt>
                <c:pt idx="1457">
                  <c:v>2697.4401373905503</c:v>
                </c:pt>
                <c:pt idx="1458">
                  <c:v>2661.0676430579324</c:v>
                </c:pt>
                <c:pt idx="1459">
                  <c:v>2692.3417706635851</c:v>
                </c:pt>
                <c:pt idx="1460">
                  <c:v>2695.3805837584682</c:v>
                </c:pt>
                <c:pt idx="1461">
                  <c:v>2690.7485310614079</c:v>
                </c:pt>
                <c:pt idx="1462">
                  <c:v>2741.7244264305627</c:v>
                </c:pt>
                <c:pt idx="1463">
                  <c:v>2724.2842817121018</c:v>
                </c:pt>
                <c:pt idx="1464">
                  <c:v>2696.1966333108026</c:v>
                </c:pt>
                <c:pt idx="1465">
                  <c:v>2585.7967867307084</c:v>
                </c:pt>
                <c:pt idx="1466">
                  <c:v>2678.8652951993204</c:v>
                </c:pt>
                <c:pt idx="1467">
                  <c:v>2652.4330616041848</c:v>
                </c:pt>
                <c:pt idx="1468">
                  <c:v>2594.8121913088785</c:v>
                </c:pt>
                <c:pt idx="1469">
                  <c:v>2770.845737598152</c:v>
                </c:pt>
                <c:pt idx="1470">
                  <c:v>2705.7716147248593</c:v>
                </c:pt>
                <c:pt idx="1471">
                  <c:v>2797.2779711932876</c:v>
                </c:pt>
                <c:pt idx="1472">
                  <c:v>2696.5852283357235</c:v>
                </c:pt>
                <c:pt idx="1473">
                  <c:v>2738.5457191267078</c:v>
                </c:pt>
                <c:pt idx="1474">
                  <c:v>2675.4301151790169</c:v>
                </c:pt>
                <c:pt idx="1475">
                  <c:v>2681.9196520952</c:v>
                </c:pt>
                <c:pt idx="1476">
                  <c:v>2725.9707841202599</c:v>
                </c:pt>
                <c:pt idx="1477">
                  <c:v>2724.470807324064</c:v>
                </c:pt>
                <c:pt idx="1478">
                  <c:v>2738.460228221225</c:v>
                </c:pt>
                <c:pt idx="1479">
                  <c:v>2640.6974918515662</c:v>
                </c:pt>
                <c:pt idx="1480">
                  <c:v>2658.2853026794969</c:v>
                </c:pt>
                <c:pt idx="1481">
                  <c:v>2710.7611748448467</c:v>
                </c:pt>
                <c:pt idx="1482">
                  <c:v>2712.5564838599821</c:v>
                </c:pt>
                <c:pt idx="1483">
                  <c:v>2675.624412691478</c:v>
                </c:pt>
                <c:pt idx="1484">
                  <c:v>2613.3326301966199</c:v>
                </c:pt>
                <c:pt idx="1485">
                  <c:v>2572.2037327589674</c:v>
                </c:pt>
                <c:pt idx="1486">
                  <c:v>2592.9313913882606</c:v>
                </c:pt>
                <c:pt idx="1487">
                  <c:v>2613.4336649030993</c:v>
                </c:pt>
                <c:pt idx="1488">
                  <c:v>2675.9741482139066</c:v>
                </c:pt>
                <c:pt idx="1489">
                  <c:v>2730.6572401208086</c:v>
                </c:pt>
                <c:pt idx="1490">
                  <c:v>2814.8735539217173</c:v>
                </c:pt>
                <c:pt idx="1491">
                  <c:v>2773.3949209616349</c:v>
                </c:pt>
                <c:pt idx="1492">
                  <c:v>2815.9383042900008</c:v>
                </c:pt>
                <c:pt idx="1493">
                  <c:v>2959.780638714808</c:v>
                </c:pt>
                <c:pt idx="1494">
                  <c:v>3005.7358863619811</c:v>
                </c:pt>
                <c:pt idx="1495">
                  <c:v>2985.948627692997</c:v>
                </c:pt>
                <c:pt idx="1496">
                  <c:v>2955.3661992317038</c:v>
                </c:pt>
                <c:pt idx="1497">
                  <c:v>3011.393829924833</c:v>
                </c:pt>
                <c:pt idx="1498">
                  <c:v>2912.6829216943665</c:v>
                </c:pt>
                <c:pt idx="1499">
                  <c:v>2951.5890555894703</c:v>
                </c:pt>
                <c:pt idx="1500">
                  <c:v>2917.8590074263161</c:v>
                </c:pt>
                <c:pt idx="1501">
                  <c:v>2976.8943636123345</c:v>
                </c:pt>
                <c:pt idx="1502">
                  <c:v>2893.1443638413321</c:v>
                </c:pt>
                <c:pt idx="1503">
                  <c:v>2851.6501870802531</c:v>
                </c:pt>
                <c:pt idx="1504">
                  <c:v>2692.1241574496294</c:v>
                </c:pt>
                <c:pt idx="1505">
                  <c:v>2549.5408709055669</c:v>
                </c:pt>
                <c:pt idx="1506">
                  <c:v>2190.6500496894041</c:v>
                </c:pt>
                <c:pt idx="1507">
                  <c:v>1453.2832180010539</c:v>
                </c:pt>
                <c:pt idx="1508">
                  <c:v>690.736205887864</c:v>
                </c:pt>
                <c:pt idx="1509">
                  <c:v>828.14262950992713</c:v>
                </c:pt>
                <c:pt idx="1510">
                  <c:v>1657.660885408075</c:v>
                </c:pt>
                <c:pt idx="1511">
                  <c:v>2044.4994608165655</c:v>
                </c:pt>
                <c:pt idx="1512">
                  <c:v>2285.0941845462366</c:v>
                </c:pt>
                <c:pt idx="1513">
                  <c:v>2410.7969032077249</c:v>
                </c:pt>
                <c:pt idx="1514">
                  <c:v>2562.4966290364373</c:v>
                </c:pt>
                <c:pt idx="1515">
                  <c:v>2638.008414279112</c:v>
                </c:pt>
                <c:pt idx="1516">
                  <c:v>2572.8798881023299</c:v>
                </c:pt>
                <c:pt idx="1517">
                  <c:v>2681.569916572771</c:v>
                </c:pt>
                <c:pt idx="1518">
                  <c:v>2556.8542292745824</c:v>
                </c:pt>
                <c:pt idx="1519">
                  <c:v>2713.1782358998562</c:v>
                </c:pt>
                <c:pt idx="1520">
                  <c:v>2673.5415433579005</c:v>
                </c:pt>
                <c:pt idx="1521">
                  <c:v>2737.8307042808528</c:v>
                </c:pt>
                <c:pt idx="1522">
                  <c:v>2730.0199442799385</c:v>
                </c:pt>
                <c:pt idx="1523">
                  <c:v>2645.1352470361653</c:v>
                </c:pt>
                <c:pt idx="1524">
                  <c:v>2700.9374926148407</c:v>
                </c:pt>
                <c:pt idx="1525">
                  <c:v>2725.1469626674275</c:v>
                </c:pt>
                <c:pt idx="1526">
                  <c:v>2758.8925546315786</c:v>
                </c:pt>
                <c:pt idx="1527">
                  <c:v>2679.6968885526512</c:v>
                </c:pt>
                <c:pt idx="1528">
                  <c:v>2751.991106988979</c:v>
                </c:pt>
                <c:pt idx="1529">
                  <c:v>2753.8719069095973</c:v>
                </c:pt>
                <c:pt idx="1530">
                  <c:v>2685.0206403940711</c:v>
                </c:pt>
                <c:pt idx="1531">
                  <c:v>2608.2575791711497</c:v>
                </c:pt>
                <c:pt idx="1532">
                  <c:v>2708.818199720241</c:v>
                </c:pt>
                <c:pt idx="1533">
                  <c:v>2710.15496660597</c:v>
                </c:pt>
                <c:pt idx="1534">
                  <c:v>2772.1514168818876</c:v>
                </c:pt>
                <c:pt idx="1535">
                  <c:v>2766.4079824135529</c:v>
                </c:pt>
                <c:pt idx="1536">
                  <c:v>2900.1002147874196</c:v>
                </c:pt>
                <c:pt idx="1537">
                  <c:v>2788.3636013215969</c:v>
                </c:pt>
                <c:pt idx="1538">
                  <c:v>3012.5596149995963</c:v>
                </c:pt>
                <c:pt idx="1539">
                  <c:v>2966.0991938200254</c:v>
                </c:pt>
                <c:pt idx="1540">
                  <c:v>2960.1692337397285</c:v>
                </c:pt>
                <c:pt idx="1541">
                  <c:v>2977.2596429357604</c:v>
                </c:pt>
                <c:pt idx="1542">
                  <c:v>2949.327432544429</c:v>
                </c:pt>
                <c:pt idx="1543">
                  <c:v>3021.9014393986999</c:v>
                </c:pt>
                <c:pt idx="1544">
                  <c:v>2927.2086037259182</c:v>
                </c:pt>
                <c:pt idx="1545">
                  <c:v>2845.8678931094269</c:v>
                </c:pt>
                <c:pt idx="1546">
                  <c:v>2841.4145941238303</c:v>
                </c:pt>
                <c:pt idx="1547">
                  <c:v>2801.2649561489789</c:v>
                </c:pt>
                <c:pt idx="1548">
                  <c:v>2665.202294123093</c:v>
                </c:pt>
                <c:pt idx="1549">
                  <c:v>2534.3778930331437</c:v>
                </c:pt>
                <c:pt idx="1550">
                  <c:v>2402.9395118038196</c:v>
                </c:pt>
                <c:pt idx="1551">
                  <c:v>2126.8582903983506</c:v>
                </c:pt>
                <c:pt idx="1552">
                  <c:v>1810.8916756349765</c:v>
                </c:pt>
                <c:pt idx="1553">
                  <c:v>1350.2278173919692</c:v>
                </c:pt>
                <c:pt idx="1554">
                  <c:v>946.33769228993924</c:v>
                </c:pt>
                <c:pt idx="1555">
                  <c:v>1022.4401419704941</c:v>
                </c:pt>
                <c:pt idx="1556">
                  <c:v>1319.5987575276852</c:v>
                </c:pt>
                <c:pt idx="1557">
                  <c:v>1865.3649262284212</c:v>
                </c:pt>
                <c:pt idx="1558">
                  <c:v>2150.6869373265145</c:v>
                </c:pt>
                <c:pt idx="1559">
                  <c:v>2379.7947921195168</c:v>
                </c:pt>
                <c:pt idx="1560">
                  <c:v>2560.3438125983744</c:v>
                </c:pt>
                <c:pt idx="1561">
                  <c:v>2628.0836973426258</c:v>
                </c:pt>
                <c:pt idx="1562">
                  <c:v>2737.0068828280205</c:v>
                </c:pt>
                <c:pt idx="1563">
                  <c:v>2746.5585485405813</c:v>
                </c:pt>
                <c:pt idx="1564">
                  <c:v>2591.0272757661469</c:v>
                </c:pt>
                <c:pt idx="1565">
                  <c:v>2720.5382256718626</c:v>
                </c:pt>
                <c:pt idx="1566">
                  <c:v>2708.9114625262223</c:v>
                </c:pt>
                <c:pt idx="1567">
                  <c:v>2762.2966470498873</c:v>
                </c:pt>
                <c:pt idx="1568">
                  <c:v>2784.9517370027893</c:v>
                </c:pt>
                <c:pt idx="1569">
                  <c:v>2850.2978763935275</c:v>
                </c:pt>
                <c:pt idx="1570">
                  <c:v>2755.465146511774</c:v>
                </c:pt>
                <c:pt idx="1571">
                  <c:v>2786.1486096795466</c:v>
                </c:pt>
                <c:pt idx="1572">
                  <c:v>2817.3683339817107</c:v>
                </c:pt>
                <c:pt idx="1573">
                  <c:v>2809.852906199736</c:v>
                </c:pt>
                <c:pt idx="1574">
                  <c:v>2783.0243056791805</c:v>
                </c:pt>
                <c:pt idx="1575">
                  <c:v>2814.9745886281967</c:v>
                </c:pt>
                <c:pt idx="1576">
                  <c:v>2749.7838872474272</c:v>
                </c:pt>
                <c:pt idx="1577">
                  <c:v>2912.3720456744295</c:v>
                </c:pt>
                <c:pt idx="1578">
                  <c:v>2804.2649097413696</c:v>
                </c:pt>
                <c:pt idx="1579">
                  <c:v>2958.4827313315714</c:v>
                </c:pt>
                <c:pt idx="1580">
                  <c:v>2827.5028922316542</c:v>
                </c:pt>
                <c:pt idx="1581">
                  <c:v>2849.629492950663</c:v>
                </c:pt>
                <c:pt idx="1582">
                  <c:v>2792.2106920683163</c:v>
                </c:pt>
                <c:pt idx="1583">
                  <c:v>2787.236675749326</c:v>
                </c:pt>
                <c:pt idx="1584">
                  <c:v>2904.0561121411174</c:v>
                </c:pt>
                <c:pt idx="1585">
                  <c:v>2873.4969993813193</c:v>
                </c:pt>
                <c:pt idx="1586">
                  <c:v>2852.8159721550164</c:v>
                </c:pt>
                <c:pt idx="1587">
                  <c:v>2777.3896778178241</c:v>
                </c:pt>
                <c:pt idx="1588">
                  <c:v>2958.4127842270855</c:v>
                </c:pt>
                <c:pt idx="1589">
                  <c:v>2921.3485907501076</c:v>
                </c:pt>
                <c:pt idx="1590">
                  <c:v>2977.6093784581894</c:v>
                </c:pt>
                <c:pt idx="1591">
                  <c:v>3103.3198690201762</c:v>
                </c:pt>
                <c:pt idx="1592">
                  <c:v>3079.048223763602</c:v>
                </c:pt>
                <c:pt idx="1593">
                  <c:v>3016.8497040747257</c:v>
                </c:pt>
                <c:pt idx="1594">
                  <c:v>3016.5310561542901</c:v>
                </c:pt>
                <c:pt idx="1595">
                  <c:v>3021.8314922942145</c:v>
                </c:pt>
                <c:pt idx="1596">
                  <c:v>2917.6880256153504</c:v>
                </c:pt>
                <c:pt idx="1597">
                  <c:v>2851.0517507418745</c:v>
                </c:pt>
                <c:pt idx="1598">
                  <c:v>2769.8587062348529</c:v>
                </c:pt>
                <c:pt idx="1599">
                  <c:v>2663.9043867398564</c:v>
                </c:pt>
                <c:pt idx="1600">
                  <c:v>2573.6959376546642</c:v>
                </c:pt>
                <c:pt idx="1601">
                  <c:v>2403.8099646596429</c:v>
                </c:pt>
                <c:pt idx="1602">
                  <c:v>2264.7162614393724</c:v>
                </c:pt>
                <c:pt idx="1603">
                  <c:v>2069.9368911479032</c:v>
                </c:pt>
                <c:pt idx="1604">
                  <c:v>1881.8413552850773</c:v>
                </c:pt>
                <c:pt idx="1605">
                  <c:v>1762.5349107337906</c:v>
                </c:pt>
                <c:pt idx="1606">
                  <c:v>1570.0482510893562</c:v>
                </c:pt>
                <c:pt idx="1607">
                  <c:v>1453.0034295831106</c:v>
                </c:pt>
                <c:pt idx="1608">
                  <c:v>1379.644460778499</c:v>
                </c:pt>
                <c:pt idx="1609">
                  <c:v>1335.1270147235336</c:v>
                </c:pt>
                <c:pt idx="1610">
                  <c:v>1364.3182729956095</c:v>
                </c:pt>
                <c:pt idx="1611">
                  <c:v>1395.6079444022591</c:v>
                </c:pt>
                <c:pt idx="1612">
                  <c:v>1470.0627511771484</c:v>
                </c:pt>
                <c:pt idx="1613">
                  <c:v>1531.9503948460883</c:v>
                </c:pt>
                <c:pt idx="1614">
                  <c:v>1725.0199470279044</c:v>
                </c:pt>
                <c:pt idx="1615">
                  <c:v>1839.8264611906043</c:v>
                </c:pt>
                <c:pt idx="1616">
                  <c:v>1872.6471969954432</c:v>
                </c:pt>
                <c:pt idx="1617">
                  <c:v>1985.0755096056257</c:v>
                </c:pt>
                <c:pt idx="1618">
                  <c:v>2045.16784425943</c:v>
                </c:pt>
                <c:pt idx="1619">
                  <c:v>2087.7578589907862</c:v>
                </c:pt>
                <c:pt idx="1620">
                  <c:v>2168.9120439953158</c:v>
                </c:pt>
                <c:pt idx="1621">
                  <c:v>2158.7308543423819</c:v>
                </c:pt>
                <c:pt idx="1622">
                  <c:v>2261.3121690210633</c:v>
                </c:pt>
                <c:pt idx="1623">
                  <c:v>2293.596643691511</c:v>
                </c:pt>
                <c:pt idx="1624">
                  <c:v>2354.0153981662488</c:v>
                </c:pt>
                <c:pt idx="1625">
                  <c:v>2325.9666092674415</c:v>
                </c:pt>
                <c:pt idx="1626">
                  <c:v>2405.2322224508544</c:v>
                </c:pt>
                <c:pt idx="1627">
                  <c:v>2363.629239082798</c:v>
                </c:pt>
                <c:pt idx="1628">
                  <c:v>2405.7218521822551</c:v>
                </c:pt>
                <c:pt idx="1629">
                  <c:v>2445.8404025551131</c:v>
                </c:pt>
                <c:pt idx="1630">
                  <c:v>2447.5424487642672</c:v>
                </c:pt>
                <c:pt idx="1631">
                  <c:v>2428.796624762072</c:v>
                </c:pt>
                <c:pt idx="1632">
                  <c:v>2494.4614120732449</c:v>
                </c:pt>
                <c:pt idx="1633">
                  <c:v>2413.6336468896493</c:v>
                </c:pt>
                <c:pt idx="1634">
                  <c:v>2438.1539929621727</c:v>
                </c:pt>
                <c:pt idx="1635">
                  <c:v>2435.7369319071631</c:v>
                </c:pt>
                <c:pt idx="1636">
                  <c:v>2400.9499052762235</c:v>
                </c:pt>
                <c:pt idx="1637">
                  <c:v>2485.3682884900904</c:v>
                </c:pt>
                <c:pt idx="1638">
                  <c:v>2476.3528839119203</c:v>
                </c:pt>
                <c:pt idx="1639">
                  <c:v>2421.1257589701286</c:v>
                </c:pt>
                <c:pt idx="1640">
                  <c:v>2441.9389085049047</c:v>
                </c:pt>
                <c:pt idx="1641">
                  <c:v>2549.7740279205195</c:v>
                </c:pt>
                <c:pt idx="1642">
                  <c:v>2478.023842519081</c:v>
                </c:pt>
                <c:pt idx="1643">
                  <c:v>2469.6612775827784</c:v>
                </c:pt>
                <c:pt idx="1644">
                  <c:v>2419.9444300943683</c:v>
                </c:pt>
                <c:pt idx="1645">
                  <c:v>2531.3157642367651</c:v>
                </c:pt>
                <c:pt idx="1646">
                  <c:v>2489.5495709582419</c:v>
                </c:pt>
                <c:pt idx="1647">
                  <c:v>2406.2503414161474</c:v>
                </c:pt>
                <c:pt idx="1648">
                  <c:v>2361.2354937292835</c:v>
                </c:pt>
                <c:pt idx="1649">
                  <c:v>2390.6365933148168</c:v>
                </c:pt>
                <c:pt idx="1650">
                  <c:v>2393.5665998027216</c:v>
                </c:pt>
                <c:pt idx="1651">
                  <c:v>2378.7999888557188</c:v>
                </c:pt>
                <c:pt idx="1652">
                  <c:v>2272.2161454203501</c:v>
                </c:pt>
                <c:pt idx="1653">
                  <c:v>2342.5363011300788</c:v>
                </c:pt>
                <c:pt idx="1654">
                  <c:v>2343.9741027222867</c:v>
                </c:pt>
                <c:pt idx="1655">
                  <c:v>2250.0506851988484</c:v>
                </c:pt>
                <c:pt idx="1656">
                  <c:v>2261.4986946330255</c:v>
                </c:pt>
                <c:pt idx="1657">
                  <c:v>2137.008392449291</c:v>
                </c:pt>
                <c:pt idx="1658">
                  <c:v>2118.9698113924519</c:v>
                </c:pt>
                <c:pt idx="1659">
                  <c:v>2121.386872447461</c:v>
                </c:pt>
                <c:pt idx="1660">
                  <c:v>2028.1318383668875</c:v>
                </c:pt>
                <c:pt idx="1661">
                  <c:v>2107.1487507343509</c:v>
                </c:pt>
                <c:pt idx="1662">
                  <c:v>2041.7715237416191</c:v>
                </c:pt>
                <c:pt idx="1663">
                  <c:v>2037.3026809550261</c:v>
                </c:pt>
                <c:pt idx="1664">
                  <c:v>1964.0058873544019</c:v>
                </c:pt>
                <c:pt idx="1665">
                  <c:v>1904.0456750090707</c:v>
                </c:pt>
                <c:pt idx="1666">
                  <c:v>1845.4688609524592</c:v>
                </c:pt>
                <c:pt idx="1667">
                  <c:v>1900.004286749891</c:v>
                </c:pt>
                <c:pt idx="1668">
                  <c:v>1901.877314770011</c:v>
                </c:pt>
                <c:pt idx="1669">
                  <c:v>1774.3326556903965</c:v>
                </c:pt>
                <c:pt idx="1670">
                  <c:v>1809.1507699233298</c:v>
                </c:pt>
                <c:pt idx="1671">
                  <c:v>1769.7627781973238</c:v>
                </c:pt>
                <c:pt idx="1672">
                  <c:v>1768.4260113115952</c:v>
                </c:pt>
                <c:pt idx="1673">
                  <c:v>1676.8963391416712</c:v>
                </c:pt>
                <c:pt idx="1674">
                  <c:v>1630.2416204496399</c:v>
                </c:pt>
                <c:pt idx="1675">
                  <c:v>1586.1671727230848</c:v>
                </c:pt>
                <c:pt idx="1676">
                  <c:v>1571.1596328606308</c:v>
                </c:pt>
                <c:pt idx="1677">
                  <c:v>1513.0180452319305</c:v>
                </c:pt>
                <c:pt idx="1678">
                  <c:v>1550.315395723861</c:v>
                </c:pt>
                <c:pt idx="1679">
                  <c:v>1453.0733766875965</c:v>
                </c:pt>
                <c:pt idx="1680">
                  <c:v>1388.7686719636472</c:v>
                </c:pt>
                <c:pt idx="1681">
                  <c:v>1359.3753442786126</c:v>
                </c:pt>
                <c:pt idx="1682">
                  <c:v>1310.2647050290798</c:v>
                </c:pt>
                <c:pt idx="1683">
                  <c:v>1255.5349817191873</c:v>
                </c:pt>
                <c:pt idx="1684">
                  <c:v>1273.5891065770231</c:v>
                </c:pt>
                <c:pt idx="1685">
                  <c:v>1269.9829447457548</c:v>
                </c:pt>
                <c:pt idx="1686">
                  <c:v>1199.9892088569602</c:v>
                </c:pt>
                <c:pt idx="1687">
                  <c:v>1119.2702502803425</c:v>
                </c:pt>
                <c:pt idx="1688">
                  <c:v>1133.6638100034211</c:v>
                </c:pt>
                <c:pt idx="1689">
                  <c:v>1211.9501637240328</c:v>
                </c:pt>
                <c:pt idx="1690">
                  <c:v>1274.5683660398242</c:v>
                </c:pt>
                <c:pt idx="1691">
                  <c:v>1317.7101857065686</c:v>
                </c:pt>
                <c:pt idx="1692">
                  <c:v>1409.0300165630351</c:v>
                </c:pt>
                <c:pt idx="1693">
                  <c:v>1535.5565566773564</c:v>
                </c:pt>
                <c:pt idx="1694">
                  <c:v>1558.2815937347443</c:v>
                </c:pt>
                <c:pt idx="1695">
                  <c:v>1514.1605146051988</c:v>
                </c:pt>
                <c:pt idx="1696">
                  <c:v>1591.6385906739742</c:v>
                </c:pt>
                <c:pt idx="1697">
                  <c:v>1591.1489609425737</c:v>
                </c:pt>
                <c:pt idx="1698">
                  <c:v>1605.5425206656525</c:v>
                </c:pt>
                <c:pt idx="1699">
                  <c:v>1697.2742622485355</c:v>
                </c:pt>
                <c:pt idx="1700">
                  <c:v>1712.2740302104912</c:v>
                </c:pt>
                <c:pt idx="1701">
                  <c:v>1693.1162954818794</c:v>
                </c:pt>
                <c:pt idx="1702">
                  <c:v>1719.4630381715322</c:v>
                </c:pt>
                <c:pt idx="1703">
                  <c:v>1724.5458610975006</c:v>
                </c:pt>
                <c:pt idx="1704">
                  <c:v>1743.3150008011914</c:v>
                </c:pt>
                <c:pt idx="1705">
                  <c:v>1794.3608432748317</c:v>
                </c:pt>
                <c:pt idx="1706">
                  <c:v>1748.4599989311473</c:v>
                </c:pt>
                <c:pt idx="1707">
                  <c:v>1844.3885667831785</c:v>
                </c:pt>
                <c:pt idx="1708">
                  <c:v>1814.1247862423204</c:v>
                </c:pt>
                <c:pt idx="1709">
                  <c:v>1900.0820057548754</c:v>
                </c:pt>
                <c:pt idx="1710">
                  <c:v>1881.5149354641435</c:v>
                </c:pt>
                <c:pt idx="1711">
                  <c:v>1836.7021571902383</c:v>
                </c:pt>
                <c:pt idx="1712">
                  <c:v>1909.7580218754117</c:v>
                </c:pt>
                <c:pt idx="1713">
                  <c:v>1922.0298527624209</c:v>
                </c:pt>
                <c:pt idx="1714">
                  <c:v>1994.1530893877834</c:v>
                </c:pt>
                <c:pt idx="1715">
                  <c:v>1761.7732644849455</c:v>
                </c:pt>
                <c:pt idx="1716">
                  <c:v>2016.2097430023071</c:v>
                </c:pt>
                <c:pt idx="1717">
                  <c:v>2005.6865897274427</c:v>
                </c:pt>
                <c:pt idx="1718">
                  <c:v>1957.2676496222696</c:v>
                </c:pt>
                <c:pt idx="1719">
                  <c:v>2089.2034324834926</c:v>
                </c:pt>
                <c:pt idx="1720">
                  <c:v>2176.0466486528676</c:v>
                </c:pt>
                <c:pt idx="1721">
                  <c:v>2041.7015766371333</c:v>
                </c:pt>
                <c:pt idx="1722">
                  <c:v>1743.7968586320937</c:v>
                </c:pt>
                <c:pt idx="1723">
                  <c:v>1920.926242891645</c:v>
                </c:pt>
                <c:pt idx="1724">
                  <c:v>2169.1218853087735</c:v>
                </c:pt>
                <c:pt idx="1725">
                  <c:v>2171.0726323338772</c:v>
                </c:pt>
                <c:pt idx="1726">
                  <c:v>2261.0556963046151</c:v>
                </c:pt>
                <c:pt idx="1727">
                  <c:v>2351.3807238972836</c:v>
                </c:pt>
                <c:pt idx="1728">
                  <c:v>2421.4521787910626</c:v>
                </c:pt>
                <c:pt idx="1729">
                  <c:v>2458.3997937605641</c:v>
                </c:pt>
                <c:pt idx="1730">
                  <c:v>2605.7627991111563</c:v>
                </c:pt>
                <c:pt idx="1731">
                  <c:v>2664.6815767896983</c:v>
                </c:pt>
                <c:pt idx="1732">
                  <c:v>2766.1903691995972</c:v>
                </c:pt>
                <c:pt idx="1733">
                  <c:v>2788.2625666151175</c:v>
                </c:pt>
                <c:pt idx="1734">
                  <c:v>2633.3452739800582</c:v>
                </c:pt>
                <c:pt idx="1735">
                  <c:v>2490.6376370280213</c:v>
                </c:pt>
                <c:pt idx="1736">
                  <c:v>2628.1691882481086</c:v>
                </c:pt>
                <c:pt idx="1737">
                  <c:v>2595.9313449806514</c:v>
                </c:pt>
                <c:pt idx="1738">
                  <c:v>2723.4060569557805</c:v>
                </c:pt>
                <c:pt idx="1739">
                  <c:v>2641.9332240308154</c:v>
                </c:pt>
                <c:pt idx="1740">
                  <c:v>2674.8860821441276</c:v>
                </c:pt>
                <c:pt idx="1741">
                  <c:v>2723.1806718413263</c:v>
                </c:pt>
                <c:pt idx="1742">
                  <c:v>2741.2736562016539</c:v>
                </c:pt>
                <c:pt idx="1743">
                  <c:v>2802.1431809053006</c:v>
                </c:pt>
                <c:pt idx="1744">
                  <c:v>2722.022658667061</c:v>
                </c:pt>
                <c:pt idx="1745">
                  <c:v>2758.8226075270923</c:v>
                </c:pt>
                <c:pt idx="1746">
                  <c:v>2836.1374736854013</c:v>
                </c:pt>
                <c:pt idx="1747">
                  <c:v>2828.9640095253576</c:v>
                </c:pt>
                <c:pt idx="1748">
                  <c:v>2858.2873901059061</c:v>
                </c:pt>
                <c:pt idx="1749">
                  <c:v>2275.7679039481291</c:v>
                </c:pt>
                <c:pt idx="1750">
                  <c:v>2553.6988376722229</c:v>
                </c:pt>
                <c:pt idx="1751">
                  <c:v>2539.8648547850307</c:v>
                </c:pt>
                <c:pt idx="1752">
                  <c:v>2644.8710024192192</c:v>
                </c:pt>
                <c:pt idx="1753">
                  <c:v>2572.7943971968471</c:v>
                </c:pt>
                <c:pt idx="1754">
                  <c:v>2654.9977887686637</c:v>
                </c:pt>
                <c:pt idx="1755">
                  <c:v>2794.8298225362851</c:v>
                </c:pt>
                <c:pt idx="1756">
                  <c:v>2814.8813258222153</c:v>
                </c:pt>
                <c:pt idx="1757">
                  <c:v>2865.1033468430228</c:v>
                </c:pt>
                <c:pt idx="1758">
                  <c:v>2963.3712567450793</c:v>
                </c:pt>
                <c:pt idx="1759">
                  <c:v>2956.3843181969969</c:v>
                </c:pt>
                <c:pt idx="1760">
                  <c:v>2951.6823183954516</c:v>
                </c:pt>
                <c:pt idx="1761">
                  <c:v>2996.8836916942773</c:v>
                </c:pt>
                <c:pt idx="1762">
                  <c:v>2945.3015880862463</c:v>
                </c:pt>
                <c:pt idx="1763">
                  <c:v>2931.3743423930728</c:v>
                </c:pt>
                <c:pt idx="1764">
                  <c:v>2963.9696930834575</c:v>
                </c:pt>
                <c:pt idx="1765">
                  <c:v>2878.3622090933318</c:v>
                </c:pt>
                <c:pt idx="1766">
                  <c:v>2957.0604735403599</c:v>
                </c:pt>
                <c:pt idx="1767">
                  <c:v>2888.4579078407828</c:v>
                </c:pt>
                <c:pt idx="1768">
                  <c:v>2915.162157953363</c:v>
                </c:pt>
                <c:pt idx="1769">
                  <c:v>2999.852557684675</c:v>
                </c:pt>
                <c:pt idx="1770">
                  <c:v>2961.6381229339308</c:v>
                </c:pt>
                <c:pt idx="1771">
                  <c:v>2939.1229271900006</c:v>
                </c:pt>
                <c:pt idx="1772">
                  <c:v>2797.2235678897991</c:v>
                </c:pt>
                <c:pt idx="1773">
                  <c:v>2683.6061545033581</c:v>
                </c:pt>
                <c:pt idx="1774">
                  <c:v>2794.5966655213324</c:v>
                </c:pt>
                <c:pt idx="1775">
                  <c:v>2872.3778457095464</c:v>
                </c:pt>
                <c:pt idx="1776">
                  <c:v>2797.2468835912941</c:v>
                </c:pt>
                <c:pt idx="1777">
                  <c:v>2526.6914834402037</c:v>
                </c:pt>
                <c:pt idx="1778">
                  <c:v>2710.3648079194272</c:v>
                </c:pt>
                <c:pt idx="1779">
                  <c:v>2753.9418540140832</c:v>
                </c:pt>
                <c:pt idx="1780">
                  <c:v>2809.0057690454078</c:v>
                </c:pt>
                <c:pt idx="1781">
                  <c:v>2700.9530364158372</c:v>
                </c:pt>
                <c:pt idx="1782">
                  <c:v>2638.5913068164937</c:v>
                </c:pt>
                <c:pt idx="1783">
                  <c:v>2597.3536027718633</c:v>
                </c:pt>
                <c:pt idx="1784">
                  <c:v>2616.3714432915031</c:v>
                </c:pt>
                <c:pt idx="1785">
                  <c:v>2606.7109709719639</c:v>
                </c:pt>
                <c:pt idx="1786">
                  <c:v>2643.231131414052</c:v>
                </c:pt>
                <c:pt idx="1787">
                  <c:v>2737.9550546888277</c:v>
                </c:pt>
                <c:pt idx="1788">
                  <c:v>2694.9375854300583</c:v>
                </c:pt>
                <c:pt idx="1789">
                  <c:v>2796.0033795115464</c:v>
                </c:pt>
                <c:pt idx="1790">
                  <c:v>2748.167331943755</c:v>
                </c:pt>
                <c:pt idx="1791">
                  <c:v>2732.2271640214904</c:v>
                </c:pt>
                <c:pt idx="1792">
                  <c:v>2696.7251225446953</c:v>
                </c:pt>
                <c:pt idx="1793">
                  <c:v>2741.6622512265753</c:v>
                </c:pt>
                <c:pt idx="1794">
                  <c:v>2768.2421509311807</c:v>
                </c:pt>
                <c:pt idx="1795">
                  <c:v>2680.862673627415</c:v>
                </c:pt>
                <c:pt idx="1796">
                  <c:v>2725.4578386873641</c:v>
                </c:pt>
                <c:pt idx="1797">
                  <c:v>2524.2666504846961</c:v>
                </c:pt>
                <c:pt idx="1798">
                  <c:v>2582.0895901929607</c:v>
                </c:pt>
                <c:pt idx="1799">
                  <c:v>2746.6207237445692</c:v>
                </c:pt>
                <c:pt idx="1800">
                  <c:v>2716.8621167361089</c:v>
                </c:pt>
                <c:pt idx="1801">
                  <c:v>2730.2375574938942</c:v>
                </c:pt>
                <c:pt idx="1802">
                  <c:v>2594.3691929804686</c:v>
                </c:pt>
                <c:pt idx="1803">
                  <c:v>2496.0624235759201</c:v>
                </c:pt>
                <c:pt idx="1804">
                  <c:v>2502.3032596761536</c:v>
                </c:pt>
                <c:pt idx="1805">
                  <c:v>2407.6181959038699</c:v>
                </c:pt>
                <c:pt idx="1806">
                  <c:v>2467.1043223187971</c:v>
                </c:pt>
                <c:pt idx="1807">
                  <c:v>2445.203106714242</c:v>
                </c:pt>
                <c:pt idx="1808">
                  <c:v>2473.0731419015856</c:v>
                </c:pt>
                <c:pt idx="1809">
                  <c:v>2446.0191562665764</c:v>
                </c:pt>
                <c:pt idx="1810">
                  <c:v>2466.4359388759326</c:v>
                </c:pt>
                <c:pt idx="1811">
                  <c:v>2537.0125673021093</c:v>
                </c:pt>
                <c:pt idx="1812">
                  <c:v>2521.6786076187213</c:v>
                </c:pt>
                <c:pt idx="1813">
                  <c:v>2566.879980917548</c:v>
                </c:pt>
                <c:pt idx="1814">
                  <c:v>2597.0504986524247</c:v>
                </c:pt>
                <c:pt idx="1815">
                  <c:v>2572.0016633460082</c:v>
                </c:pt>
                <c:pt idx="1816">
                  <c:v>2599.1644555879957</c:v>
                </c:pt>
                <c:pt idx="1817">
                  <c:v>2653.0004103405695</c:v>
                </c:pt>
                <c:pt idx="1818">
                  <c:v>2614.9258697987966</c:v>
                </c:pt>
                <c:pt idx="1819">
                  <c:v>2646.1378222004619</c:v>
                </c:pt>
                <c:pt idx="1820">
                  <c:v>2663.6945454263991</c:v>
                </c:pt>
                <c:pt idx="1821">
                  <c:v>2528.6189147638129</c:v>
                </c:pt>
                <c:pt idx="1822">
                  <c:v>2603.7965082850551</c:v>
                </c:pt>
                <c:pt idx="1823">
                  <c:v>2429.1075007820086</c:v>
                </c:pt>
                <c:pt idx="1824">
                  <c:v>2563.6390984097052</c:v>
                </c:pt>
                <c:pt idx="1825">
                  <c:v>2391.6391684791129</c:v>
                </c:pt>
                <c:pt idx="1826">
                  <c:v>2355.4065683554663</c:v>
                </c:pt>
                <c:pt idx="1827">
                  <c:v>2326.8215183222678</c:v>
                </c:pt>
                <c:pt idx="1828">
                  <c:v>2195.6473817098899</c:v>
                </c:pt>
                <c:pt idx="1829">
                  <c:v>2388.2817074637946</c:v>
                </c:pt>
                <c:pt idx="1830">
                  <c:v>2343.5311043938768</c:v>
                </c:pt>
                <c:pt idx="1831">
                  <c:v>2377.1212583480592</c:v>
                </c:pt>
                <c:pt idx="1832">
                  <c:v>2463.4282133830434</c:v>
                </c:pt>
                <c:pt idx="1833">
                  <c:v>2419.7190449799141</c:v>
                </c:pt>
                <c:pt idx="1834">
                  <c:v>2411.037832123176</c:v>
                </c:pt>
                <c:pt idx="1835">
                  <c:v>2382.4683258909745</c:v>
                </c:pt>
                <c:pt idx="1836">
                  <c:v>2489.4329924507656</c:v>
                </c:pt>
                <c:pt idx="1837">
                  <c:v>2338.6037194778764</c:v>
                </c:pt>
                <c:pt idx="1838">
                  <c:v>2326.1842224813972</c:v>
                </c:pt>
                <c:pt idx="1839">
                  <c:v>2255.7397163636942</c:v>
                </c:pt>
                <c:pt idx="1840">
                  <c:v>2241.4161037451008</c:v>
                </c:pt>
                <c:pt idx="1841">
                  <c:v>2094.5815876284014</c:v>
                </c:pt>
                <c:pt idx="1842">
                  <c:v>2017.8807016094679</c:v>
                </c:pt>
                <c:pt idx="1843">
                  <c:v>2058.9940552461239</c:v>
                </c:pt>
                <c:pt idx="1844">
                  <c:v>2095.6385660961869</c:v>
                </c:pt>
                <c:pt idx="1845">
                  <c:v>2253.2837958061923</c:v>
                </c:pt>
                <c:pt idx="1846">
                  <c:v>1487.2231074776657</c:v>
                </c:pt>
                <c:pt idx="1847">
                  <c:v>2045.4554045778716</c:v>
                </c:pt>
                <c:pt idx="1848">
                  <c:v>2067.4187953864139</c:v>
                </c:pt>
                <c:pt idx="1849">
                  <c:v>2043.2792724383132</c:v>
                </c:pt>
                <c:pt idx="1850">
                  <c:v>1964.7053583992597</c:v>
                </c:pt>
                <c:pt idx="1851">
                  <c:v>2035.5151438403889</c:v>
                </c:pt>
                <c:pt idx="1852">
                  <c:v>1818.034052193027</c:v>
                </c:pt>
                <c:pt idx="1853">
                  <c:v>1831.7747722742383</c:v>
                </c:pt>
                <c:pt idx="1854">
                  <c:v>1758.0349803452041</c:v>
                </c:pt>
                <c:pt idx="1855">
                  <c:v>1884.9112559819544</c:v>
                </c:pt>
                <c:pt idx="1856">
                  <c:v>1787.7314121496772</c:v>
                </c:pt>
                <c:pt idx="1857">
                  <c:v>1835.7695291304276</c:v>
                </c:pt>
                <c:pt idx="1858">
                  <c:v>1785.2754915921755</c:v>
                </c:pt>
                <c:pt idx="1859">
                  <c:v>1730.9732228096964</c:v>
                </c:pt>
                <c:pt idx="1860">
                  <c:v>1620.7443580405672</c:v>
                </c:pt>
                <c:pt idx="1861">
                  <c:v>1631.0265823999805</c:v>
                </c:pt>
                <c:pt idx="1862">
                  <c:v>1477.7258450685931</c:v>
                </c:pt>
                <c:pt idx="1863">
                  <c:v>1577.6103102743214</c:v>
                </c:pt>
                <c:pt idx="1864">
                  <c:v>1493.5261187818865</c:v>
                </c:pt>
                <c:pt idx="1865">
                  <c:v>1341.181325211805</c:v>
                </c:pt>
                <c:pt idx="1866">
                  <c:v>1364.326044896108</c:v>
                </c:pt>
                <c:pt idx="1867">
                  <c:v>1406.3875703935714</c:v>
                </c:pt>
                <c:pt idx="1868">
                  <c:v>1225.3411482828151</c:v>
                </c:pt>
                <c:pt idx="1869">
                  <c:v>1202.7093740314081</c:v>
                </c:pt>
                <c:pt idx="1870">
                  <c:v>1159.9328336880897</c:v>
                </c:pt>
                <c:pt idx="1871">
                  <c:v>1046.2532450976612</c:v>
                </c:pt>
                <c:pt idx="1872">
                  <c:v>989.96914168808416</c:v>
                </c:pt>
                <c:pt idx="1873">
                  <c:v>923.939075053485</c:v>
                </c:pt>
                <c:pt idx="1874">
                  <c:v>1207.9087754648531</c:v>
                </c:pt>
                <c:pt idx="1875">
                  <c:v>1378.4475881017418</c:v>
                </c:pt>
                <c:pt idx="1876">
                  <c:v>1184.3055136511434</c:v>
                </c:pt>
                <c:pt idx="1877">
                  <c:v>1129.5291589382603</c:v>
                </c:pt>
                <c:pt idx="1878">
                  <c:v>1058.7038296961343</c:v>
                </c:pt>
                <c:pt idx="1879">
                  <c:v>952.43086228070263</c:v>
                </c:pt>
                <c:pt idx="1880">
                  <c:v>904.6569899168984</c:v>
                </c:pt>
                <c:pt idx="1881">
                  <c:v>889.18313602453895</c:v>
                </c:pt>
                <c:pt idx="1882">
                  <c:v>835.66582919240022</c:v>
                </c:pt>
                <c:pt idx="1883">
                  <c:v>833.26431193838778</c:v>
                </c:pt>
                <c:pt idx="1884">
                  <c:v>762.3301760892839</c:v>
                </c:pt>
                <c:pt idx="1885">
                  <c:v>779.34286628033112</c:v>
                </c:pt>
                <c:pt idx="1886">
                  <c:v>704.14117986754343</c:v>
                </c:pt>
                <c:pt idx="1887">
                  <c:v>714.40630604586022</c:v>
                </c:pt>
                <c:pt idx="1888">
                  <c:v>729.85917580687396</c:v>
                </c:pt>
                <c:pt idx="1889">
                  <c:v>715.52001938728404</c:v>
                </c:pt>
                <c:pt idx="1890">
                  <c:v>672.10851477324456</c:v>
                </c:pt>
                <c:pt idx="1891">
                  <c:v>780.31435384263398</c:v>
                </c:pt>
                <c:pt idx="1892">
                  <c:v>717.17232543324872</c:v>
                </c:pt>
                <c:pt idx="1893">
                  <c:v>672.32612798720027</c:v>
                </c:pt>
                <c:pt idx="1894">
                  <c:v>732.36949966786437</c:v>
                </c:pt>
                <c:pt idx="1895">
                  <c:v>729.85684423672433</c:v>
                </c:pt>
                <c:pt idx="1896">
                  <c:v>727.77086614294774</c:v>
                </c:pt>
                <c:pt idx="1897">
                  <c:v>785.21065115664021</c:v>
                </c:pt>
                <c:pt idx="1898">
                  <c:v>749.09229797032049</c:v>
                </c:pt>
                <c:pt idx="1899">
                  <c:v>691.3330878461428</c:v>
                </c:pt>
                <c:pt idx="1900">
                  <c:v>658.95535036971398</c:v>
                </c:pt>
                <c:pt idx="1901">
                  <c:v>606.84398033774005</c:v>
                </c:pt>
                <c:pt idx="1902">
                  <c:v>550.59640486050557</c:v>
                </c:pt>
                <c:pt idx="1903">
                  <c:v>528.18923853350316</c:v>
                </c:pt>
                <c:pt idx="1904">
                  <c:v>567.18474928433898</c:v>
                </c:pt>
                <c:pt idx="1905">
                  <c:v>550.79303394311569</c:v>
                </c:pt>
                <c:pt idx="1906">
                  <c:v>544.93224377725517</c:v>
                </c:pt>
                <c:pt idx="1907">
                  <c:v>566.63372153900082</c:v>
                </c:pt>
                <c:pt idx="1908">
                  <c:v>577.34417761587702</c:v>
                </c:pt>
                <c:pt idx="1909">
                  <c:v>581.10500026706382</c:v>
                </c:pt>
                <c:pt idx="1910">
                  <c:v>587.41578347178302</c:v>
                </c:pt>
                <c:pt idx="1911">
                  <c:v>507.85716963957958</c:v>
                </c:pt>
                <c:pt idx="1912">
                  <c:v>511.96617343309561</c:v>
                </c:pt>
                <c:pt idx="1913">
                  <c:v>484.41090021593806</c:v>
                </c:pt>
                <c:pt idx="1914">
                  <c:v>510.99701744094233</c:v>
                </c:pt>
                <c:pt idx="1915">
                  <c:v>511.26747957828746</c:v>
                </c:pt>
                <c:pt idx="1916">
                  <c:v>455.19321748216782</c:v>
                </c:pt>
                <c:pt idx="1917">
                  <c:v>423.23205387245434</c:v>
                </c:pt>
                <c:pt idx="1918">
                  <c:v>407.93384493135915</c:v>
                </c:pt>
                <c:pt idx="1919">
                  <c:v>398.65652730639204</c:v>
                </c:pt>
                <c:pt idx="1920">
                  <c:v>334.00985896051213</c:v>
                </c:pt>
                <c:pt idx="1921">
                  <c:v>326.11127648396524</c:v>
                </c:pt>
                <c:pt idx="1922">
                  <c:v>344.30140960052347</c:v>
                </c:pt>
                <c:pt idx="1923">
                  <c:v>312.53687507342016</c:v>
                </c:pt>
                <c:pt idx="1924">
                  <c:v>297.87285321299623</c:v>
                </c:pt>
                <c:pt idx="1925">
                  <c:v>253.77431259489612</c:v>
                </c:pt>
                <c:pt idx="1926">
                  <c:v>263.43167615423613</c:v>
                </c:pt>
                <c:pt idx="1927">
                  <c:v>251.11165948413648</c:v>
                </c:pt>
                <c:pt idx="1928">
                  <c:v>248.82827511769989</c:v>
                </c:pt>
                <c:pt idx="1929">
                  <c:v>270.74581171330169</c:v>
                </c:pt>
                <c:pt idx="1930">
                  <c:v>246.73219355327529</c:v>
                </c:pt>
                <c:pt idx="1931">
                  <c:v>235.87096260672962</c:v>
                </c:pt>
                <c:pt idx="1932">
                  <c:v>171.46133722605165</c:v>
                </c:pt>
                <c:pt idx="1933">
                  <c:v>167.96242762166176</c:v>
                </c:pt>
                <c:pt idx="1934">
                  <c:v>216.65727019452908</c:v>
                </c:pt>
                <c:pt idx="1935">
                  <c:v>178.47470023582827</c:v>
                </c:pt>
                <c:pt idx="1936">
                  <c:v>217.85802882153536</c:v>
                </c:pt>
                <c:pt idx="1937">
                  <c:v>200.62228508618338</c:v>
                </c:pt>
                <c:pt idx="1938">
                  <c:v>171.47454945689896</c:v>
                </c:pt>
                <c:pt idx="1939">
                  <c:v>167.84274035398604</c:v>
                </c:pt>
                <c:pt idx="1940">
                  <c:v>167.3398983917381</c:v>
                </c:pt>
                <c:pt idx="1941">
                  <c:v>135.61189179697735</c:v>
                </c:pt>
                <c:pt idx="1942">
                  <c:v>165.74199564926238</c:v>
                </c:pt>
                <c:pt idx="1943">
                  <c:v>170.84502551652673</c:v>
                </c:pt>
                <c:pt idx="1944">
                  <c:v>107.68123578574593</c:v>
                </c:pt>
                <c:pt idx="1945">
                  <c:v>88.17609710485452</c:v>
                </c:pt>
                <c:pt idx="1946">
                  <c:v>81.597183332939721</c:v>
                </c:pt>
                <c:pt idx="1947">
                  <c:v>93.700363979133357</c:v>
                </c:pt>
                <c:pt idx="1948">
                  <c:v>74.512085681562652</c:v>
                </c:pt>
                <c:pt idx="1949">
                  <c:v>77.095232250223404</c:v>
                </c:pt>
                <c:pt idx="1950">
                  <c:v>61.192913483385801</c:v>
                </c:pt>
                <c:pt idx="1951">
                  <c:v>50.772349295100668</c:v>
                </c:pt>
                <c:pt idx="1952">
                  <c:v>52.581492293123503</c:v>
                </c:pt>
                <c:pt idx="1953">
                  <c:v>54.630242983512701</c:v>
                </c:pt>
                <c:pt idx="1954">
                  <c:v>77.690093514372663</c:v>
                </c:pt>
                <c:pt idx="1955">
                  <c:v>87.326628380376931</c:v>
                </c:pt>
                <c:pt idx="1956">
                  <c:v>44.223823654134705</c:v>
                </c:pt>
                <c:pt idx="1957">
                  <c:v>53.66411803255378</c:v>
                </c:pt>
                <c:pt idx="1958">
                  <c:v>37.127301309024958</c:v>
                </c:pt>
                <c:pt idx="1959">
                  <c:v>50.780509790624016</c:v>
                </c:pt>
                <c:pt idx="1960">
                  <c:v>39.44767992183403</c:v>
                </c:pt>
                <c:pt idx="1961">
                  <c:v>22.826227201877384</c:v>
                </c:pt>
                <c:pt idx="1962">
                  <c:v>27.935008275510544</c:v>
                </c:pt>
                <c:pt idx="1963">
                  <c:v>20.434269385477833</c:v>
                </c:pt>
                <c:pt idx="1964">
                  <c:v>28.916288432441394</c:v>
                </c:pt>
                <c:pt idx="1965">
                  <c:v>32.045333292111351</c:v>
                </c:pt>
                <c:pt idx="1966">
                  <c:v>26.650934875161148</c:v>
                </c:pt>
                <c:pt idx="1967">
                  <c:v>17.909878384585163</c:v>
                </c:pt>
                <c:pt idx="1968">
                  <c:v>20.631053906097893</c:v>
                </c:pt>
                <c:pt idx="1969">
                  <c:v>22.00520363322401</c:v>
                </c:pt>
                <c:pt idx="1970">
                  <c:v>18.959706703912097</c:v>
                </c:pt>
                <c:pt idx="1971">
                  <c:v>28.62593022982032</c:v>
                </c:pt>
                <c:pt idx="1972">
                  <c:v>9.9592241746987593</c:v>
                </c:pt>
                <c:pt idx="1973">
                  <c:v>10.905297622371751</c:v>
                </c:pt>
                <c:pt idx="1974">
                  <c:v>6.5127593548722258</c:v>
                </c:pt>
                <c:pt idx="1975">
                  <c:v>9.7124663338738397</c:v>
                </c:pt>
                <c:pt idx="1976">
                  <c:v>5.2007615160319975</c:v>
                </c:pt>
                <c:pt idx="1977">
                  <c:v>8.3531609366997124</c:v>
                </c:pt>
                <c:pt idx="1978">
                  <c:v>8.3545598787894289</c:v>
                </c:pt>
                <c:pt idx="1979">
                  <c:v>1.8241893973877779</c:v>
                </c:pt>
                <c:pt idx="1980">
                  <c:v>3.0786596287386812</c:v>
                </c:pt>
                <c:pt idx="1981">
                  <c:v>7.9899023074034359</c:v>
                </c:pt>
                <c:pt idx="1982">
                  <c:v>3.9491435721640151</c:v>
                </c:pt>
                <c:pt idx="1983">
                  <c:v>7.1470008388470045</c:v>
                </c:pt>
                <c:pt idx="1984">
                  <c:v>2.7648691461148656</c:v>
                </c:pt>
                <c:pt idx="1985">
                  <c:v>3.7031551494884392</c:v>
                </c:pt>
                <c:pt idx="1986">
                  <c:v>3.9880341622581219</c:v>
                </c:pt>
                <c:pt idx="1987">
                  <c:v>0</c:v>
                </c:pt>
                <c:pt idx="1988">
                  <c:v>0.91160506896248827</c:v>
                </c:pt>
                <c:pt idx="1989">
                  <c:v>2.4952930054265763</c:v>
                </c:pt>
                <c:pt idx="1990">
                  <c:v>0</c:v>
                </c:pt>
                <c:pt idx="1991">
                  <c:v>0.30536729686362524</c:v>
                </c:pt>
                <c:pt idx="1992">
                  <c:v>2.8363628587998559</c:v>
                </c:pt>
                <c:pt idx="1993">
                  <c:v>1.240162162533307</c:v>
                </c:pt>
                <c:pt idx="1994">
                  <c:v>0.648159403387355</c:v>
                </c:pt>
                <c:pt idx="1995">
                  <c:v>0.62007952688655388</c:v>
                </c:pt>
                <c:pt idx="1996">
                  <c:v>4.3512228444499126</c:v>
                </c:pt>
                <c:pt idx="1997">
                  <c:v>0</c:v>
                </c:pt>
                <c:pt idx="1998">
                  <c:v>2.3855382265878511</c:v>
                </c:pt>
                <c:pt idx="1999">
                  <c:v>0.95561734148505595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C2-4D8F-9960-83C52775A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061024"/>
        <c:axId val="697062664"/>
      </c:scatterChart>
      <c:valAx>
        <c:axId val="69706102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62664"/>
        <c:crosses val="autoZero"/>
        <c:crossBetween val="midCat"/>
      </c:valAx>
      <c:valAx>
        <c:axId val="69706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61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VHTR flux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'NE270 Homework '!$CN$8</c:f>
              <c:strCache>
                <c:ptCount val="1"/>
                <c:pt idx="0">
                  <c:v>flux per lethargy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'NE270 Homework '!$CL$9:$CL$2008</c:f>
              <c:numCache>
                <c:formatCode>0.00E+00</c:formatCode>
                <c:ptCount val="2000"/>
                <c:pt idx="0">
                  <c:v>1E-10</c:v>
                </c:pt>
                <c:pt idx="1">
                  <c:v>1.01295E-10</c:v>
                </c:pt>
                <c:pt idx="2">
                  <c:v>1.02607E-10</c:v>
                </c:pt>
                <c:pt idx="3">
                  <c:v>1.03936E-10</c:v>
                </c:pt>
                <c:pt idx="4">
                  <c:v>1.05282E-10</c:v>
                </c:pt>
                <c:pt idx="5">
                  <c:v>1.06645E-10</c:v>
                </c:pt>
                <c:pt idx="6">
                  <c:v>1.0802600000000001E-10</c:v>
                </c:pt>
                <c:pt idx="7">
                  <c:v>1.09425E-10</c:v>
                </c:pt>
                <c:pt idx="8">
                  <c:v>1.1084200000000001E-10</c:v>
                </c:pt>
                <c:pt idx="9">
                  <c:v>1.12277E-10</c:v>
                </c:pt>
                <c:pt idx="10">
                  <c:v>1.13731E-10</c:v>
                </c:pt>
                <c:pt idx="11">
                  <c:v>1.15204E-10</c:v>
                </c:pt>
                <c:pt idx="12">
                  <c:v>1.1669600000000001E-10</c:v>
                </c:pt>
                <c:pt idx="13">
                  <c:v>1.18207E-10</c:v>
                </c:pt>
                <c:pt idx="14">
                  <c:v>1.19738E-10</c:v>
                </c:pt>
                <c:pt idx="15">
                  <c:v>1.2128899999999999E-10</c:v>
                </c:pt>
                <c:pt idx="16">
                  <c:v>1.2285899999999999E-10</c:v>
                </c:pt>
                <c:pt idx="17">
                  <c:v>1.24451E-10</c:v>
                </c:pt>
                <c:pt idx="18">
                  <c:v>1.2606199999999999E-10</c:v>
                </c:pt>
                <c:pt idx="19">
                  <c:v>1.2769499999999999E-10</c:v>
                </c:pt>
                <c:pt idx="20">
                  <c:v>1.2934800000000001E-10</c:v>
                </c:pt>
                <c:pt idx="21">
                  <c:v>1.31023E-10</c:v>
                </c:pt>
                <c:pt idx="22">
                  <c:v>1.3272000000000001E-10</c:v>
                </c:pt>
                <c:pt idx="23">
                  <c:v>1.3443899999999999E-10</c:v>
                </c:pt>
                <c:pt idx="24">
                  <c:v>1.3617999999999999E-10</c:v>
                </c:pt>
                <c:pt idx="25">
                  <c:v>1.3794299999999999E-10</c:v>
                </c:pt>
                <c:pt idx="26">
                  <c:v>1.3972999999999999E-10</c:v>
                </c:pt>
                <c:pt idx="27">
                  <c:v>1.41539E-10</c:v>
                </c:pt>
                <c:pt idx="28">
                  <c:v>1.4337200000000001E-10</c:v>
                </c:pt>
                <c:pt idx="29">
                  <c:v>1.4522899999999999E-10</c:v>
                </c:pt>
                <c:pt idx="30">
                  <c:v>1.4711E-10</c:v>
                </c:pt>
                <c:pt idx="31">
                  <c:v>1.49015E-10</c:v>
                </c:pt>
                <c:pt idx="32">
                  <c:v>1.5094499999999999E-10</c:v>
                </c:pt>
                <c:pt idx="33">
                  <c:v>1.52899E-10</c:v>
                </c:pt>
                <c:pt idx="34">
                  <c:v>1.54879E-10</c:v>
                </c:pt>
                <c:pt idx="35">
                  <c:v>1.56885E-10</c:v>
                </c:pt>
                <c:pt idx="36">
                  <c:v>1.5891700000000001E-10</c:v>
                </c:pt>
                <c:pt idx="37">
                  <c:v>1.6097500000000001E-10</c:v>
                </c:pt>
                <c:pt idx="38">
                  <c:v>1.6305899999999999E-10</c:v>
                </c:pt>
                <c:pt idx="39">
                  <c:v>1.6517099999999999E-10</c:v>
                </c:pt>
                <c:pt idx="40">
                  <c:v>1.6730999999999999E-10</c:v>
                </c:pt>
                <c:pt idx="41">
                  <c:v>1.6947699999999999E-10</c:v>
                </c:pt>
                <c:pt idx="42">
                  <c:v>1.71671E-10</c:v>
                </c:pt>
                <c:pt idx="43">
                  <c:v>1.73895E-10</c:v>
                </c:pt>
                <c:pt idx="44">
                  <c:v>1.76146E-10</c:v>
                </c:pt>
                <c:pt idx="45">
                  <c:v>1.7842800000000001E-10</c:v>
                </c:pt>
                <c:pt idx="46">
                  <c:v>1.80738E-10</c:v>
                </c:pt>
                <c:pt idx="47">
                  <c:v>1.8307899999999999E-10</c:v>
                </c:pt>
                <c:pt idx="48">
                  <c:v>1.8544999999999999E-10</c:v>
                </c:pt>
                <c:pt idx="49">
                  <c:v>1.8785100000000001E-10</c:v>
                </c:pt>
                <c:pt idx="50">
                  <c:v>1.90284E-10</c:v>
                </c:pt>
                <c:pt idx="51">
                  <c:v>1.9274799999999999E-10</c:v>
                </c:pt>
                <c:pt idx="52">
                  <c:v>1.95244E-10</c:v>
                </c:pt>
                <c:pt idx="53">
                  <c:v>1.9777300000000001E-10</c:v>
                </c:pt>
                <c:pt idx="54">
                  <c:v>2.00334E-10</c:v>
                </c:pt>
                <c:pt idx="55">
                  <c:v>2.02928E-10</c:v>
                </c:pt>
                <c:pt idx="56">
                  <c:v>2.05556E-10</c:v>
                </c:pt>
                <c:pt idx="57">
                  <c:v>2.0821799999999999E-10</c:v>
                </c:pt>
                <c:pt idx="58">
                  <c:v>2.1091499999999999E-10</c:v>
                </c:pt>
                <c:pt idx="59">
                  <c:v>2.13646E-10</c:v>
                </c:pt>
                <c:pt idx="60">
                  <c:v>2.1641300000000001E-10</c:v>
                </c:pt>
                <c:pt idx="61">
                  <c:v>2.19215E-10</c:v>
                </c:pt>
                <c:pt idx="62">
                  <c:v>2.2205400000000001E-10</c:v>
                </c:pt>
                <c:pt idx="63">
                  <c:v>2.2492999999999999E-10</c:v>
                </c:pt>
                <c:pt idx="64">
                  <c:v>2.2784300000000001E-10</c:v>
                </c:pt>
                <c:pt idx="65">
                  <c:v>2.3079300000000001E-10</c:v>
                </c:pt>
                <c:pt idx="66">
                  <c:v>2.3378200000000001E-10</c:v>
                </c:pt>
                <c:pt idx="67">
                  <c:v>2.3680900000000002E-10</c:v>
                </c:pt>
                <c:pt idx="68">
                  <c:v>2.3987600000000002E-10</c:v>
                </c:pt>
                <c:pt idx="69">
                  <c:v>2.42983E-10</c:v>
                </c:pt>
                <c:pt idx="70">
                  <c:v>2.46129E-10</c:v>
                </c:pt>
                <c:pt idx="71">
                  <c:v>2.49317E-10</c:v>
                </c:pt>
                <c:pt idx="72">
                  <c:v>2.5254499999999998E-10</c:v>
                </c:pt>
                <c:pt idx="73">
                  <c:v>2.5581600000000002E-10</c:v>
                </c:pt>
                <c:pt idx="74">
                  <c:v>2.5912900000000001E-10</c:v>
                </c:pt>
                <c:pt idx="75">
                  <c:v>2.6248399999999999E-10</c:v>
                </c:pt>
                <c:pt idx="76">
                  <c:v>2.65884E-10</c:v>
                </c:pt>
                <c:pt idx="77">
                  <c:v>2.6932700000000002E-10</c:v>
                </c:pt>
                <c:pt idx="78">
                  <c:v>2.72815E-10</c:v>
                </c:pt>
                <c:pt idx="79">
                  <c:v>2.7634800000000002E-10</c:v>
                </c:pt>
                <c:pt idx="80">
                  <c:v>2.79926E-10</c:v>
                </c:pt>
                <c:pt idx="81">
                  <c:v>2.8355099999999998E-10</c:v>
                </c:pt>
                <c:pt idx="82">
                  <c:v>2.8722299999999999E-10</c:v>
                </c:pt>
                <c:pt idx="83">
                  <c:v>2.9094300000000001E-10</c:v>
                </c:pt>
                <c:pt idx="84">
                  <c:v>2.9471100000000002E-10</c:v>
                </c:pt>
                <c:pt idx="85">
                  <c:v>2.9852699999999998E-10</c:v>
                </c:pt>
                <c:pt idx="86">
                  <c:v>3.02393E-10</c:v>
                </c:pt>
                <c:pt idx="87">
                  <c:v>3.0630899999999999E-10</c:v>
                </c:pt>
                <c:pt idx="88">
                  <c:v>3.10276E-10</c:v>
                </c:pt>
                <c:pt idx="89">
                  <c:v>3.1429399999999999E-10</c:v>
                </c:pt>
                <c:pt idx="90">
                  <c:v>3.1836400000000001E-10</c:v>
                </c:pt>
                <c:pt idx="91">
                  <c:v>3.2248700000000002E-10</c:v>
                </c:pt>
                <c:pt idx="92">
                  <c:v>3.2666300000000001E-10</c:v>
                </c:pt>
                <c:pt idx="93">
                  <c:v>3.3089400000000002E-10</c:v>
                </c:pt>
                <c:pt idx="94">
                  <c:v>3.3517900000000002E-10</c:v>
                </c:pt>
                <c:pt idx="95">
                  <c:v>3.3951900000000002E-10</c:v>
                </c:pt>
                <c:pt idx="96">
                  <c:v>3.43916E-10</c:v>
                </c:pt>
                <c:pt idx="97">
                  <c:v>3.4837000000000001E-10</c:v>
                </c:pt>
                <c:pt idx="98">
                  <c:v>3.5288099999999998E-10</c:v>
                </c:pt>
                <c:pt idx="99">
                  <c:v>3.57451E-10</c:v>
                </c:pt>
                <c:pt idx="100">
                  <c:v>3.6208E-10</c:v>
                </c:pt>
                <c:pt idx="101">
                  <c:v>3.6676900000000001E-10</c:v>
                </c:pt>
                <c:pt idx="102">
                  <c:v>3.7151900000000002E-10</c:v>
                </c:pt>
                <c:pt idx="103">
                  <c:v>3.7632999999999998E-10</c:v>
                </c:pt>
                <c:pt idx="104">
                  <c:v>3.8120300000000001E-10</c:v>
                </c:pt>
                <c:pt idx="105">
                  <c:v>3.8614000000000002E-10</c:v>
                </c:pt>
                <c:pt idx="106">
                  <c:v>3.9114100000000001E-10</c:v>
                </c:pt>
                <c:pt idx="107">
                  <c:v>3.9620599999999999E-10</c:v>
                </c:pt>
                <c:pt idx="108">
                  <c:v>4.0133700000000001E-10</c:v>
                </c:pt>
                <c:pt idx="109">
                  <c:v>4.0653400000000003E-10</c:v>
                </c:pt>
                <c:pt idx="110">
                  <c:v>4.1179900000000001E-10</c:v>
                </c:pt>
                <c:pt idx="111">
                  <c:v>4.17132E-10</c:v>
                </c:pt>
                <c:pt idx="112">
                  <c:v>4.2253300000000001E-10</c:v>
                </c:pt>
                <c:pt idx="113">
                  <c:v>4.2800500000000001E-10</c:v>
                </c:pt>
                <c:pt idx="114">
                  <c:v>4.33548E-10</c:v>
                </c:pt>
                <c:pt idx="115">
                  <c:v>4.3916199999999998E-10</c:v>
                </c:pt>
                <c:pt idx="116">
                  <c:v>4.4485000000000002E-10</c:v>
                </c:pt>
                <c:pt idx="117">
                  <c:v>4.5061100000000002E-10</c:v>
                </c:pt>
                <c:pt idx="118">
                  <c:v>4.5644599999999998E-10</c:v>
                </c:pt>
                <c:pt idx="119">
                  <c:v>4.6235700000000002E-10</c:v>
                </c:pt>
                <c:pt idx="120">
                  <c:v>4.68345E-10</c:v>
                </c:pt>
                <c:pt idx="121">
                  <c:v>4.7441000000000002E-10</c:v>
                </c:pt>
                <c:pt idx="122">
                  <c:v>4.8055299999999998E-10</c:v>
                </c:pt>
                <c:pt idx="123">
                  <c:v>4.8677700000000002E-10</c:v>
                </c:pt>
                <c:pt idx="124">
                  <c:v>4.9308000000000002E-10</c:v>
                </c:pt>
                <c:pt idx="125">
                  <c:v>4.99466E-10</c:v>
                </c:pt>
                <c:pt idx="126">
                  <c:v>5.0593399999999996E-10</c:v>
                </c:pt>
                <c:pt idx="127">
                  <c:v>5.1248600000000002E-10</c:v>
                </c:pt>
                <c:pt idx="128">
                  <c:v>5.1912199999999998E-10</c:v>
                </c:pt>
                <c:pt idx="129">
                  <c:v>5.2584499999999996E-10</c:v>
                </c:pt>
                <c:pt idx="130">
                  <c:v>5.3265499999999996E-10</c:v>
                </c:pt>
                <c:pt idx="131">
                  <c:v>5.3955299999999999E-10</c:v>
                </c:pt>
                <c:pt idx="132">
                  <c:v>5.4653999999999996E-10</c:v>
                </c:pt>
                <c:pt idx="133">
                  <c:v>5.5361799999999998E-10</c:v>
                </c:pt>
                <c:pt idx="134">
                  <c:v>5.6078699999999996E-10</c:v>
                </c:pt>
                <c:pt idx="135">
                  <c:v>5.6804900000000001E-10</c:v>
                </c:pt>
                <c:pt idx="136">
                  <c:v>5.7540600000000005E-10</c:v>
                </c:pt>
                <c:pt idx="137">
                  <c:v>5.8285699999999997E-10</c:v>
                </c:pt>
                <c:pt idx="138">
                  <c:v>5.9040499999999999E-10</c:v>
                </c:pt>
                <c:pt idx="139">
                  <c:v>5.9805100000000003E-10</c:v>
                </c:pt>
                <c:pt idx="140">
                  <c:v>6.0579599999999998E-10</c:v>
                </c:pt>
                <c:pt idx="141">
                  <c:v>6.1364099999999997E-10</c:v>
                </c:pt>
                <c:pt idx="142">
                  <c:v>6.21588E-10</c:v>
                </c:pt>
                <c:pt idx="143">
                  <c:v>6.2963699999999998E-10</c:v>
                </c:pt>
                <c:pt idx="144">
                  <c:v>6.3779100000000004E-10</c:v>
                </c:pt>
                <c:pt idx="145">
                  <c:v>6.4605099999999996E-10</c:v>
                </c:pt>
                <c:pt idx="146">
                  <c:v>6.5441699999999997E-10</c:v>
                </c:pt>
                <c:pt idx="147">
                  <c:v>6.6289199999999999E-10</c:v>
                </c:pt>
                <c:pt idx="148">
                  <c:v>6.7147600000000001E-10</c:v>
                </c:pt>
                <c:pt idx="149">
                  <c:v>6.8017199999999995E-10</c:v>
                </c:pt>
                <c:pt idx="150">
                  <c:v>6.8898000000000003E-10</c:v>
                </c:pt>
                <c:pt idx="151">
                  <c:v>6.9790299999999996E-10</c:v>
                </c:pt>
                <c:pt idx="152">
                  <c:v>7.0694100000000005E-10</c:v>
                </c:pt>
                <c:pt idx="153">
                  <c:v>7.1609600000000001E-10</c:v>
                </c:pt>
                <c:pt idx="154">
                  <c:v>7.2536900000000004E-10</c:v>
                </c:pt>
                <c:pt idx="155">
                  <c:v>7.3476299999999998E-10</c:v>
                </c:pt>
                <c:pt idx="156">
                  <c:v>7.4427800000000002E-10</c:v>
                </c:pt>
                <c:pt idx="157">
                  <c:v>7.5391599999999998E-10</c:v>
                </c:pt>
                <c:pt idx="158">
                  <c:v>7.6367999999999999E-10</c:v>
                </c:pt>
                <c:pt idx="159">
                  <c:v>7.7356900000000004E-10</c:v>
                </c:pt>
                <c:pt idx="160">
                  <c:v>7.8358699999999995E-10</c:v>
                </c:pt>
                <c:pt idx="161">
                  <c:v>7.9373500000000005E-10</c:v>
                </c:pt>
                <c:pt idx="162">
                  <c:v>8.0401400000000003E-10</c:v>
                </c:pt>
                <c:pt idx="163">
                  <c:v>8.1442600000000002E-10</c:v>
                </c:pt>
                <c:pt idx="164">
                  <c:v>8.2497300000000002E-10</c:v>
                </c:pt>
                <c:pt idx="165">
                  <c:v>8.3565599999999995E-10</c:v>
                </c:pt>
                <c:pt idx="166">
                  <c:v>8.4647800000000004E-10</c:v>
                </c:pt>
                <c:pt idx="167">
                  <c:v>8.5743999999999999E-10</c:v>
                </c:pt>
                <c:pt idx="168">
                  <c:v>8.6854400000000001E-10</c:v>
                </c:pt>
                <c:pt idx="169">
                  <c:v>8.7979100000000003E-10</c:v>
                </c:pt>
                <c:pt idx="170">
                  <c:v>8.9118499999999996E-10</c:v>
                </c:pt>
                <c:pt idx="171">
                  <c:v>9.0272600000000001E-10</c:v>
                </c:pt>
                <c:pt idx="172">
                  <c:v>9.14416E-10</c:v>
                </c:pt>
                <c:pt idx="173">
                  <c:v>9.2625800000000005E-10</c:v>
                </c:pt>
                <c:pt idx="174">
                  <c:v>9.3825300000000007E-10</c:v>
                </c:pt>
                <c:pt idx="175">
                  <c:v>9.5040300000000007E-10</c:v>
                </c:pt>
                <c:pt idx="176">
                  <c:v>9.6271099999999999E-10</c:v>
                </c:pt>
                <c:pt idx="177">
                  <c:v>9.7517799999999992E-10</c:v>
                </c:pt>
                <c:pt idx="178">
                  <c:v>9.87807E-10</c:v>
                </c:pt>
                <c:pt idx="179">
                  <c:v>1.0006E-9</c:v>
                </c:pt>
                <c:pt idx="180">
                  <c:v>1.01356E-9</c:v>
                </c:pt>
                <c:pt idx="181">
                  <c:v>1.02668E-9</c:v>
                </c:pt>
                <c:pt idx="182">
                  <c:v>1.03998E-9</c:v>
                </c:pt>
                <c:pt idx="183">
                  <c:v>1.0534499999999999E-9</c:v>
                </c:pt>
                <c:pt idx="184">
                  <c:v>1.0670900000000001E-9</c:v>
                </c:pt>
                <c:pt idx="185">
                  <c:v>1.0809099999999999E-9</c:v>
                </c:pt>
                <c:pt idx="186">
                  <c:v>1.0949100000000001E-9</c:v>
                </c:pt>
                <c:pt idx="187">
                  <c:v>1.1090800000000001E-9</c:v>
                </c:pt>
                <c:pt idx="188">
                  <c:v>1.1234500000000001E-9</c:v>
                </c:pt>
                <c:pt idx="189">
                  <c:v>1.138E-9</c:v>
                </c:pt>
                <c:pt idx="190">
                  <c:v>1.15273E-9</c:v>
                </c:pt>
                <c:pt idx="191">
                  <c:v>1.1676600000000001E-9</c:v>
                </c:pt>
                <c:pt idx="192">
                  <c:v>1.1827799999999999E-9</c:v>
                </c:pt>
                <c:pt idx="193">
                  <c:v>1.1981E-9</c:v>
                </c:pt>
                <c:pt idx="194">
                  <c:v>1.2136099999999999E-9</c:v>
                </c:pt>
                <c:pt idx="195">
                  <c:v>1.2293299999999999E-9</c:v>
                </c:pt>
                <c:pt idx="196">
                  <c:v>1.24525E-9</c:v>
                </c:pt>
                <c:pt idx="197">
                  <c:v>1.26138E-9</c:v>
                </c:pt>
                <c:pt idx="198">
                  <c:v>1.2777099999999999E-9</c:v>
                </c:pt>
                <c:pt idx="199">
                  <c:v>1.29426E-9</c:v>
                </c:pt>
                <c:pt idx="200">
                  <c:v>1.3110200000000001E-9</c:v>
                </c:pt>
                <c:pt idx="201">
                  <c:v>1.328E-9</c:v>
                </c:pt>
                <c:pt idx="202">
                  <c:v>1.34519E-9</c:v>
                </c:pt>
                <c:pt idx="203">
                  <c:v>1.36262E-9</c:v>
                </c:pt>
                <c:pt idx="204">
                  <c:v>1.3802599999999999E-9</c:v>
                </c:pt>
                <c:pt idx="205">
                  <c:v>1.3981400000000001E-9</c:v>
                </c:pt>
                <c:pt idx="206">
                  <c:v>1.4162400000000001E-9</c:v>
                </c:pt>
                <c:pt idx="207">
                  <c:v>1.43458E-9</c:v>
                </c:pt>
                <c:pt idx="208">
                  <c:v>1.45316E-9</c:v>
                </c:pt>
                <c:pt idx="209">
                  <c:v>1.4719799999999999E-9</c:v>
                </c:pt>
                <c:pt idx="210">
                  <c:v>1.4910400000000001E-9</c:v>
                </c:pt>
                <c:pt idx="211">
                  <c:v>1.5103500000000001E-9</c:v>
                </c:pt>
                <c:pt idx="212">
                  <c:v>1.5299099999999999E-9</c:v>
                </c:pt>
                <c:pt idx="213">
                  <c:v>1.5497199999999999E-9</c:v>
                </c:pt>
                <c:pt idx="214">
                  <c:v>1.56979E-9</c:v>
                </c:pt>
                <c:pt idx="215">
                  <c:v>1.5901200000000001E-9</c:v>
                </c:pt>
                <c:pt idx="216">
                  <c:v>1.6107099999999999E-9</c:v>
                </c:pt>
                <c:pt idx="217">
                  <c:v>1.63157E-9</c:v>
                </c:pt>
                <c:pt idx="218">
                  <c:v>1.6527000000000001E-9</c:v>
                </c:pt>
                <c:pt idx="219">
                  <c:v>1.6741E-9</c:v>
                </c:pt>
                <c:pt idx="220">
                  <c:v>1.6957799999999999E-9</c:v>
                </c:pt>
                <c:pt idx="221">
                  <c:v>1.7177399999999999E-9</c:v>
                </c:pt>
                <c:pt idx="222">
                  <c:v>1.7399899999999999E-9</c:v>
                </c:pt>
                <c:pt idx="223">
                  <c:v>1.76252E-9</c:v>
                </c:pt>
                <c:pt idx="224">
                  <c:v>1.78535E-9</c:v>
                </c:pt>
                <c:pt idx="225">
                  <c:v>1.8084700000000001E-9</c:v>
                </c:pt>
                <c:pt idx="226">
                  <c:v>1.83189E-9</c:v>
                </c:pt>
                <c:pt idx="227">
                  <c:v>1.85561E-9</c:v>
                </c:pt>
                <c:pt idx="228">
                  <c:v>1.8796399999999999E-9</c:v>
                </c:pt>
                <c:pt idx="229">
                  <c:v>1.9039799999999999E-9</c:v>
                </c:pt>
                <c:pt idx="230">
                  <c:v>1.9286400000000001E-9</c:v>
                </c:pt>
                <c:pt idx="231">
                  <c:v>1.9536099999999998E-9</c:v>
                </c:pt>
                <c:pt idx="232">
                  <c:v>1.9789100000000001E-9</c:v>
                </c:pt>
                <c:pt idx="233">
                  <c:v>2.0045400000000002E-9</c:v>
                </c:pt>
                <c:pt idx="234">
                  <c:v>2.0305E-9</c:v>
                </c:pt>
                <c:pt idx="235">
                  <c:v>2.0567899999999999E-9</c:v>
                </c:pt>
                <c:pt idx="236">
                  <c:v>2.0834300000000001E-9</c:v>
                </c:pt>
                <c:pt idx="237">
                  <c:v>2.11041E-9</c:v>
                </c:pt>
                <c:pt idx="238">
                  <c:v>2.1377400000000001E-9</c:v>
                </c:pt>
                <c:pt idx="239">
                  <c:v>2.1654200000000002E-9</c:v>
                </c:pt>
                <c:pt idx="240">
                  <c:v>2.1934699999999999E-9</c:v>
                </c:pt>
                <c:pt idx="241">
                  <c:v>2.2218699999999999E-9</c:v>
                </c:pt>
                <c:pt idx="242">
                  <c:v>2.2506499999999999E-9</c:v>
                </c:pt>
                <c:pt idx="243">
                  <c:v>2.27979E-9</c:v>
                </c:pt>
                <c:pt idx="244">
                  <c:v>2.3093100000000002E-9</c:v>
                </c:pt>
                <c:pt idx="245">
                  <c:v>2.3392200000000001E-9</c:v>
                </c:pt>
                <c:pt idx="246">
                  <c:v>2.36951E-9</c:v>
                </c:pt>
                <c:pt idx="247">
                  <c:v>2.4002E-9</c:v>
                </c:pt>
                <c:pt idx="248">
                  <c:v>2.4312799999999999E-9</c:v>
                </c:pt>
                <c:pt idx="249">
                  <c:v>2.4627700000000002E-9</c:v>
                </c:pt>
                <c:pt idx="250">
                  <c:v>2.4946600000000002E-9</c:v>
                </c:pt>
                <c:pt idx="251">
                  <c:v>2.52697E-9</c:v>
                </c:pt>
                <c:pt idx="252">
                  <c:v>2.5596899999999999E-9</c:v>
                </c:pt>
                <c:pt idx="253">
                  <c:v>2.5928399999999999E-9</c:v>
                </c:pt>
                <c:pt idx="254">
                  <c:v>2.6264200000000001E-9</c:v>
                </c:pt>
                <c:pt idx="255">
                  <c:v>2.6604300000000001E-9</c:v>
                </c:pt>
                <c:pt idx="256">
                  <c:v>2.6948800000000001E-9</c:v>
                </c:pt>
                <c:pt idx="257">
                  <c:v>2.7297800000000001E-9</c:v>
                </c:pt>
                <c:pt idx="258">
                  <c:v>2.7651299999999999E-9</c:v>
                </c:pt>
                <c:pt idx="259">
                  <c:v>2.80094E-9</c:v>
                </c:pt>
                <c:pt idx="260">
                  <c:v>2.83721E-9</c:v>
                </c:pt>
                <c:pt idx="261">
                  <c:v>2.87395E-9</c:v>
                </c:pt>
                <c:pt idx="262">
                  <c:v>2.91117E-9</c:v>
                </c:pt>
                <c:pt idx="263">
                  <c:v>2.94887E-9</c:v>
                </c:pt>
                <c:pt idx="264">
                  <c:v>2.9870599999999998E-9</c:v>
                </c:pt>
                <c:pt idx="265">
                  <c:v>3.0257399999999999E-9</c:v>
                </c:pt>
                <c:pt idx="266">
                  <c:v>3.0649300000000001E-9</c:v>
                </c:pt>
                <c:pt idx="267">
                  <c:v>3.10462E-9</c:v>
                </c:pt>
                <c:pt idx="268">
                  <c:v>3.1448199999999999E-9</c:v>
                </c:pt>
                <c:pt idx="269">
                  <c:v>3.18555E-9</c:v>
                </c:pt>
                <c:pt idx="270">
                  <c:v>3.2268000000000001E-9</c:v>
                </c:pt>
                <c:pt idx="271">
                  <c:v>3.2685900000000002E-9</c:v>
                </c:pt>
                <c:pt idx="272">
                  <c:v>3.31092E-9</c:v>
                </c:pt>
                <c:pt idx="273">
                  <c:v>3.3537899999999999E-9</c:v>
                </c:pt>
                <c:pt idx="274">
                  <c:v>3.3972299999999999E-9</c:v>
                </c:pt>
                <c:pt idx="275">
                  <c:v>3.4412199999999998E-9</c:v>
                </c:pt>
                <c:pt idx="276">
                  <c:v>3.4857799999999999E-9</c:v>
                </c:pt>
                <c:pt idx="277">
                  <c:v>3.5309299999999999E-9</c:v>
                </c:pt>
                <c:pt idx="278">
                  <c:v>3.5766500000000001E-9</c:v>
                </c:pt>
                <c:pt idx="279">
                  <c:v>3.6229699999999999E-9</c:v>
                </c:pt>
                <c:pt idx="280">
                  <c:v>3.66989E-9</c:v>
                </c:pt>
                <c:pt idx="281">
                  <c:v>3.7174099999999999E-9</c:v>
                </c:pt>
                <c:pt idx="282">
                  <c:v>3.7655500000000001E-9</c:v>
                </c:pt>
                <c:pt idx="283">
                  <c:v>3.8143199999999997E-9</c:v>
                </c:pt>
                <c:pt idx="284">
                  <c:v>3.8637100000000001E-9</c:v>
                </c:pt>
                <c:pt idx="285">
                  <c:v>3.9137500000000001E-9</c:v>
                </c:pt>
                <c:pt idx="286">
                  <c:v>3.9644299999999997E-9</c:v>
                </c:pt>
                <c:pt idx="287">
                  <c:v>4.0157699999999997E-9</c:v>
                </c:pt>
                <c:pt idx="288">
                  <c:v>4.0677799999999998E-9</c:v>
                </c:pt>
                <c:pt idx="289">
                  <c:v>4.1204600000000001E-9</c:v>
                </c:pt>
                <c:pt idx="290">
                  <c:v>4.1738200000000004E-9</c:v>
                </c:pt>
                <c:pt idx="291">
                  <c:v>4.2278699999999998E-9</c:v>
                </c:pt>
                <c:pt idx="292">
                  <c:v>4.2826199999999998E-9</c:v>
                </c:pt>
                <c:pt idx="293">
                  <c:v>4.3380800000000004E-9</c:v>
                </c:pt>
                <c:pt idx="294">
                  <c:v>4.3942599999999997E-9</c:v>
                </c:pt>
                <c:pt idx="295">
                  <c:v>4.4511600000000002E-9</c:v>
                </c:pt>
                <c:pt idx="296">
                  <c:v>4.5088099999999999E-9</c:v>
                </c:pt>
                <c:pt idx="297">
                  <c:v>4.5671899999999998E-9</c:v>
                </c:pt>
                <c:pt idx="298">
                  <c:v>4.6263400000000004E-9</c:v>
                </c:pt>
                <c:pt idx="299">
                  <c:v>4.68625E-9</c:v>
                </c:pt>
                <c:pt idx="300">
                  <c:v>4.7469400000000002E-9</c:v>
                </c:pt>
                <c:pt idx="301">
                  <c:v>4.8084099999999999E-9</c:v>
                </c:pt>
                <c:pt idx="302">
                  <c:v>4.87068E-9</c:v>
                </c:pt>
                <c:pt idx="303">
                  <c:v>4.9337600000000001E-9</c:v>
                </c:pt>
                <c:pt idx="304">
                  <c:v>4.9976499999999996E-9</c:v>
                </c:pt>
                <c:pt idx="305">
                  <c:v>5.0623699999999998E-9</c:v>
                </c:pt>
                <c:pt idx="306">
                  <c:v>5.1279299999999997E-9</c:v>
                </c:pt>
                <c:pt idx="307">
                  <c:v>5.1943400000000001E-9</c:v>
                </c:pt>
                <c:pt idx="308">
                  <c:v>5.2616000000000001E-9</c:v>
                </c:pt>
                <c:pt idx="309">
                  <c:v>5.3297400000000003E-9</c:v>
                </c:pt>
                <c:pt idx="310">
                  <c:v>5.3987599999999997E-9</c:v>
                </c:pt>
                <c:pt idx="311">
                  <c:v>5.4686799999999998E-9</c:v>
                </c:pt>
                <c:pt idx="312">
                  <c:v>5.5394999999999997E-9</c:v>
                </c:pt>
                <c:pt idx="313">
                  <c:v>5.6112300000000003E-9</c:v>
                </c:pt>
                <c:pt idx="314">
                  <c:v>5.6839000000000002E-9</c:v>
                </c:pt>
                <c:pt idx="315">
                  <c:v>5.7575100000000003E-9</c:v>
                </c:pt>
                <c:pt idx="316">
                  <c:v>5.8320699999999997E-9</c:v>
                </c:pt>
                <c:pt idx="317">
                  <c:v>5.9075899999999999E-9</c:v>
                </c:pt>
                <c:pt idx="318">
                  <c:v>5.9840999999999996E-9</c:v>
                </c:pt>
                <c:pt idx="319">
                  <c:v>6.06159E-9</c:v>
                </c:pt>
                <c:pt idx="320">
                  <c:v>6.1400899999999996E-9</c:v>
                </c:pt>
                <c:pt idx="321">
                  <c:v>6.2196000000000003E-9</c:v>
                </c:pt>
                <c:pt idx="322">
                  <c:v>6.30015E-9</c:v>
                </c:pt>
                <c:pt idx="323">
                  <c:v>6.3817299999999996E-9</c:v>
                </c:pt>
                <c:pt idx="324">
                  <c:v>6.4643800000000004E-9</c:v>
                </c:pt>
                <c:pt idx="325">
                  <c:v>6.5480899999999999E-9</c:v>
                </c:pt>
                <c:pt idx="326">
                  <c:v>6.6328900000000002E-9</c:v>
                </c:pt>
                <c:pt idx="327">
                  <c:v>6.7187899999999997E-9</c:v>
                </c:pt>
                <c:pt idx="328">
                  <c:v>6.8057999999999998E-9</c:v>
                </c:pt>
                <c:pt idx="329">
                  <c:v>6.8939300000000004E-9</c:v>
                </c:pt>
                <c:pt idx="330">
                  <c:v>6.9832100000000003E-9</c:v>
                </c:pt>
                <c:pt idx="331">
                  <c:v>7.0736400000000004E-9</c:v>
                </c:pt>
                <c:pt idx="332">
                  <c:v>7.1652500000000003E-9</c:v>
                </c:pt>
                <c:pt idx="333">
                  <c:v>7.2580399999999999E-9</c:v>
                </c:pt>
                <c:pt idx="334">
                  <c:v>7.3520299999999999E-9</c:v>
                </c:pt>
                <c:pt idx="335">
                  <c:v>7.44724E-9</c:v>
                </c:pt>
                <c:pt idx="336">
                  <c:v>7.5436800000000002E-9</c:v>
                </c:pt>
                <c:pt idx="337">
                  <c:v>7.6413699999999992E-9</c:v>
                </c:pt>
                <c:pt idx="338">
                  <c:v>7.7403299999999995E-9</c:v>
                </c:pt>
                <c:pt idx="339">
                  <c:v>7.8405700000000008E-9</c:v>
                </c:pt>
                <c:pt idx="340">
                  <c:v>7.9420999999999997E-9</c:v>
                </c:pt>
                <c:pt idx="341">
                  <c:v>8.0449499999999992E-9</c:v>
                </c:pt>
                <c:pt idx="342">
                  <c:v>8.1491400000000007E-9</c:v>
                </c:pt>
                <c:pt idx="343">
                  <c:v>8.2546700000000008E-9</c:v>
                </c:pt>
                <c:pt idx="344">
                  <c:v>8.3615699999999993E-9</c:v>
                </c:pt>
                <c:pt idx="345">
                  <c:v>8.4698499999999992E-9</c:v>
                </c:pt>
                <c:pt idx="346">
                  <c:v>8.5795400000000003E-9</c:v>
                </c:pt>
                <c:pt idx="347">
                  <c:v>8.6906399999999993E-9</c:v>
                </c:pt>
                <c:pt idx="348">
                  <c:v>8.8031900000000005E-9</c:v>
                </c:pt>
                <c:pt idx="349">
                  <c:v>8.9171900000000007E-9</c:v>
                </c:pt>
                <c:pt idx="350">
                  <c:v>9.0326699999999996E-9</c:v>
                </c:pt>
                <c:pt idx="351">
                  <c:v>9.1496400000000003E-9</c:v>
                </c:pt>
                <c:pt idx="352">
                  <c:v>9.2681300000000008E-9</c:v>
                </c:pt>
                <c:pt idx="353">
                  <c:v>9.3881499999999993E-9</c:v>
                </c:pt>
                <c:pt idx="354">
                  <c:v>9.5097300000000004E-9</c:v>
                </c:pt>
                <c:pt idx="355">
                  <c:v>9.6328800000000008E-9</c:v>
                </c:pt>
                <c:pt idx="356">
                  <c:v>9.7576299999999999E-9</c:v>
                </c:pt>
                <c:pt idx="357">
                  <c:v>9.8839899999999995E-9</c:v>
                </c:pt>
                <c:pt idx="358">
                  <c:v>1.0012000000000001E-8</c:v>
                </c:pt>
                <c:pt idx="359">
                  <c:v>1.0141600000000001E-8</c:v>
                </c:pt>
                <c:pt idx="360">
                  <c:v>1.0273E-8</c:v>
                </c:pt>
                <c:pt idx="361">
                  <c:v>1.0406000000000001E-8</c:v>
                </c:pt>
                <c:pt idx="362">
                  <c:v>1.0540800000000001E-8</c:v>
                </c:pt>
                <c:pt idx="363">
                  <c:v>1.06773E-8</c:v>
                </c:pt>
                <c:pt idx="364">
                  <c:v>1.08155E-8</c:v>
                </c:pt>
                <c:pt idx="365">
                  <c:v>1.0955600000000001E-8</c:v>
                </c:pt>
                <c:pt idx="366">
                  <c:v>1.1097500000000001E-8</c:v>
                </c:pt>
                <c:pt idx="367">
                  <c:v>1.12412E-8</c:v>
                </c:pt>
                <c:pt idx="368">
                  <c:v>1.13868E-8</c:v>
                </c:pt>
                <c:pt idx="369">
                  <c:v>1.15342E-8</c:v>
                </c:pt>
                <c:pt idx="370">
                  <c:v>1.16836E-8</c:v>
                </c:pt>
                <c:pt idx="371">
                  <c:v>1.1834899999999999E-8</c:v>
                </c:pt>
                <c:pt idx="372">
                  <c:v>1.19882E-8</c:v>
                </c:pt>
                <c:pt idx="373">
                  <c:v>1.21434E-8</c:v>
                </c:pt>
                <c:pt idx="374">
                  <c:v>1.2300700000000001E-8</c:v>
                </c:pt>
                <c:pt idx="375">
                  <c:v>1.246E-8</c:v>
                </c:pt>
                <c:pt idx="376">
                  <c:v>1.2621300000000001E-8</c:v>
                </c:pt>
                <c:pt idx="377">
                  <c:v>1.2784800000000001E-8</c:v>
                </c:pt>
                <c:pt idx="378">
                  <c:v>1.29503E-8</c:v>
                </c:pt>
                <c:pt idx="379">
                  <c:v>1.3118099999999999E-8</c:v>
                </c:pt>
                <c:pt idx="380">
                  <c:v>1.3287900000000001E-8</c:v>
                </c:pt>
                <c:pt idx="381">
                  <c:v>1.3459999999999999E-8</c:v>
                </c:pt>
                <c:pt idx="382">
                  <c:v>1.36343E-8</c:v>
                </c:pt>
                <c:pt idx="383">
                  <c:v>1.38109E-8</c:v>
                </c:pt>
                <c:pt idx="384">
                  <c:v>1.39897E-8</c:v>
                </c:pt>
                <c:pt idx="385">
                  <c:v>1.41709E-8</c:v>
                </c:pt>
                <c:pt idx="386">
                  <c:v>1.4354400000000001E-8</c:v>
                </c:pt>
                <c:pt idx="387">
                  <c:v>1.45403E-8</c:v>
                </c:pt>
                <c:pt idx="388">
                  <c:v>1.4728600000000001E-8</c:v>
                </c:pt>
                <c:pt idx="389">
                  <c:v>1.4919299999999999E-8</c:v>
                </c:pt>
                <c:pt idx="390">
                  <c:v>1.5112599999999999E-8</c:v>
                </c:pt>
                <c:pt idx="391">
                  <c:v>1.53083E-8</c:v>
                </c:pt>
                <c:pt idx="392">
                  <c:v>1.5506500000000001E-8</c:v>
                </c:pt>
                <c:pt idx="393">
                  <c:v>1.5707299999999999E-8</c:v>
                </c:pt>
                <c:pt idx="394">
                  <c:v>1.59107E-8</c:v>
                </c:pt>
                <c:pt idx="395">
                  <c:v>1.61168E-8</c:v>
                </c:pt>
                <c:pt idx="396">
                  <c:v>1.63255E-8</c:v>
                </c:pt>
                <c:pt idx="397">
                  <c:v>1.6536899999999999E-8</c:v>
                </c:pt>
                <c:pt idx="398">
                  <c:v>1.6751100000000001E-8</c:v>
                </c:pt>
                <c:pt idx="399">
                  <c:v>1.6968E-8</c:v>
                </c:pt>
                <c:pt idx="400">
                  <c:v>1.7187699999999998E-8</c:v>
                </c:pt>
                <c:pt idx="401">
                  <c:v>1.7410300000000001E-8</c:v>
                </c:pt>
                <c:pt idx="402">
                  <c:v>1.7635799999999999E-8</c:v>
                </c:pt>
                <c:pt idx="403">
                  <c:v>1.7864200000000001E-8</c:v>
                </c:pt>
                <c:pt idx="404">
                  <c:v>1.8095500000000001E-8</c:v>
                </c:pt>
                <c:pt idx="405">
                  <c:v>1.8329799999999998E-8</c:v>
                </c:pt>
                <c:pt idx="406">
                  <c:v>1.8567200000000001E-8</c:v>
                </c:pt>
                <c:pt idx="407">
                  <c:v>1.8807699999999999E-8</c:v>
                </c:pt>
                <c:pt idx="408">
                  <c:v>1.9051200000000001E-8</c:v>
                </c:pt>
                <c:pt idx="409">
                  <c:v>1.92979E-8</c:v>
                </c:pt>
                <c:pt idx="410">
                  <c:v>1.95478E-8</c:v>
                </c:pt>
                <c:pt idx="411">
                  <c:v>1.9801E-8</c:v>
                </c:pt>
                <c:pt idx="412">
                  <c:v>2.0057400000000001E-8</c:v>
                </c:pt>
                <c:pt idx="413">
                  <c:v>2.03172E-8</c:v>
                </c:pt>
                <c:pt idx="414">
                  <c:v>2.0580299999999999E-8</c:v>
                </c:pt>
                <c:pt idx="415">
                  <c:v>2.08468E-8</c:v>
                </c:pt>
                <c:pt idx="416">
                  <c:v>2.11167E-8</c:v>
                </c:pt>
                <c:pt idx="417">
                  <c:v>2.1390199999999999E-8</c:v>
                </c:pt>
                <c:pt idx="418">
                  <c:v>2.1667199999999999E-8</c:v>
                </c:pt>
                <c:pt idx="419">
                  <c:v>2.1947800000000001E-8</c:v>
                </c:pt>
                <c:pt idx="420">
                  <c:v>2.2232E-8</c:v>
                </c:pt>
                <c:pt idx="421">
                  <c:v>2.25199E-8</c:v>
                </c:pt>
                <c:pt idx="422">
                  <c:v>2.2811600000000001E-8</c:v>
                </c:pt>
                <c:pt idx="423">
                  <c:v>2.3107E-8</c:v>
                </c:pt>
                <c:pt idx="424">
                  <c:v>2.3406199999999999E-8</c:v>
                </c:pt>
                <c:pt idx="425">
                  <c:v>2.37093E-8</c:v>
                </c:pt>
                <c:pt idx="426">
                  <c:v>2.40164E-8</c:v>
                </c:pt>
                <c:pt idx="427">
                  <c:v>2.4327399999999999E-8</c:v>
                </c:pt>
                <c:pt idx="428">
                  <c:v>2.4642399999999998E-8</c:v>
                </c:pt>
                <c:pt idx="429">
                  <c:v>2.49616E-8</c:v>
                </c:pt>
                <c:pt idx="430">
                  <c:v>2.52848E-8</c:v>
                </c:pt>
                <c:pt idx="431">
                  <c:v>2.5612199999999999E-8</c:v>
                </c:pt>
                <c:pt idx="432">
                  <c:v>2.5943899999999998E-8</c:v>
                </c:pt>
                <c:pt idx="433">
                  <c:v>2.6279899999999999E-8</c:v>
                </c:pt>
                <c:pt idx="434">
                  <c:v>2.66202E-8</c:v>
                </c:pt>
                <c:pt idx="435">
                  <c:v>2.6965E-8</c:v>
                </c:pt>
                <c:pt idx="436">
                  <c:v>2.73142E-8</c:v>
                </c:pt>
                <c:pt idx="437">
                  <c:v>2.7667900000000001E-8</c:v>
                </c:pt>
                <c:pt idx="438">
                  <c:v>2.80262E-8</c:v>
                </c:pt>
                <c:pt idx="439">
                  <c:v>2.8389099999999999E-8</c:v>
                </c:pt>
                <c:pt idx="440">
                  <c:v>2.87568E-8</c:v>
                </c:pt>
                <c:pt idx="441">
                  <c:v>2.91292E-8</c:v>
                </c:pt>
                <c:pt idx="442">
                  <c:v>2.9506400000000001E-8</c:v>
                </c:pt>
                <c:pt idx="443">
                  <c:v>2.9888500000000003E-8</c:v>
                </c:pt>
                <c:pt idx="444">
                  <c:v>3.0275599999999997E-8</c:v>
                </c:pt>
                <c:pt idx="445">
                  <c:v>3.0667599999999999E-8</c:v>
                </c:pt>
                <c:pt idx="446">
                  <c:v>3.1064800000000003E-8</c:v>
                </c:pt>
                <c:pt idx="447">
                  <c:v>3.1467099999999999E-8</c:v>
                </c:pt>
                <c:pt idx="448">
                  <c:v>3.1874599999999997E-8</c:v>
                </c:pt>
                <c:pt idx="449">
                  <c:v>3.2287399999999998E-8</c:v>
                </c:pt>
                <c:pt idx="450">
                  <c:v>3.2705500000000001E-8</c:v>
                </c:pt>
                <c:pt idx="451">
                  <c:v>3.3128999999999998E-8</c:v>
                </c:pt>
                <c:pt idx="452">
                  <c:v>3.3558000000000002E-8</c:v>
                </c:pt>
                <c:pt idx="453">
                  <c:v>3.3992599999999997E-8</c:v>
                </c:pt>
                <c:pt idx="454">
                  <c:v>3.4432799999999997E-8</c:v>
                </c:pt>
                <c:pt idx="455">
                  <c:v>3.4878700000000001E-8</c:v>
                </c:pt>
                <c:pt idx="456">
                  <c:v>3.5330400000000001E-8</c:v>
                </c:pt>
                <c:pt idx="457">
                  <c:v>3.5788000000000003E-8</c:v>
                </c:pt>
                <c:pt idx="458">
                  <c:v>3.62514E-8</c:v>
                </c:pt>
                <c:pt idx="459">
                  <c:v>3.6720900000000003E-8</c:v>
                </c:pt>
                <c:pt idx="460">
                  <c:v>3.7196399999999999E-8</c:v>
                </c:pt>
                <c:pt idx="461">
                  <c:v>3.76781E-8</c:v>
                </c:pt>
                <c:pt idx="462">
                  <c:v>3.8165999999999999E-8</c:v>
                </c:pt>
                <c:pt idx="463">
                  <c:v>3.86603E-8</c:v>
                </c:pt>
                <c:pt idx="464">
                  <c:v>3.9160899999999997E-8</c:v>
                </c:pt>
                <c:pt idx="465">
                  <c:v>3.96681E-8</c:v>
                </c:pt>
                <c:pt idx="466">
                  <c:v>4.0181799999999998E-8</c:v>
                </c:pt>
                <c:pt idx="467">
                  <c:v>4.0702100000000002E-8</c:v>
                </c:pt>
                <c:pt idx="468">
                  <c:v>4.1229200000000002E-8</c:v>
                </c:pt>
                <c:pt idx="469">
                  <c:v>4.1763199999999999E-8</c:v>
                </c:pt>
                <c:pt idx="470">
                  <c:v>4.2303999999999999E-8</c:v>
                </c:pt>
                <c:pt idx="471">
                  <c:v>4.2851800000000001E-8</c:v>
                </c:pt>
                <c:pt idx="472">
                  <c:v>4.3406800000000002E-8</c:v>
                </c:pt>
                <c:pt idx="473">
                  <c:v>4.3968900000000003E-8</c:v>
                </c:pt>
                <c:pt idx="474">
                  <c:v>4.4538300000000001E-8</c:v>
                </c:pt>
                <c:pt idx="475">
                  <c:v>4.5115100000000003E-8</c:v>
                </c:pt>
                <c:pt idx="476">
                  <c:v>4.5699300000000001E-8</c:v>
                </c:pt>
                <c:pt idx="477">
                  <c:v>4.62911E-8</c:v>
                </c:pt>
                <c:pt idx="478">
                  <c:v>4.6890599999999998E-8</c:v>
                </c:pt>
                <c:pt idx="479">
                  <c:v>4.7497800000000002E-8</c:v>
                </c:pt>
                <c:pt idx="480">
                  <c:v>4.8112900000000003E-8</c:v>
                </c:pt>
                <c:pt idx="481">
                  <c:v>4.8736E-8</c:v>
                </c:pt>
                <c:pt idx="482">
                  <c:v>4.93671E-8</c:v>
                </c:pt>
                <c:pt idx="483">
                  <c:v>5.0006499999999998E-8</c:v>
                </c:pt>
                <c:pt idx="484">
                  <c:v>5.0653999999999998E-8</c:v>
                </c:pt>
                <c:pt idx="485">
                  <c:v>5.1310000000000001E-8</c:v>
                </c:pt>
                <c:pt idx="486">
                  <c:v>5.19745E-8</c:v>
                </c:pt>
                <c:pt idx="487">
                  <c:v>5.2647600000000001E-8</c:v>
                </c:pt>
                <c:pt idx="488">
                  <c:v>5.3329299999999997E-8</c:v>
                </c:pt>
                <c:pt idx="489">
                  <c:v>5.4020000000000003E-8</c:v>
                </c:pt>
                <c:pt idx="490">
                  <c:v>5.4719500000000002E-8</c:v>
                </c:pt>
                <c:pt idx="491">
                  <c:v>5.5428200000000003E-8</c:v>
                </c:pt>
                <c:pt idx="492">
                  <c:v>5.6145999999999999E-8</c:v>
                </c:pt>
                <c:pt idx="493">
                  <c:v>5.6873000000000002E-8</c:v>
                </c:pt>
                <c:pt idx="494">
                  <c:v>5.7609600000000003E-8</c:v>
                </c:pt>
                <c:pt idx="495">
                  <c:v>5.8355600000000001E-8</c:v>
                </c:pt>
                <c:pt idx="496">
                  <c:v>5.9111300000000002E-8</c:v>
                </c:pt>
                <c:pt idx="497">
                  <c:v>5.9876800000000003E-8</c:v>
                </c:pt>
                <c:pt idx="498">
                  <c:v>6.0652200000000004E-8</c:v>
                </c:pt>
                <c:pt idx="499">
                  <c:v>6.1437699999999994E-8</c:v>
                </c:pt>
                <c:pt idx="500">
                  <c:v>6.2233300000000002E-8</c:v>
                </c:pt>
                <c:pt idx="501">
                  <c:v>6.3039199999999997E-8</c:v>
                </c:pt>
                <c:pt idx="502">
                  <c:v>6.3855600000000004E-8</c:v>
                </c:pt>
                <c:pt idx="503">
                  <c:v>6.4682499999999997E-8</c:v>
                </c:pt>
                <c:pt idx="504">
                  <c:v>6.5520200000000005E-8</c:v>
                </c:pt>
                <c:pt idx="505">
                  <c:v>6.6368700000000001E-8</c:v>
                </c:pt>
                <c:pt idx="506">
                  <c:v>6.7228100000000004E-8</c:v>
                </c:pt>
                <c:pt idx="507">
                  <c:v>6.8098700000000003E-8</c:v>
                </c:pt>
                <c:pt idx="508">
                  <c:v>6.8980600000000006E-8</c:v>
                </c:pt>
                <c:pt idx="509">
                  <c:v>6.9873900000000002E-8</c:v>
                </c:pt>
                <c:pt idx="510">
                  <c:v>7.0778800000000004E-8</c:v>
                </c:pt>
                <c:pt idx="511">
                  <c:v>7.1695400000000003E-8</c:v>
                </c:pt>
                <c:pt idx="512">
                  <c:v>7.2623899999999997E-8</c:v>
                </c:pt>
                <c:pt idx="513">
                  <c:v>7.3564400000000005E-8</c:v>
                </c:pt>
                <c:pt idx="514">
                  <c:v>7.4517000000000005E-8</c:v>
                </c:pt>
                <c:pt idx="515">
                  <c:v>7.5482000000000001E-8</c:v>
                </c:pt>
                <c:pt idx="516">
                  <c:v>7.6459499999999997E-8</c:v>
                </c:pt>
                <c:pt idx="517">
                  <c:v>7.7449700000000006E-8</c:v>
                </c:pt>
                <c:pt idx="518">
                  <c:v>7.8452700000000005E-8</c:v>
                </c:pt>
                <c:pt idx="519">
                  <c:v>7.94686E-8</c:v>
                </c:pt>
                <c:pt idx="520">
                  <c:v>8.0497699999999994E-8</c:v>
                </c:pt>
                <c:pt idx="521">
                  <c:v>8.1540199999999998E-8</c:v>
                </c:pt>
                <c:pt idx="522">
                  <c:v>8.2596200000000005E-8</c:v>
                </c:pt>
                <c:pt idx="523">
                  <c:v>8.3665800000000005E-8</c:v>
                </c:pt>
                <c:pt idx="524">
                  <c:v>8.4749300000000003E-8</c:v>
                </c:pt>
                <c:pt idx="525">
                  <c:v>8.5846800000000003E-8</c:v>
                </c:pt>
                <c:pt idx="526">
                  <c:v>8.6958500000000004E-8</c:v>
                </c:pt>
                <c:pt idx="527">
                  <c:v>8.8084600000000002E-8</c:v>
                </c:pt>
                <c:pt idx="528">
                  <c:v>8.9225299999999996E-8</c:v>
                </c:pt>
                <c:pt idx="529">
                  <c:v>9.0380799999999996E-8</c:v>
                </c:pt>
                <c:pt idx="530">
                  <c:v>9.1551199999999995E-8</c:v>
                </c:pt>
                <c:pt idx="531">
                  <c:v>9.2736799999999994E-8</c:v>
                </c:pt>
                <c:pt idx="532">
                  <c:v>9.3937800000000006E-8</c:v>
                </c:pt>
                <c:pt idx="533">
                  <c:v>9.5154299999999996E-8</c:v>
                </c:pt>
                <c:pt idx="534">
                  <c:v>9.6386500000000001E-8</c:v>
                </c:pt>
                <c:pt idx="535">
                  <c:v>9.7634699999999997E-8</c:v>
                </c:pt>
                <c:pt idx="536">
                  <c:v>9.8899099999999997E-8</c:v>
                </c:pt>
                <c:pt idx="537">
                  <c:v>1.0018E-7</c:v>
                </c:pt>
                <c:pt idx="538">
                  <c:v>1.01477E-7</c:v>
                </c:pt>
                <c:pt idx="539">
                  <c:v>1.02791E-7</c:v>
                </c:pt>
                <c:pt idx="540">
                  <c:v>1.04123E-7</c:v>
                </c:pt>
                <c:pt idx="541">
                  <c:v>1.0547100000000001E-7</c:v>
                </c:pt>
                <c:pt idx="542">
                  <c:v>1.0683700000000001E-7</c:v>
                </c:pt>
                <c:pt idx="543">
                  <c:v>1.0822E-7</c:v>
                </c:pt>
                <c:pt idx="544">
                  <c:v>1.09622E-7</c:v>
                </c:pt>
                <c:pt idx="545">
                  <c:v>1.1104099999999999E-7</c:v>
                </c:pt>
                <c:pt idx="546">
                  <c:v>1.12479E-7</c:v>
                </c:pt>
                <c:pt idx="547">
                  <c:v>1.13936E-7</c:v>
                </c:pt>
                <c:pt idx="548">
                  <c:v>1.15411E-7</c:v>
                </c:pt>
                <c:pt idx="549">
                  <c:v>1.16906E-7</c:v>
                </c:pt>
                <c:pt idx="550">
                  <c:v>1.1842E-7</c:v>
                </c:pt>
                <c:pt idx="551">
                  <c:v>1.1995399999999999E-7</c:v>
                </c:pt>
                <c:pt idx="552">
                  <c:v>1.21507E-7</c:v>
                </c:pt>
                <c:pt idx="553">
                  <c:v>1.2307999999999999E-7</c:v>
                </c:pt>
                <c:pt idx="554">
                  <c:v>1.24674E-7</c:v>
                </c:pt>
                <c:pt idx="555">
                  <c:v>1.26289E-7</c:v>
                </c:pt>
                <c:pt idx="556">
                  <c:v>1.27924E-7</c:v>
                </c:pt>
                <c:pt idx="557">
                  <c:v>1.29581E-7</c:v>
                </c:pt>
                <c:pt idx="558">
                  <c:v>1.31259E-7</c:v>
                </c:pt>
                <c:pt idx="559">
                  <c:v>1.3295899999999999E-7</c:v>
                </c:pt>
                <c:pt idx="560">
                  <c:v>1.3468099999999999E-7</c:v>
                </c:pt>
                <c:pt idx="561">
                  <c:v>1.3642500000000001E-7</c:v>
                </c:pt>
                <c:pt idx="562">
                  <c:v>1.38192E-7</c:v>
                </c:pt>
                <c:pt idx="563">
                  <c:v>1.3998099999999999E-7</c:v>
                </c:pt>
                <c:pt idx="564">
                  <c:v>1.4179400000000001E-7</c:v>
                </c:pt>
                <c:pt idx="565">
                  <c:v>1.4363E-7</c:v>
                </c:pt>
                <c:pt idx="566">
                  <c:v>1.4548999999999999E-7</c:v>
                </c:pt>
                <c:pt idx="567">
                  <c:v>1.4737400000000001E-7</c:v>
                </c:pt>
                <c:pt idx="568">
                  <c:v>1.49283E-7</c:v>
                </c:pt>
                <c:pt idx="569">
                  <c:v>1.51216E-7</c:v>
                </c:pt>
                <c:pt idx="570">
                  <c:v>1.5317399999999999E-7</c:v>
                </c:pt>
                <c:pt idx="571">
                  <c:v>1.5515799999999999E-7</c:v>
                </c:pt>
                <c:pt idx="572">
                  <c:v>1.5716699999999999E-7</c:v>
                </c:pt>
                <c:pt idx="573">
                  <c:v>1.59203E-7</c:v>
                </c:pt>
                <c:pt idx="574">
                  <c:v>1.6126400000000001E-7</c:v>
                </c:pt>
                <c:pt idx="575">
                  <c:v>1.6335299999999999E-7</c:v>
                </c:pt>
                <c:pt idx="576">
                  <c:v>1.6546800000000001E-7</c:v>
                </c:pt>
                <c:pt idx="577">
                  <c:v>1.67611E-7</c:v>
                </c:pt>
                <c:pt idx="578">
                  <c:v>1.69782E-7</c:v>
                </c:pt>
                <c:pt idx="579">
                  <c:v>1.7198000000000001E-7</c:v>
                </c:pt>
                <c:pt idx="580">
                  <c:v>1.7420699999999999E-7</c:v>
                </c:pt>
                <c:pt idx="581">
                  <c:v>1.7646300000000001E-7</c:v>
                </c:pt>
                <c:pt idx="582">
                  <c:v>1.7874900000000001E-7</c:v>
                </c:pt>
                <c:pt idx="583">
                  <c:v>1.8106300000000001E-7</c:v>
                </c:pt>
                <c:pt idx="584">
                  <c:v>1.83408E-7</c:v>
                </c:pt>
                <c:pt idx="585">
                  <c:v>1.8578299999999999E-7</c:v>
                </c:pt>
                <c:pt idx="586">
                  <c:v>1.8818899999999999E-7</c:v>
                </c:pt>
                <c:pt idx="587">
                  <c:v>1.90626E-7</c:v>
                </c:pt>
                <c:pt idx="588">
                  <c:v>1.93095E-7</c:v>
                </c:pt>
                <c:pt idx="589">
                  <c:v>1.95596E-7</c:v>
                </c:pt>
                <c:pt idx="590">
                  <c:v>1.9812800000000001E-7</c:v>
                </c:pt>
                <c:pt idx="591">
                  <c:v>2.0069400000000001E-7</c:v>
                </c:pt>
                <c:pt idx="592">
                  <c:v>2.0329299999999999E-7</c:v>
                </c:pt>
                <c:pt idx="593">
                  <c:v>2.0592599999999999E-7</c:v>
                </c:pt>
                <c:pt idx="594">
                  <c:v>2.0859299999999999E-7</c:v>
                </c:pt>
                <c:pt idx="595">
                  <c:v>2.1129400000000001E-7</c:v>
                </c:pt>
                <c:pt idx="596">
                  <c:v>2.1402999999999999E-7</c:v>
                </c:pt>
                <c:pt idx="597">
                  <c:v>2.1680200000000001E-7</c:v>
                </c:pt>
                <c:pt idx="598">
                  <c:v>2.1960999999999999E-7</c:v>
                </c:pt>
                <c:pt idx="599">
                  <c:v>2.2245399999999999E-7</c:v>
                </c:pt>
                <c:pt idx="600">
                  <c:v>2.25334E-7</c:v>
                </c:pt>
                <c:pt idx="601">
                  <c:v>2.28252E-7</c:v>
                </c:pt>
                <c:pt idx="602">
                  <c:v>2.3120799999999999E-7</c:v>
                </c:pt>
                <c:pt idx="603">
                  <c:v>2.34202E-7</c:v>
                </c:pt>
                <c:pt idx="604">
                  <c:v>2.3723499999999999E-7</c:v>
                </c:pt>
                <c:pt idx="605">
                  <c:v>2.4030800000000001E-7</c:v>
                </c:pt>
                <c:pt idx="606">
                  <c:v>2.4341999999999999E-7</c:v>
                </c:pt>
                <c:pt idx="607">
                  <c:v>2.4657200000000002E-7</c:v>
                </c:pt>
                <c:pt idx="608">
                  <c:v>2.4976500000000001E-7</c:v>
                </c:pt>
                <c:pt idx="609">
                  <c:v>2.53E-7</c:v>
                </c:pt>
                <c:pt idx="610">
                  <c:v>2.5627600000000001E-7</c:v>
                </c:pt>
                <c:pt idx="611">
                  <c:v>2.5959499999999999E-7</c:v>
                </c:pt>
                <c:pt idx="612">
                  <c:v>2.6295699999999999E-7</c:v>
                </c:pt>
                <c:pt idx="613">
                  <c:v>2.6636200000000001E-7</c:v>
                </c:pt>
                <c:pt idx="614">
                  <c:v>2.6981099999999998E-7</c:v>
                </c:pt>
                <c:pt idx="615">
                  <c:v>2.7330500000000002E-7</c:v>
                </c:pt>
                <c:pt idx="616">
                  <c:v>2.7684500000000001E-7</c:v>
                </c:pt>
                <c:pt idx="617">
                  <c:v>2.8042999999999998E-7</c:v>
                </c:pt>
                <c:pt idx="618">
                  <c:v>2.8406099999999999E-7</c:v>
                </c:pt>
                <c:pt idx="619">
                  <c:v>2.8774000000000001E-7</c:v>
                </c:pt>
                <c:pt idx="620">
                  <c:v>2.91466E-7</c:v>
                </c:pt>
                <c:pt idx="621">
                  <c:v>2.9524100000000002E-7</c:v>
                </c:pt>
                <c:pt idx="622">
                  <c:v>2.9906399999999998E-7</c:v>
                </c:pt>
                <c:pt idx="623">
                  <c:v>3.0293700000000001E-7</c:v>
                </c:pt>
                <c:pt idx="624">
                  <c:v>3.0685999999999998E-7</c:v>
                </c:pt>
                <c:pt idx="625">
                  <c:v>3.1083399999999999E-7</c:v>
                </c:pt>
                <c:pt idx="626">
                  <c:v>3.1485899999999997E-7</c:v>
                </c:pt>
                <c:pt idx="627">
                  <c:v>3.1893699999999999E-7</c:v>
                </c:pt>
                <c:pt idx="628">
                  <c:v>3.2306700000000002E-7</c:v>
                </c:pt>
                <c:pt idx="629">
                  <c:v>3.27251E-7</c:v>
                </c:pt>
                <c:pt idx="630">
                  <c:v>3.3148899999999998E-7</c:v>
                </c:pt>
                <c:pt idx="631">
                  <c:v>3.3578200000000001E-7</c:v>
                </c:pt>
                <c:pt idx="632">
                  <c:v>3.4013000000000002E-7</c:v>
                </c:pt>
                <c:pt idx="633">
                  <c:v>3.4453500000000001E-7</c:v>
                </c:pt>
                <c:pt idx="634">
                  <c:v>3.4899600000000001E-7</c:v>
                </c:pt>
                <c:pt idx="635">
                  <c:v>3.53516E-7</c:v>
                </c:pt>
                <c:pt idx="636">
                  <c:v>3.58094E-7</c:v>
                </c:pt>
                <c:pt idx="637">
                  <c:v>3.6273099999999999E-7</c:v>
                </c:pt>
                <c:pt idx="638">
                  <c:v>3.6742899999999997E-7</c:v>
                </c:pt>
                <c:pt idx="639">
                  <c:v>3.7218700000000002E-7</c:v>
                </c:pt>
                <c:pt idx="640">
                  <c:v>3.7700699999999998E-7</c:v>
                </c:pt>
                <c:pt idx="641">
                  <c:v>3.8188900000000001E-7</c:v>
                </c:pt>
                <c:pt idx="642">
                  <c:v>3.8683500000000001E-7</c:v>
                </c:pt>
                <c:pt idx="643">
                  <c:v>3.91844E-7</c:v>
                </c:pt>
                <c:pt idx="644">
                  <c:v>3.9691900000000001E-7</c:v>
                </c:pt>
                <c:pt idx="645">
                  <c:v>4.0205900000000001E-7</c:v>
                </c:pt>
                <c:pt idx="646">
                  <c:v>4.0726499999999999E-7</c:v>
                </c:pt>
                <c:pt idx="647">
                  <c:v>4.1253899999999999E-7</c:v>
                </c:pt>
                <c:pt idx="648">
                  <c:v>4.1788199999999998E-7</c:v>
                </c:pt>
                <c:pt idx="649">
                  <c:v>4.2329399999999998E-7</c:v>
                </c:pt>
                <c:pt idx="650">
                  <c:v>4.2877500000000003E-7</c:v>
                </c:pt>
                <c:pt idx="651">
                  <c:v>4.34328E-7</c:v>
                </c:pt>
                <c:pt idx="652">
                  <c:v>4.3995200000000002E-7</c:v>
                </c:pt>
                <c:pt idx="653">
                  <c:v>4.4565000000000002E-7</c:v>
                </c:pt>
                <c:pt idx="654">
                  <c:v>4.5142099999999998E-7</c:v>
                </c:pt>
                <c:pt idx="655">
                  <c:v>4.5726699999999999E-7</c:v>
                </c:pt>
                <c:pt idx="656">
                  <c:v>4.6318899999999998E-7</c:v>
                </c:pt>
                <c:pt idx="657">
                  <c:v>4.69187E-7</c:v>
                </c:pt>
                <c:pt idx="658">
                  <c:v>4.7526300000000001E-7</c:v>
                </c:pt>
                <c:pt idx="659">
                  <c:v>4.8141800000000003E-7</c:v>
                </c:pt>
                <c:pt idx="660">
                  <c:v>4.8765199999999995E-7</c:v>
                </c:pt>
                <c:pt idx="661">
                  <c:v>4.9396699999999999E-7</c:v>
                </c:pt>
                <c:pt idx="662">
                  <c:v>5.0036399999999997E-7</c:v>
                </c:pt>
                <c:pt idx="663">
                  <c:v>5.0684400000000001E-7</c:v>
                </c:pt>
                <c:pt idx="664">
                  <c:v>5.1340800000000004E-7</c:v>
                </c:pt>
                <c:pt idx="665">
                  <c:v>5.2005599999999996E-7</c:v>
                </c:pt>
                <c:pt idx="666">
                  <c:v>5.2679100000000005E-7</c:v>
                </c:pt>
                <c:pt idx="667">
                  <c:v>5.33613E-7</c:v>
                </c:pt>
                <c:pt idx="668">
                  <c:v>5.4052299999999995E-7</c:v>
                </c:pt>
                <c:pt idx="669">
                  <c:v>5.4752300000000005E-7</c:v>
                </c:pt>
                <c:pt idx="670">
                  <c:v>5.5461400000000002E-7</c:v>
                </c:pt>
                <c:pt idx="671">
                  <c:v>5.6179599999999996E-7</c:v>
                </c:pt>
                <c:pt idx="672">
                  <c:v>5.6907100000000003E-7</c:v>
                </c:pt>
                <c:pt idx="673">
                  <c:v>5.7644099999999997E-7</c:v>
                </c:pt>
                <c:pt idx="674">
                  <c:v>5.8390599999999999E-7</c:v>
                </c:pt>
                <c:pt idx="675">
                  <c:v>5.9146700000000001E-7</c:v>
                </c:pt>
                <c:pt idx="676">
                  <c:v>5.9912700000000002E-7</c:v>
                </c:pt>
                <c:pt idx="677">
                  <c:v>6.06886E-7</c:v>
                </c:pt>
                <c:pt idx="678">
                  <c:v>6.1474499999999999E-7</c:v>
                </c:pt>
                <c:pt idx="679">
                  <c:v>6.2270600000000004E-7</c:v>
                </c:pt>
                <c:pt idx="680">
                  <c:v>6.3076999999999998E-7</c:v>
                </c:pt>
                <c:pt idx="681">
                  <c:v>6.3893899999999995E-7</c:v>
                </c:pt>
                <c:pt idx="682">
                  <c:v>6.4721299999999996E-7</c:v>
                </c:pt>
                <c:pt idx="683">
                  <c:v>6.5559399999999996E-7</c:v>
                </c:pt>
                <c:pt idx="684">
                  <c:v>6.6408400000000001E-7</c:v>
                </c:pt>
                <c:pt idx="685">
                  <c:v>6.7268400000000002E-7</c:v>
                </c:pt>
                <c:pt idx="686">
                  <c:v>6.8139600000000005E-7</c:v>
                </c:pt>
                <c:pt idx="687">
                  <c:v>6.9022E-7</c:v>
                </c:pt>
                <c:pt idx="688">
                  <c:v>6.9915800000000002E-7</c:v>
                </c:pt>
                <c:pt idx="689">
                  <c:v>7.0821199999999996E-7</c:v>
                </c:pt>
                <c:pt idx="690">
                  <c:v>7.1738399999999999E-7</c:v>
                </c:pt>
                <c:pt idx="691">
                  <c:v>7.2667399999999999E-7</c:v>
                </c:pt>
                <c:pt idx="692">
                  <c:v>7.3608400000000002E-7</c:v>
                </c:pt>
                <c:pt idx="693">
                  <c:v>7.4561700000000005E-7</c:v>
                </c:pt>
                <c:pt idx="694">
                  <c:v>7.5527199999999996E-7</c:v>
                </c:pt>
                <c:pt idx="695">
                  <c:v>7.6505299999999996E-7</c:v>
                </c:pt>
                <c:pt idx="696">
                  <c:v>7.7496099999999997E-7</c:v>
                </c:pt>
                <c:pt idx="697">
                  <c:v>7.8499700000000002E-7</c:v>
                </c:pt>
                <c:pt idx="698">
                  <c:v>7.9516200000000004E-7</c:v>
                </c:pt>
                <c:pt idx="699">
                  <c:v>8.0546000000000001E-7</c:v>
                </c:pt>
                <c:pt idx="700">
                  <c:v>8.1589099999999996E-7</c:v>
                </c:pt>
                <c:pt idx="701">
                  <c:v>8.26456E-7</c:v>
                </c:pt>
                <c:pt idx="702">
                  <c:v>8.3715900000000004E-7</c:v>
                </c:pt>
                <c:pt idx="703">
                  <c:v>8.4799999999999997E-7</c:v>
                </c:pt>
                <c:pt idx="704">
                  <c:v>8.5898199999999998E-7</c:v>
                </c:pt>
                <c:pt idx="705">
                  <c:v>8.70106E-7</c:v>
                </c:pt>
                <c:pt idx="706">
                  <c:v>8.8137399999999996E-7</c:v>
                </c:pt>
                <c:pt idx="707">
                  <c:v>8.9278800000000004E-7</c:v>
                </c:pt>
                <c:pt idx="708">
                  <c:v>9.0434999999999997E-7</c:v>
                </c:pt>
                <c:pt idx="709">
                  <c:v>9.1606099999999999E-7</c:v>
                </c:pt>
                <c:pt idx="710">
                  <c:v>9.2792399999999997E-7</c:v>
                </c:pt>
                <c:pt idx="711">
                  <c:v>9.3994099999999996E-7</c:v>
                </c:pt>
                <c:pt idx="712">
                  <c:v>9.52113E-7</c:v>
                </c:pt>
                <c:pt idx="713">
                  <c:v>9.6444299999999995E-7</c:v>
                </c:pt>
                <c:pt idx="714">
                  <c:v>9.7693299999999998E-7</c:v>
                </c:pt>
                <c:pt idx="715">
                  <c:v>9.89584E-7</c:v>
                </c:pt>
                <c:pt idx="716">
                  <c:v>1.0023999999999999E-6</c:v>
                </c:pt>
                <c:pt idx="717">
                  <c:v>1.0153799999999999E-6</c:v>
                </c:pt>
                <c:pt idx="718">
                  <c:v>1.02853E-6</c:v>
                </c:pt>
                <c:pt idx="719">
                  <c:v>1.04185E-6</c:v>
                </c:pt>
                <c:pt idx="720">
                  <c:v>1.0553399999999999E-6</c:v>
                </c:pt>
                <c:pt idx="721">
                  <c:v>1.0690099999999999E-6</c:v>
                </c:pt>
                <c:pt idx="722">
                  <c:v>1.0828499999999999E-6</c:v>
                </c:pt>
                <c:pt idx="723">
                  <c:v>1.0968700000000001E-6</c:v>
                </c:pt>
                <c:pt idx="724">
                  <c:v>1.1110799999999999E-6</c:v>
                </c:pt>
                <c:pt idx="725">
                  <c:v>1.1254700000000001E-6</c:v>
                </c:pt>
                <c:pt idx="726">
                  <c:v>1.1400399999999999E-6</c:v>
                </c:pt>
                <c:pt idx="727">
                  <c:v>1.15481E-6</c:v>
                </c:pt>
                <c:pt idx="728">
                  <c:v>1.16976E-6</c:v>
                </c:pt>
                <c:pt idx="729">
                  <c:v>1.1849099999999999E-6</c:v>
                </c:pt>
                <c:pt idx="730">
                  <c:v>1.2002500000000001E-6</c:v>
                </c:pt>
                <c:pt idx="731">
                  <c:v>1.2158000000000001E-6</c:v>
                </c:pt>
                <c:pt idx="732">
                  <c:v>1.23154E-6</c:v>
                </c:pt>
                <c:pt idx="733">
                  <c:v>1.2474900000000001E-6</c:v>
                </c:pt>
                <c:pt idx="734">
                  <c:v>1.26365E-6</c:v>
                </c:pt>
                <c:pt idx="735">
                  <c:v>1.2800100000000001E-6</c:v>
                </c:pt>
                <c:pt idx="736">
                  <c:v>1.2965899999999999E-6</c:v>
                </c:pt>
                <c:pt idx="737">
                  <c:v>1.3133800000000001E-6</c:v>
                </c:pt>
                <c:pt idx="738">
                  <c:v>1.3303899999999999E-6</c:v>
                </c:pt>
                <c:pt idx="739">
                  <c:v>1.3476100000000001E-6</c:v>
                </c:pt>
                <c:pt idx="740">
                  <c:v>1.3650700000000001E-6</c:v>
                </c:pt>
                <c:pt idx="741">
                  <c:v>1.38274E-6</c:v>
                </c:pt>
                <c:pt idx="742">
                  <c:v>1.4006500000000001E-6</c:v>
                </c:pt>
                <c:pt idx="743">
                  <c:v>1.41879E-6</c:v>
                </c:pt>
                <c:pt idx="744">
                  <c:v>1.4371599999999999E-6</c:v>
                </c:pt>
                <c:pt idx="745">
                  <c:v>1.4557699999999999E-6</c:v>
                </c:pt>
                <c:pt idx="746">
                  <c:v>1.47463E-6</c:v>
                </c:pt>
                <c:pt idx="747">
                  <c:v>1.4937199999999999E-6</c:v>
                </c:pt>
                <c:pt idx="748">
                  <c:v>1.51307E-6</c:v>
                </c:pt>
                <c:pt idx="749">
                  <c:v>1.5326599999999999E-6</c:v>
                </c:pt>
                <c:pt idx="750">
                  <c:v>1.55251E-6</c:v>
                </c:pt>
                <c:pt idx="751">
                  <c:v>1.5726100000000001E-6</c:v>
                </c:pt>
                <c:pt idx="752">
                  <c:v>1.5929799999999999E-6</c:v>
                </c:pt>
                <c:pt idx="753">
                  <c:v>1.61361E-6</c:v>
                </c:pt>
                <c:pt idx="754">
                  <c:v>1.63451E-6</c:v>
                </c:pt>
                <c:pt idx="755">
                  <c:v>1.6556699999999999E-6</c:v>
                </c:pt>
                <c:pt idx="756">
                  <c:v>1.6771100000000001E-6</c:v>
                </c:pt>
                <c:pt idx="757">
                  <c:v>1.6988299999999999E-6</c:v>
                </c:pt>
                <c:pt idx="758">
                  <c:v>1.7208300000000001E-6</c:v>
                </c:pt>
                <c:pt idx="759">
                  <c:v>1.74312E-6</c:v>
                </c:pt>
                <c:pt idx="760">
                  <c:v>1.76569E-6</c:v>
                </c:pt>
                <c:pt idx="761">
                  <c:v>1.7885600000000001E-6</c:v>
                </c:pt>
                <c:pt idx="762">
                  <c:v>1.8117200000000001E-6</c:v>
                </c:pt>
                <c:pt idx="763">
                  <c:v>1.8351800000000001E-6</c:v>
                </c:pt>
                <c:pt idx="764">
                  <c:v>1.85895E-6</c:v>
                </c:pt>
                <c:pt idx="765">
                  <c:v>1.8830199999999999E-6</c:v>
                </c:pt>
                <c:pt idx="766">
                  <c:v>1.90741E-6</c:v>
                </c:pt>
                <c:pt idx="767">
                  <c:v>1.93211E-6</c:v>
                </c:pt>
                <c:pt idx="768">
                  <c:v>1.9571299999999998E-6</c:v>
                </c:pt>
                <c:pt idx="769">
                  <c:v>1.9824700000000001E-6</c:v>
                </c:pt>
                <c:pt idx="770">
                  <c:v>2.00815E-6</c:v>
                </c:pt>
                <c:pt idx="771">
                  <c:v>2.0341499999999998E-6</c:v>
                </c:pt>
                <c:pt idx="772">
                  <c:v>2.0604900000000002E-6</c:v>
                </c:pt>
                <c:pt idx="773">
                  <c:v>2.08718E-6</c:v>
                </c:pt>
                <c:pt idx="774">
                  <c:v>2.1142099999999999E-6</c:v>
                </c:pt>
                <c:pt idx="775">
                  <c:v>2.1415900000000001E-6</c:v>
                </c:pt>
                <c:pt idx="776">
                  <c:v>2.1693199999999998E-6</c:v>
                </c:pt>
                <c:pt idx="777">
                  <c:v>2.1974100000000002E-6</c:v>
                </c:pt>
                <c:pt idx="778">
                  <c:v>2.2258700000000002E-6</c:v>
                </c:pt>
                <c:pt idx="779">
                  <c:v>2.2546899999999999E-6</c:v>
                </c:pt>
                <c:pt idx="780">
                  <c:v>2.28389E-6</c:v>
                </c:pt>
                <c:pt idx="781">
                  <c:v>2.31347E-6</c:v>
                </c:pt>
                <c:pt idx="782">
                  <c:v>2.3434299999999999E-6</c:v>
                </c:pt>
                <c:pt idx="783">
                  <c:v>2.3737799999999999E-6</c:v>
                </c:pt>
                <c:pt idx="784">
                  <c:v>2.4045200000000001E-6</c:v>
                </c:pt>
                <c:pt idx="785">
                  <c:v>2.43566E-6</c:v>
                </c:pt>
                <c:pt idx="786">
                  <c:v>2.4671999999999999E-6</c:v>
                </c:pt>
                <c:pt idx="787">
                  <c:v>2.49915E-6</c:v>
                </c:pt>
                <c:pt idx="788">
                  <c:v>2.5315100000000001E-6</c:v>
                </c:pt>
                <c:pt idx="789">
                  <c:v>2.5643000000000002E-6</c:v>
                </c:pt>
                <c:pt idx="790">
                  <c:v>2.5975000000000001E-6</c:v>
                </c:pt>
                <c:pt idx="791">
                  <c:v>2.6311399999999999E-6</c:v>
                </c:pt>
                <c:pt idx="792">
                  <c:v>2.6652100000000002E-6</c:v>
                </c:pt>
                <c:pt idx="793">
                  <c:v>2.6997300000000002E-6</c:v>
                </c:pt>
                <c:pt idx="794">
                  <c:v>2.73469E-6</c:v>
                </c:pt>
                <c:pt idx="795">
                  <c:v>2.7701099999999998E-6</c:v>
                </c:pt>
                <c:pt idx="796">
                  <c:v>2.8059800000000002E-6</c:v>
                </c:pt>
                <c:pt idx="797">
                  <c:v>2.84232E-6</c:v>
                </c:pt>
                <c:pt idx="798">
                  <c:v>2.8791199999999998E-6</c:v>
                </c:pt>
                <c:pt idx="799">
                  <c:v>2.91641E-6</c:v>
                </c:pt>
                <c:pt idx="800">
                  <c:v>2.9541799999999999E-6</c:v>
                </c:pt>
                <c:pt idx="801">
                  <c:v>2.9924299999999999E-6</c:v>
                </c:pt>
                <c:pt idx="802">
                  <c:v>3.03119E-6</c:v>
                </c:pt>
                <c:pt idx="803">
                  <c:v>3.0704400000000001E-6</c:v>
                </c:pt>
                <c:pt idx="804">
                  <c:v>3.1101999999999999E-6</c:v>
                </c:pt>
                <c:pt idx="805">
                  <c:v>3.15048E-6</c:v>
                </c:pt>
                <c:pt idx="806">
                  <c:v>3.1912800000000001E-6</c:v>
                </c:pt>
                <c:pt idx="807">
                  <c:v>3.23261E-6</c:v>
                </c:pt>
                <c:pt idx="808">
                  <c:v>3.2744700000000002E-6</c:v>
                </c:pt>
                <c:pt idx="809">
                  <c:v>3.31687E-6</c:v>
                </c:pt>
                <c:pt idx="810">
                  <c:v>3.35983E-6</c:v>
                </c:pt>
                <c:pt idx="811">
                  <c:v>3.4033399999999999E-6</c:v>
                </c:pt>
                <c:pt idx="812">
                  <c:v>3.4474100000000001E-6</c:v>
                </c:pt>
                <c:pt idx="813">
                  <c:v>3.4920600000000002E-6</c:v>
                </c:pt>
                <c:pt idx="814">
                  <c:v>3.5372799999999999E-6</c:v>
                </c:pt>
                <c:pt idx="815">
                  <c:v>3.5830900000000002E-6</c:v>
                </c:pt>
                <c:pt idx="816">
                  <c:v>3.6294899999999999E-6</c:v>
                </c:pt>
                <c:pt idx="817">
                  <c:v>3.67649E-6</c:v>
                </c:pt>
                <c:pt idx="818">
                  <c:v>3.7241000000000001E-6</c:v>
                </c:pt>
                <c:pt idx="819">
                  <c:v>3.7723299999999998E-6</c:v>
                </c:pt>
                <c:pt idx="820">
                  <c:v>3.8211800000000002E-6</c:v>
                </c:pt>
                <c:pt idx="821">
                  <c:v>3.8706599999999998E-6</c:v>
                </c:pt>
                <c:pt idx="822">
                  <c:v>3.9207899999999999E-6</c:v>
                </c:pt>
                <c:pt idx="823">
                  <c:v>3.97156E-6</c:v>
                </c:pt>
                <c:pt idx="824">
                  <c:v>4.0230000000000003E-6</c:v>
                </c:pt>
                <c:pt idx="825">
                  <c:v>4.0750900000000003E-6</c:v>
                </c:pt>
                <c:pt idx="826">
                  <c:v>4.1278700000000003E-6</c:v>
                </c:pt>
                <c:pt idx="827">
                  <c:v>4.1813199999999998E-6</c:v>
                </c:pt>
                <c:pt idx="828">
                  <c:v>4.23547E-6</c:v>
                </c:pt>
                <c:pt idx="829">
                  <c:v>4.2903199999999999E-6</c:v>
                </c:pt>
                <c:pt idx="830">
                  <c:v>4.3458799999999996E-6</c:v>
                </c:pt>
                <c:pt idx="831">
                  <c:v>4.4021599999999997E-6</c:v>
                </c:pt>
                <c:pt idx="832">
                  <c:v>4.45917E-6</c:v>
                </c:pt>
                <c:pt idx="833">
                  <c:v>4.5169199999999996E-6</c:v>
                </c:pt>
                <c:pt idx="834">
                  <c:v>4.5754100000000001E-6</c:v>
                </c:pt>
                <c:pt idx="835">
                  <c:v>4.6346599999999996E-6</c:v>
                </c:pt>
                <c:pt idx="836">
                  <c:v>4.6946799999999996E-6</c:v>
                </c:pt>
                <c:pt idx="837">
                  <c:v>4.7554799999999999E-6</c:v>
                </c:pt>
                <c:pt idx="838">
                  <c:v>4.8170599999999998E-6</c:v>
                </c:pt>
                <c:pt idx="839">
                  <c:v>4.8794399999999997E-6</c:v>
                </c:pt>
                <c:pt idx="840">
                  <c:v>4.9426300000000003E-6</c:v>
                </c:pt>
                <c:pt idx="841">
                  <c:v>5.0066399999999999E-6</c:v>
                </c:pt>
                <c:pt idx="842">
                  <c:v>5.0714799999999999E-6</c:v>
                </c:pt>
                <c:pt idx="843">
                  <c:v>5.1371499999999996E-6</c:v>
                </c:pt>
                <c:pt idx="844">
                  <c:v>5.2036800000000001E-6</c:v>
                </c:pt>
                <c:pt idx="845">
                  <c:v>5.2710699999999998E-6</c:v>
                </c:pt>
                <c:pt idx="846">
                  <c:v>5.3393300000000003E-6</c:v>
                </c:pt>
                <c:pt idx="847">
                  <c:v>5.4084700000000004E-6</c:v>
                </c:pt>
                <c:pt idx="848">
                  <c:v>5.47851E-6</c:v>
                </c:pt>
                <c:pt idx="849">
                  <c:v>5.5494599999999997E-6</c:v>
                </c:pt>
                <c:pt idx="850">
                  <c:v>5.6213300000000003E-6</c:v>
                </c:pt>
                <c:pt idx="851">
                  <c:v>5.69412E-6</c:v>
                </c:pt>
                <c:pt idx="852">
                  <c:v>5.76786E-6</c:v>
                </c:pt>
                <c:pt idx="853">
                  <c:v>5.8425600000000004E-6</c:v>
                </c:pt>
                <c:pt idx="854">
                  <c:v>5.9182200000000001E-6</c:v>
                </c:pt>
                <c:pt idx="855">
                  <c:v>5.9948599999999997E-6</c:v>
                </c:pt>
                <c:pt idx="856">
                  <c:v>6.07249E-6</c:v>
                </c:pt>
                <c:pt idx="857">
                  <c:v>6.1511299999999998E-6</c:v>
                </c:pt>
                <c:pt idx="858">
                  <c:v>6.2307899999999999E-6</c:v>
                </c:pt>
                <c:pt idx="859">
                  <c:v>6.3114799999999999E-6</c:v>
                </c:pt>
                <c:pt idx="860">
                  <c:v>6.3932099999999999E-6</c:v>
                </c:pt>
                <c:pt idx="861">
                  <c:v>6.4760100000000002E-6</c:v>
                </c:pt>
                <c:pt idx="862">
                  <c:v>6.5598700000000001E-6</c:v>
                </c:pt>
                <c:pt idx="863">
                  <c:v>6.64482E-6</c:v>
                </c:pt>
                <c:pt idx="864">
                  <c:v>6.7308699999999998E-6</c:v>
                </c:pt>
                <c:pt idx="865">
                  <c:v>6.81804E-6</c:v>
                </c:pt>
                <c:pt idx="866">
                  <c:v>6.9063299999999998E-6</c:v>
                </c:pt>
                <c:pt idx="867">
                  <c:v>6.9957699999999996E-6</c:v>
                </c:pt>
                <c:pt idx="868">
                  <c:v>7.0863700000000001E-6</c:v>
                </c:pt>
                <c:pt idx="869">
                  <c:v>7.1781400000000002E-6</c:v>
                </c:pt>
                <c:pt idx="870">
                  <c:v>7.2710899999999999E-6</c:v>
                </c:pt>
                <c:pt idx="871">
                  <c:v>7.3652500000000003E-6</c:v>
                </c:pt>
                <c:pt idx="872">
                  <c:v>7.4606299999999998E-6</c:v>
                </c:pt>
                <c:pt idx="873">
                  <c:v>7.5572500000000004E-6</c:v>
                </c:pt>
                <c:pt idx="874">
                  <c:v>7.6551200000000003E-6</c:v>
                </c:pt>
                <c:pt idx="875">
                  <c:v>7.7542499999999995E-6</c:v>
                </c:pt>
                <c:pt idx="876">
                  <c:v>7.8546700000000008E-6</c:v>
                </c:pt>
                <c:pt idx="877">
                  <c:v>7.9563899999999999E-6</c:v>
                </c:pt>
                <c:pt idx="878">
                  <c:v>8.0594299999999998E-6</c:v>
                </c:pt>
                <c:pt idx="879">
                  <c:v>8.1637999999999997E-6</c:v>
                </c:pt>
                <c:pt idx="880">
                  <c:v>8.2695200000000007E-6</c:v>
                </c:pt>
                <c:pt idx="881">
                  <c:v>8.3766099999999994E-6</c:v>
                </c:pt>
                <c:pt idx="882">
                  <c:v>8.4850900000000004E-6</c:v>
                </c:pt>
                <c:pt idx="883">
                  <c:v>8.5949699999999995E-6</c:v>
                </c:pt>
                <c:pt idx="884">
                  <c:v>8.7062699999999996E-6</c:v>
                </c:pt>
                <c:pt idx="885">
                  <c:v>8.8190199999999995E-6</c:v>
                </c:pt>
                <c:pt idx="886">
                  <c:v>8.9332299999999998E-6</c:v>
                </c:pt>
                <c:pt idx="887">
                  <c:v>9.0489099999999997E-6</c:v>
                </c:pt>
                <c:pt idx="888">
                  <c:v>9.1661000000000002E-6</c:v>
                </c:pt>
                <c:pt idx="889">
                  <c:v>9.2847999999999996E-6</c:v>
                </c:pt>
                <c:pt idx="890">
                  <c:v>9.40504E-6</c:v>
                </c:pt>
                <c:pt idx="891">
                  <c:v>9.5268399999999994E-6</c:v>
                </c:pt>
                <c:pt idx="892">
                  <c:v>9.6502100000000002E-6</c:v>
                </c:pt>
                <c:pt idx="893">
                  <c:v>9.7751799999999995E-6</c:v>
                </c:pt>
                <c:pt idx="894">
                  <c:v>9.9017700000000002E-6</c:v>
                </c:pt>
                <c:pt idx="895">
                  <c:v>1.0030000000000001E-5</c:v>
                </c:pt>
                <c:pt idx="896">
                  <c:v>1.0159900000000001E-5</c:v>
                </c:pt>
                <c:pt idx="897">
                  <c:v>1.02915E-5</c:v>
                </c:pt>
                <c:pt idx="898">
                  <c:v>1.04247E-5</c:v>
                </c:pt>
                <c:pt idx="899">
                  <c:v>1.05597E-5</c:v>
                </c:pt>
                <c:pt idx="900">
                  <c:v>1.06965E-5</c:v>
                </c:pt>
                <c:pt idx="901">
                  <c:v>1.0835E-5</c:v>
                </c:pt>
                <c:pt idx="902">
                  <c:v>1.09753E-5</c:v>
                </c:pt>
                <c:pt idx="903">
                  <c:v>1.11175E-5</c:v>
                </c:pt>
                <c:pt idx="904">
                  <c:v>1.12614E-5</c:v>
                </c:pt>
                <c:pt idx="905">
                  <c:v>1.14073E-5</c:v>
                </c:pt>
                <c:pt idx="906">
                  <c:v>1.1555E-5</c:v>
                </c:pt>
                <c:pt idx="907">
                  <c:v>1.17046E-5</c:v>
                </c:pt>
                <c:pt idx="908">
                  <c:v>1.18562E-5</c:v>
                </c:pt>
                <c:pt idx="909">
                  <c:v>1.20097E-5</c:v>
                </c:pt>
                <c:pt idx="910">
                  <c:v>1.21653E-5</c:v>
                </c:pt>
                <c:pt idx="911">
                  <c:v>1.23228E-5</c:v>
                </c:pt>
                <c:pt idx="912">
                  <c:v>1.2482399999999999E-5</c:v>
                </c:pt>
                <c:pt idx="913">
                  <c:v>1.2644E-5</c:v>
                </c:pt>
                <c:pt idx="914">
                  <c:v>1.28078E-5</c:v>
                </c:pt>
                <c:pt idx="915">
                  <c:v>1.2973600000000001E-5</c:v>
                </c:pt>
                <c:pt idx="916">
                  <c:v>1.31416E-5</c:v>
                </c:pt>
                <c:pt idx="917">
                  <c:v>1.33118E-5</c:v>
                </c:pt>
                <c:pt idx="918">
                  <c:v>1.34842E-5</c:v>
                </c:pt>
                <c:pt idx="919">
                  <c:v>1.36588E-5</c:v>
                </c:pt>
                <c:pt idx="920">
                  <c:v>1.38357E-5</c:v>
                </c:pt>
                <c:pt idx="921">
                  <c:v>1.40149E-5</c:v>
                </c:pt>
                <c:pt idx="922">
                  <c:v>1.41964E-5</c:v>
                </c:pt>
                <c:pt idx="923">
                  <c:v>1.43802E-5</c:v>
                </c:pt>
                <c:pt idx="924">
                  <c:v>1.45665E-5</c:v>
                </c:pt>
                <c:pt idx="925">
                  <c:v>1.47551E-5</c:v>
                </c:pt>
                <c:pt idx="926">
                  <c:v>1.4946199999999999E-5</c:v>
                </c:pt>
                <c:pt idx="927">
                  <c:v>1.51397E-5</c:v>
                </c:pt>
                <c:pt idx="928">
                  <c:v>1.53358E-5</c:v>
                </c:pt>
                <c:pt idx="929">
                  <c:v>1.5534400000000002E-5</c:v>
                </c:pt>
                <c:pt idx="930">
                  <c:v>1.5735599999999999E-5</c:v>
                </c:pt>
                <c:pt idx="931">
                  <c:v>1.5939299999999998E-5</c:v>
                </c:pt>
                <c:pt idx="932">
                  <c:v>1.61458E-5</c:v>
                </c:pt>
                <c:pt idx="933">
                  <c:v>1.6354900000000002E-5</c:v>
                </c:pt>
                <c:pt idx="934">
                  <c:v>1.6566600000000002E-5</c:v>
                </c:pt>
                <c:pt idx="935">
                  <c:v>1.6781200000000001E-5</c:v>
                </c:pt>
                <c:pt idx="936">
                  <c:v>1.69985E-5</c:v>
                </c:pt>
                <c:pt idx="937">
                  <c:v>1.7218600000000001E-5</c:v>
                </c:pt>
                <c:pt idx="938">
                  <c:v>1.7441599999999999E-5</c:v>
                </c:pt>
                <c:pt idx="939">
                  <c:v>1.76675E-5</c:v>
                </c:pt>
                <c:pt idx="940">
                  <c:v>1.78963E-5</c:v>
                </c:pt>
                <c:pt idx="941">
                  <c:v>1.8128E-5</c:v>
                </c:pt>
                <c:pt idx="942">
                  <c:v>1.83628E-5</c:v>
                </c:pt>
                <c:pt idx="943">
                  <c:v>1.8600599999999999E-5</c:v>
                </c:pt>
                <c:pt idx="944">
                  <c:v>1.8841499999999999E-5</c:v>
                </c:pt>
                <c:pt idx="945">
                  <c:v>1.9085499999999999E-5</c:v>
                </c:pt>
                <c:pt idx="946">
                  <c:v>1.9332599999999999E-5</c:v>
                </c:pt>
                <c:pt idx="947">
                  <c:v>1.9582999999999999E-5</c:v>
                </c:pt>
                <c:pt idx="948">
                  <c:v>1.9836599999999999E-5</c:v>
                </c:pt>
                <c:pt idx="949">
                  <c:v>2.00935E-5</c:v>
                </c:pt>
                <c:pt idx="950">
                  <c:v>2.0353700000000001E-5</c:v>
                </c:pt>
                <c:pt idx="951">
                  <c:v>2.06173E-5</c:v>
                </c:pt>
                <c:pt idx="952">
                  <c:v>2.0884299999999999E-5</c:v>
                </c:pt>
                <c:pt idx="953">
                  <c:v>2.1154699999999999E-5</c:v>
                </c:pt>
                <c:pt idx="954">
                  <c:v>2.14287E-5</c:v>
                </c:pt>
                <c:pt idx="955">
                  <c:v>2.1706199999999999E-5</c:v>
                </c:pt>
                <c:pt idx="956">
                  <c:v>2.1987299999999999E-5</c:v>
                </c:pt>
                <c:pt idx="957">
                  <c:v>2.2272E-5</c:v>
                </c:pt>
                <c:pt idx="958">
                  <c:v>2.2560399999999998E-5</c:v>
                </c:pt>
                <c:pt idx="959">
                  <c:v>2.2852599999999999E-5</c:v>
                </c:pt>
                <c:pt idx="960">
                  <c:v>2.3148600000000001E-5</c:v>
                </c:pt>
                <c:pt idx="961">
                  <c:v>2.34483E-5</c:v>
                </c:pt>
                <c:pt idx="962">
                  <c:v>2.3751999999999999E-5</c:v>
                </c:pt>
                <c:pt idx="963">
                  <c:v>2.4059599999999999E-5</c:v>
                </c:pt>
                <c:pt idx="964">
                  <c:v>2.4371100000000001E-5</c:v>
                </c:pt>
                <c:pt idx="965">
                  <c:v>2.4686799999999999E-5</c:v>
                </c:pt>
                <c:pt idx="966">
                  <c:v>2.5006499999999999E-5</c:v>
                </c:pt>
                <c:pt idx="967">
                  <c:v>2.53303E-5</c:v>
                </c:pt>
                <c:pt idx="968">
                  <c:v>2.5658300000000001E-5</c:v>
                </c:pt>
                <c:pt idx="969">
                  <c:v>2.5990600000000002E-5</c:v>
                </c:pt>
                <c:pt idx="970">
                  <c:v>2.6327200000000001E-5</c:v>
                </c:pt>
                <c:pt idx="971">
                  <c:v>2.66681E-5</c:v>
                </c:pt>
                <c:pt idx="972">
                  <c:v>2.7013500000000001E-5</c:v>
                </c:pt>
                <c:pt idx="973">
                  <c:v>2.7363299999999999E-5</c:v>
                </c:pt>
                <c:pt idx="974">
                  <c:v>2.7717700000000001E-5</c:v>
                </c:pt>
                <c:pt idx="975">
                  <c:v>2.8076600000000002E-5</c:v>
                </c:pt>
                <c:pt idx="976">
                  <c:v>2.8440199999999999E-5</c:v>
                </c:pt>
                <c:pt idx="977">
                  <c:v>2.88085E-5</c:v>
                </c:pt>
                <c:pt idx="978">
                  <c:v>2.9181599999999999E-5</c:v>
                </c:pt>
                <c:pt idx="979">
                  <c:v>2.95595E-5</c:v>
                </c:pt>
                <c:pt idx="980">
                  <c:v>2.99423E-5</c:v>
                </c:pt>
                <c:pt idx="981">
                  <c:v>3.0329999999999999E-5</c:v>
                </c:pt>
                <c:pt idx="982">
                  <c:v>3.0722799999999997E-5</c:v>
                </c:pt>
                <c:pt idx="983">
                  <c:v>3.1120700000000002E-5</c:v>
                </c:pt>
                <c:pt idx="984">
                  <c:v>3.1523699999999998E-5</c:v>
                </c:pt>
                <c:pt idx="985">
                  <c:v>3.1931899999999998E-5</c:v>
                </c:pt>
                <c:pt idx="986">
                  <c:v>3.2345399999999997E-5</c:v>
                </c:pt>
                <c:pt idx="987">
                  <c:v>3.2764300000000001E-5</c:v>
                </c:pt>
                <c:pt idx="988">
                  <c:v>3.3188600000000003E-5</c:v>
                </c:pt>
                <c:pt idx="989">
                  <c:v>3.3618400000000003E-5</c:v>
                </c:pt>
                <c:pt idx="990">
                  <c:v>3.4053800000000003E-5</c:v>
                </c:pt>
                <c:pt idx="991">
                  <c:v>3.44948E-5</c:v>
                </c:pt>
                <c:pt idx="992">
                  <c:v>3.4941499999999997E-5</c:v>
                </c:pt>
                <c:pt idx="993">
                  <c:v>3.5394E-5</c:v>
                </c:pt>
                <c:pt idx="994">
                  <c:v>3.5852300000000002E-5</c:v>
                </c:pt>
                <c:pt idx="995">
                  <c:v>3.6316599999999997E-5</c:v>
                </c:pt>
                <c:pt idx="996">
                  <c:v>3.6786899999999998E-5</c:v>
                </c:pt>
                <c:pt idx="997">
                  <c:v>3.7263299999999999E-5</c:v>
                </c:pt>
                <c:pt idx="998">
                  <c:v>3.7745900000000001E-5</c:v>
                </c:pt>
                <c:pt idx="999">
                  <c:v>3.8234700000000002E-5</c:v>
                </c:pt>
                <c:pt idx="1000">
                  <c:v>3.8729800000000003E-5</c:v>
                </c:pt>
                <c:pt idx="1001">
                  <c:v>3.9231399999999998E-5</c:v>
                </c:pt>
                <c:pt idx="1002">
                  <c:v>3.9739400000000001E-5</c:v>
                </c:pt>
                <c:pt idx="1003">
                  <c:v>4.0254099999999998E-5</c:v>
                </c:pt>
                <c:pt idx="1004">
                  <c:v>4.0775400000000003E-5</c:v>
                </c:pt>
                <c:pt idx="1005">
                  <c:v>4.1303400000000002E-5</c:v>
                </c:pt>
                <c:pt idx="1006">
                  <c:v>4.1838300000000002E-5</c:v>
                </c:pt>
                <c:pt idx="1007">
                  <c:v>4.2380099999999998E-5</c:v>
                </c:pt>
                <c:pt idx="1008">
                  <c:v>4.2928900000000002E-5</c:v>
                </c:pt>
                <c:pt idx="1009">
                  <c:v>4.3484900000000001E-5</c:v>
                </c:pt>
                <c:pt idx="1010">
                  <c:v>4.4048000000000002E-5</c:v>
                </c:pt>
                <c:pt idx="1011">
                  <c:v>4.46184E-5</c:v>
                </c:pt>
                <c:pt idx="1012">
                  <c:v>4.5196199999999999E-5</c:v>
                </c:pt>
                <c:pt idx="1013">
                  <c:v>4.5781500000000002E-5</c:v>
                </c:pt>
                <c:pt idx="1014">
                  <c:v>4.6374400000000001E-5</c:v>
                </c:pt>
                <c:pt idx="1015">
                  <c:v>4.6974900000000003E-5</c:v>
                </c:pt>
                <c:pt idx="1016">
                  <c:v>4.7583300000000002E-5</c:v>
                </c:pt>
                <c:pt idx="1017">
                  <c:v>4.8199499999999998E-5</c:v>
                </c:pt>
                <c:pt idx="1018">
                  <c:v>4.8823699999999998E-5</c:v>
                </c:pt>
                <c:pt idx="1019">
                  <c:v>4.9455900000000002E-5</c:v>
                </c:pt>
                <c:pt idx="1020">
                  <c:v>5.0096399999999997E-5</c:v>
                </c:pt>
                <c:pt idx="1021">
                  <c:v>5.0745200000000003E-5</c:v>
                </c:pt>
                <c:pt idx="1022">
                  <c:v>5.1402300000000001E-5</c:v>
                </c:pt>
                <c:pt idx="1023">
                  <c:v>5.2067999999999997E-5</c:v>
                </c:pt>
                <c:pt idx="1024">
                  <c:v>5.2742299999999998E-5</c:v>
                </c:pt>
                <c:pt idx="1025">
                  <c:v>5.3425299999999998E-5</c:v>
                </c:pt>
                <c:pt idx="1026">
                  <c:v>5.4117099999999997E-5</c:v>
                </c:pt>
                <c:pt idx="1027">
                  <c:v>5.4818000000000003E-5</c:v>
                </c:pt>
                <c:pt idx="1028">
                  <c:v>5.5527900000000001E-5</c:v>
                </c:pt>
                <c:pt idx="1029">
                  <c:v>5.6246899999999998E-5</c:v>
                </c:pt>
                <c:pt idx="1030">
                  <c:v>5.6975300000000003E-5</c:v>
                </c:pt>
                <c:pt idx="1031">
                  <c:v>5.7713200000000002E-5</c:v>
                </c:pt>
                <c:pt idx="1032">
                  <c:v>5.8460600000000001E-5</c:v>
                </c:pt>
                <c:pt idx="1033">
                  <c:v>5.92176E-5</c:v>
                </c:pt>
                <c:pt idx="1034">
                  <c:v>5.9984500000000001E-5</c:v>
                </c:pt>
                <c:pt idx="1035">
                  <c:v>6.0761299999999997E-5</c:v>
                </c:pt>
                <c:pt idx="1036">
                  <c:v>6.1548200000000001E-5</c:v>
                </c:pt>
                <c:pt idx="1037">
                  <c:v>6.2345200000000001E-5</c:v>
                </c:pt>
                <c:pt idx="1038">
                  <c:v>6.3152599999999996E-5</c:v>
                </c:pt>
                <c:pt idx="1039">
                  <c:v>6.3970499999999993E-5</c:v>
                </c:pt>
                <c:pt idx="1040">
                  <c:v>6.4798899999999994E-5</c:v>
                </c:pt>
                <c:pt idx="1041">
                  <c:v>6.5637999999999997E-5</c:v>
                </c:pt>
                <c:pt idx="1042">
                  <c:v>6.6488000000000004E-5</c:v>
                </c:pt>
                <c:pt idx="1043">
                  <c:v>6.7349100000000002E-5</c:v>
                </c:pt>
                <c:pt idx="1044">
                  <c:v>6.8221199999999997E-5</c:v>
                </c:pt>
                <c:pt idx="1045">
                  <c:v>6.9104700000000003E-5</c:v>
                </c:pt>
                <c:pt idx="1046">
                  <c:v>6.9999600000000007E-5</c:v>
                </c:pt>
                <c:pt idx="1047">
                  <c:v>7.0906099999999995E-5</c:v>
                </c:pt>
                <c:pt idx="1048">
                  <c:v>7.1824399999999996E-5</c:v>
                </c:pt>
                <c:pt idx="1049">
                  <c:v>7.2754499999999996E-5</c:v>
                </c:pt>
                <c:pt idx="1050">
                  <c:v>7.3696700000000002E-5</c:v>
                </c:pt>
                <c:pt idx="1051">
                  <c:v>7.4651099999999994E-5</c:v>
                </c:pt>
                <c:pt idx="1052">
                  <c:v>7.5617800000000006E-5</c:v>
                </c:pt>
                <c:pt idx="1053">
                  <c:v>7.6597100000000006E-5</c:v>
                </c:pt>
                <c:pt idx="1054">
                  <c:v>7.7589000000000005E-5</c:v>
                </c:pt>
                <c:pt idx="1055">
                  <c:v>7.85938E-5</c:v>
                </c:pt>
                <c:pt idx="1056">
                  <c:v>7.9611599999999995E-5</c:v>
                </c:pt>
                <c:pt idx="1057">
                  <c:v>8.0642499999999999E-5</c:v>
                </c:pt>
                <c:pt idx="1058">
                  <c:v>8.1686899999999999E-5</c:v>
                </c:pt>
                <c:pt idx="1059">
                  <c:v>8.2744700000000001E-5</c:v>
                </c:pt>
                <c:pt idx="1060">
                  <c:v>8.3816300000000006E-5</c:v>
                </c:pt>
                <c:pt idx="1061">
                  <c:v>8.4901700000000001E-5</c:v>
                </c:pt>
                <c:pt idx="1062">
                  <c:v>8.6001200000000006E-5</c:v>
                </c:pt>
                <c:pt idx="1063">
                  <c:v>8.7114900000000002E-5</c:v>
                </c:pt>
                <c:pt idx="1064">
                  <c:v>8.8243099999999995E-5</c:v>
                </c:pt>
                <c:pt idx="1065">
                  <c:v>8.9385800000000001E-5</c:v>
                </c:pt>
                <c:pt idx="1066">
                  <c:v>9.0543400000000005E-5</c:v>
                </c:pt>
                <c:pt idx="1067">
                  <c:v>9.1715899999999994E-5</c:v>
                </c:pt>
                <c:pt idx="1068">
                  <c:v>9.2903600000000003E-5</c:v>
                </c:pt>
                <c:pt idx="1069">
                  <c:v>9.4106799999999998E-5</c:v>
                </c:pt>
                <c:pt idx="1070">
                  <c:v>9.53254E-5</c:v>
                </c:pt>
                <c:pt idx="1071">
                  <c:v>9.6559900000000004E-5</c:v>
                </c:pt>
                <c:pt idx="1072">
                  <c:v>9.7810400000000001E-5</c:v>
                </c:pt>
                <c:pt idx="1073">
                  <c:v>9.9077E-5</c:v>
                </c:pt>
                <c:pt idx="1074" formatCode="General">
                  <c:v>1.0035999999999999E-4</c:v>
                </c:pt>
                <c:pt idx="1075" formatCode="General">
                  <c:v>1.0166E-4</c:v>
                </c:pt>
                <c:pt idx="1076" formatCode="General">
                  <c:v>1.02976E-4</c:v>
                </c:pt>
                <c:pt idx="1077" formatCode="General">
                  <c:v>1.0431E-4</c:v>
                </c:pt>
                <c:pt idx="1078" formatCode="General">
                  <c:v>1.05661E-4</c:v>
                </c:pt>
                <c:pt idx="1079" formatCode="General">
                  <c:v>1.0702899999999999E-4</c:v>
                </c:pt>
                <c:pt idx="1080" formatCode="General">
                  <c:v>1.08415E-4</c:v>
                </c:pt>
                <c:pt idx="1081" formatCode="General">
                  <c:v>1.09819E-4</c:v>
                </c:pt>
                <c:pt idx="1082" formatCode="General">
                  <c:v>1.11241E-4</c:v>
                </c:pt>
                <c:pt idx="1083" formatCode="General">
                  <c:v>1.12682E-4</c:v>
                </c:pt>
                <c:pt idx="1084" formatCode="General">
                  <c:v>1.14141E-4</c:v>
                </c:pt>
                <c:pt idx="1085" formatCode="General">
                  <c:v>1.1561900000000001E-4</c:v>
                </c:pt>
                <c:pt idx="1086" formatCode="General">
                  <c:v>1.1711599999999999E-4</c:v>
                </c:pt>
                <c:pt idx="1087" formatCode="General">
                  <c:v>1.18633E-4</c:v>
                </c:pt>
                <c:pt idx="1088" formatCode="General">
                  <c:v>1.2016899999999999E-4</c:v>
                </c:pt>
                <c:pt idx="1089" formatCode="General">
                  <c:v>1.2172600000000001E-4</c:v>
                </c:pt>
                <c:pt idx="1090" formatCode="General">
                  <c:v>1.2330199999999999E-4</c:v>
                </c:pt>
                <c:pt idx="1091" formatCode="General">
                  <c:v>1.2489900000000001E-4</c:v>
                </c:pt>
                <c:pt idx="1092" formatCode="General">
                  <c:v>1.2651599999999999E-4</c:v>
                </c:pt>
                <c:pt idx="1093" formatCode="General">
                  <c:v>1.28155E-4</c:v>
                </c:pt>
                <c:pt idx="1094" formatCode="General">
                  <c:v>1.2981399999999999E-4</c:v>
                </c:pt>
                <c:pt idx="1095" formatCode="General">
                  <c:v>1.31495E-4</c:v>
                </c:pt>
                <c:pt idx="1096" formatCode="General">
                  <c:v>1.3319800000000001E-4</c:v>
                </c:pt>
                <c:pt idx="1097" formatCode="General">
                  <c:v>1.3492300000000001E-4</c:v>
                </c:pt>
                <c:pt idx="1098" formatCode="General">
                  <c:v>1.3667E-4</c:v>
                </c:pt>
                <c:pt idx="1099" formatCode="General">
                  <c:v>1.3844000000000001E-4</c:v>
                </c:pt>
                <c:pt idx="1100" formatCode="General">
                  <c:v>1.40233E-4</c:v>
                </c:pt>
                <c:pt idx="1101" formatCode="General">
                  <c:v>1.4204899999999999E-4</c:v>
                </c:pt>
                <c:pt idx="1102" formatCode="General">
                  <c:v>1.4388899999999999E-4</c:v>
                </c:pt>
                <c:pt idx="1103" formatCode="General">
                  <c:v>1.45752E-4</c:v>
                </c:pt>
                <c:pt idx="1104" formatCode="General">
                  <c:v>1.47639E-4</c:v>
                </c:pt>
                <c:pt idx="1105" formatCode="General">
                  <c:v>1.4955099999999999E-4</c:v>
                </c:pt>
                <c:pt idx="1106" formatCode="General">
                  <c:v>1.51488E-4</c:v>
                </c:pt>
                <c:pt idx="1107" formatCode="General">
                  <c:v>1.5344999999999999E-4</c:v>
                </c:pt>
                <c:pt idx="1108" formatCode="General">
                  <c:v>1.55437E-4</c:v>
                </c:pt>
                <c:pt idx="1109" formatCode="General">
                  <c:v>1.5745000000000001E-4</c:v>
                </c:pt>
                <c:pt idx="1110" formatCode="General">
                  <c:v>1.5948899999999999E-4</c:v>
                </c:pt>
                <c:pt idx="1111" formatCode="General">
                  <c:v>1.6155400000000001E-4</c:v>
                </c:pt>
                <c:pt idx="1112" formatCode="General">
                  <c:v>1.63647E-4</c:v>
                </c:pt>
                <c:pt idx="1113" formatCode="General">
                  <c:v>1.65766E-4</c:v>
                </c:pt>
                <c:pt idx="1114" formatCode="General">
                  <c:v>1.6791199999999999E-4</c:v>
                </c:pt>
                <c:pt idx="1115" formatCode="General">
                  <c:v>1.70087E-4</c:v>
                </c:pt>
                <c:pt idx="1116" formatCode="General">
                  <c:v>1.7228999999999999E-4</c:v>
                </c:pt>
                <c:pt idx="1117" formatCode="General">
                  <c:v>1.7452099999999999E-4</c:v>
                </c:pt>
                <c:pt idx="1118" formatCode="General">
                  <c:v>1.7678099999999999E-4</c:v>
                </c:pt>
                <c:pt idx="1119" formatCode="General">
                  <c:v>1.7907E-4</c:v>
                </c:pt>
                <c:pt idx="1120" formatCode="General">
                  <c:v>1.8138900000000001E-4</c:v>
                </c:pt>
                <c:pt idx="1121" formatCode="General">
                  <c:v>1.8373799999999999E-4</c:v>
                </c:pt>
                <c:pt idx="1122" formatCode="General">
                  <c:v>1.8611699999999999E-4</c:v>
                </c:pt>
                <c:pt idx="1123" formatCode="General">
                  <c:v>1.8852800000000001E-4</c:v>
                </c:pt>
                <c:pt idx="1124" formatCode="General">
                  <c:v>1.9096900000000001E-4</c:v>
                </c:pt>
                <c:pt idx="1125" formatCode="General">
                  <c:v>1.93442E-4</c:v>
                </c:pt>
                <c:pt idx="1126" formatCode="General">
                  <c:v>1.95947E-4</c:v>
                </c:pt>
                <c:pt idx="1127" formatCode="General">
                  <c:v>1.9848500000000001E-4</c:v>
                </c:pt>
                <c:pt idx="1128" formatCode="General">
                  <c:v>2.0105500000000001E-4</c:v>
                </c:pt>
                <c:pt idx="1129" formatCode="General">
                  <c:v>2.03659E-4</c:v>
                </c:pt>
                <c:pt idx="1130" formatCode="General">
                  <c:v>2.0629599999999999E-4</c:v>
                </c:pt>
                <c:pt idx="1131" formatCode="General">
                  <c:v>2.08968E-4</c:v>
                </c:pt>
                <c:pt idx="1132" formatCode="General">
                  <c:v>2.1167399999999999E-4</c:v>
                </c:pt>
                <c:pt idx="1133" formatCode="General">
                  <c:v>2.14415E-4</c:v>
                </c:pt>
                <c:pt idx="1134" formatCode="General">
                  <c:v>2.17192E-4</c:v>
                </c:pt>
                <c:pt idx="1135" formatCode="General">
                  <c:v>2.2000500000000001E-4</c:v>
                </c:pt>
                <c:pt idx="1136" formatCode="General">
                  <c:v>2.22854E-4</c:v>
                </c:pt>
                <c:pt idx="1137" formatCode="General">
                  <c:v>2.2573999999999999E-4</c:v>
                </c:pt>
                <c:pt idx="1138" formatCode="General">
                  <c:v>2.2866299999999999E-4</c:v>
                </c:pt>
                <c:pt idx="1139" formatCode="General">
                  <c:v>2.3162399999999999E-4</c:v>
                </c:pt>
                <c:pt idx="1140" formatCode="General">
                  <c:v>2.3462400000000001E-4</c:v>
                </c:pt>
                <c:pt idx="1141" formatCode="General">
                  <c:v>2.37662E-4</c:v>
                </c:pt>
                <c:pt idx="1142" formatCode="General">
                  <c:v>2.4074E-4</c:v>
                </c:pt>
                <c:pt idx="1143" formatCode="General">
                  <c:v>2.4385800000000001E-4</c:v>
                </c:pt>
                <c:pt idx="1144" formatCode="General">
                  <c:v>2.4701500000000001E-4</c:v>
                </c:pt>
                <c:pt idx="1145" formatCode="General">
                  <c:v>2.5021400000000001E-4</c:v>
                </c:pt>
                <c:pt idx="1146" formatCode="General">
                  <c:v>2.5345499999999998E-4</c:v>
                </c:pt>
                <c:pt idx="1147" formatCode="General">
                  <c:v>2.5673699999999999E-4</c:v>
                </c:pt>
                <c:pt idx="1148" formatCode="General">
                  <c:v>2.6006199999999998E-4</c:v>
                </c:pt>
                <c:pt idx="1149" formatCode="General">
                  <c:v>2.6342999999999999E-4</c:v>
                </c:pt>
                <c:pt idx="1150" formatCode="General">
                  <c:v>2.6684099999999997E-4</c:v>
                </c:pt>
                <c:pt idx="1151" formatCode="General">
                  <c:v>2.7029700000000002E-4</c:v>
                </c:pt>
                <c:pt idx="1152" formatCode="General">
                  <c:v>2.7379699999999999E-4</c:v>
                </c:pt>
                <c:pt idx="1153" formatCode="General">
                  <c:v>2.7734299999999999E-4</c:v>
                </c:pt>
                <c:pt idx="1154" formatCode="General">
                  <c:v>2.8093399999999999E-4</c:v>
                </c:pt>
                <c:pt idx="1155" formatCode="General">
                  <c:v>2.8457200000000003E-4</c:v>
                </c:pt>
                <c:pt idx="1156" formatCode="General">
                  <c:v>2.88258E-4</c:v>
                </c:pt>
                <c:pt idx="1157" formatCode="General">
                  <c:v>2.9199100000000002E-4</c:v>
                </c:pt>
                <c:pt idx="1158" formatCode="General">
                  <c:v>2.9577200000000003E-4</c:v>
                </c:pt>
                <c:pt idx="1159" formatCode="General">
                  <c:v>2.99602E-4</c:v>
                </c:pt>
                <c:pt idx="1160" formatCode="General">
                  <c:v>3.0348199999999999E-4</c:v>
                </c:pt>
                <c:pt idx="1161" formatCode="General">
                  <c:v>3.0741200000000002E-4</c:v>
                </c:pt>
                <c:pt idx="1162" formatCode="General">
                  <c:v>3.1139299999999998E-4</c:v>
                </c:pt>
                <c:pt idx="1163" formatCode="General">
                  <c:v>3.15426E-4</c:v>
                </c:pt>
                <c:pt idx="1164" formatCode="General">
                  <c:v>3.1951000000000001E-4</c:v>
                </c:pt>
                <c:pt idx="1165" formatCode="General">
                  <c:v>3.23648E-4</c:v>
                </c:pt>
                <c:pt idx="1166" formatCode="General">
                  <c:v>3.2783900000000002E-4</c:v>
                </c:pt>
                <c:pt idx="1167" formatCode="General">
                  <c:v>3.3208499999999998E-4</c:v>
                </c:pt>
                <c:pt idx="1168" formatCode="General">
                  <c:v>3.3638599999999999E-4</c:v>
                </c:pt>
                <c:pt idx="1169" formatCode="General">
                  <c:v>3.40742E-4</c:v>
                </c:pt>
                <c:pt idx="1170" formatCode="General">
                  <c:v>3.4515400000000002E-4</c:v>
                </c:pt>
                <c:pt idx="1171" formatCode="General">
                  <c:v>3.4962399999999999E-4</c:v>
                </c:pt>
                <c:pt idx="1172" formatCode="General">
                  <c:v>3.5415199999999999E-4</c:v>
                </c:pt>
                <c:pt idx="1173" formatCode="General">
                  <c:v>3.5873799999999999E-4</c:v>
                </c:pt>
                <c:pt idx="1174" formatCode="General">
                  <c:v>3.6338400000000002E-4</c:v>
                </c:pt>
                <c:pt idx="1175" formatCode="General">
                  <c:v>3.6809000000000001E-4</c:v>
                </c:pt>
                <c:pt idx="1176" formatCode="General">
                  <c:v>3.7285600000000002E-4</c:v>
                </c:pt>
                <c:pt idx="1177" formatCode="General">
                  <c:v>3.77685E-4</c:v>
                </c:pt>
                <c:pt idx="1178" formatCode="General">
                  <c:v>3.8257599999999998E-4</c:v>
                </c:pt>
                <c:pt idx="1179" formatCode="General">
                  <c:v>3.8753000000000003E-4</c:v>
                </c:pt>
                <c:pt idx="1180" formatCode="General">
                  <c:v>3.9254900000000001E-4</c:v>
                </c:pt>
                <c:pt idx="1181" formatCode="General">
                  <c:v>3.9763299999999999E-4</c:v>
                </c:pt>
                <c:pt idx="1182" formatCode="General">
                  <c:v>4.0278200000000002E-4</c:v>
                </c:pt>
                <c:pt idx="1183" formatCode="General">
                  <c:v>4.0799800000000002E-4</c:v>
                </c:pt>
                <c:pt idx="1184" formatCode="General">
                  <c:v>4.13282E-4</c:v>
                </c:pt>
                <c:pt idx="1185" formatCode="General">
                  <c:v>4.1863399999999998E-4</c:v>
                </c:pt>
                <c:pt idx="1186" formatCode="General">
                  <c:v>4.24055E-4</c:v>
                </c:pt>
                <c:pt idx="1187" formatCode="General">
                  <c:v>4.29546E-4</c:v>
                </c:pt>
                <c:pt idx="1188" formatCode="General">
                  <c:v>4.3510899999999998E-4</c:v>
                </c:pt>
                <c:pt idx="1189" formatCode="General">
                  <c:v>4.4074400000000002E-4</c:v>
                </c:pt>
                <c:pt idx="1190" formatCode="General">
                  <c:v>4.4645200000000001E-4</c:v>
                </c:pt>
                <c:pt idx="1191" formatCode="General">
                  <c:v>4.5223300000000002E-4</c:v>
                </c:pt>
                <c:pt idx="1192" formatCode="General">
                  <c:v>4.5808999999999997E-4</c:v>
                </c:pt>
                <c:pt idx="1193" formatCode="General">
                  <c:v>4.6402200000000002E-4</c:v>
                </c:pt>
                <c:pt idx="1194" formatCode="General">
                  <c:v>4.7003099999999999E-4</c:v>
                </c:pt>
                <c:pt idx="1195" formatCode="General">
                  <c:v>4.7611799999999998E-4</c:v>
                </c:pt>
                <c:pt idx="1196" formatCode="General">
                  <c:v>4.8228399999999998E-4</c:v>
                </c:pt>
                <c:pt idx="1197" formatCode="General">
                  <c:v>4.8852900000000002E-4</c:v>
                </c:pt>
                <c:pt idx="1198" formatCode="General">
                  <c:v>4.9485600000000001E-4</c:v>
                </c:pt>
                <c:pt idx="1199" formatCode="General">
                  <c:v>5.0126399999999996E-4</c:v>
                </c:pt>
                <c:pt idx="1200" formatCode="General">
                  <c:v>5.0775600000000005E-4</c:v>
                </c:pt>
                <c:pt idx="1201" formatCode="General">
                  <c:v>5.1433100000000003E-4</c:v>
                </c:pt>
                <c:pt idx="1202" formatCode="General">
                  <c:v>5.2099199999999996E-4</c:v>
                </c:pt>
                <c:pt idx="1203" formatCode="General">
                  <c:v>5.2773900000000005E-4</c:v>
                </c:pt>
                <c:pt idx="1204" formatCode="General">
                  <c:v>5.3457299999999999E-4</c:v>
                </c:pt>
                <c:pt idx="1205" formatCode="General">
                  <c:v>5.4149600000000003E-4</c:v>
                </c:pt>
                <c:pt idx="1206" formatCode="General">
                  <c:v>5.4850799999999996E-4</c:v>
                </c:pt>
                <c:pt idx="1207" formatCode="General">
                  <c:v>5.5561100000000002E-4</c:v>
                </c:pt>
                <c:pt idx="1208" formatCode="General">
                  <c:v>5.6280700000000002E-4</c:v>
                </c:pt>
                <c:pt idx="1209" formatCode="General">
                  <c:v>5.7009499999999996E-4</c:v>
                </c:pt>
                <c:pt idx="1210" formatCode="General">
                  <c:v>5.7747799999999998E-4</c:v>
                </c:pt>
                <c:pt idx="1211" formatCode="General">
                  <c:v>5.8495599999999997E-4</c:v>
                </c:pt>
                <c:pt idx="1212" formatCode="General">
                  <c:v>5.9253099999999998E-4</c:v>
                </c:pt>
                <c:pt idx="1213" formatCode="General">
                  <c:v>6.0020500000000003E-4</c:v>
                </c:pt>
                <c:pt idx="1214" formatCode="General">
                  <c:v>6.07977E-4</c:v>
                </c:pt>
                <c:pt idx="1215" formatCode="General">
                  <c:v>6.1585100000000005E-4</c:v>
                </c:pt>
                <c:pt idx="1216" formatCode="General">
                  <c:v>6.2382599999999996E-4</c:v>
                </c:pt>
                <c:pt idx="1217" formatCode="General">
                  <c:v>6.3190499999999999E-4</c:v>
                </c:pt>
                <c:pt idx="1218" formatCode="General">
                  <c:v>6.4008800000000003E-4</c:v>
                </c:pt>
                <c:pt idx="1219" formatCode="General">
                  <c:v>6.48377E-4</c:v>
                </c:pt>
                <c:pt idx="1220" formatCode="General">
                  <c:v>6.5677400000000005E-4</c:v>
                </c:pt>
                <c:pt idx="1221" formatCode="General">
                  <c:v>6.6527899999999996E-4</c:v>
                </c:pt>
                <c:pt idx="1222" formatCode="General">
                  <c:v>6.7389399999999997E-4</c:v>
                </c:pt>
                <c:pt idx="1223" formatCode="General">
                  <c:v>6.8262100000000001E-4</c:v>
                </c:pt>
                <c:pt idx="1224" formatCode="General">
                  <c:v>6.9146099999999999E-4</c:v>
                </c:pt>
                <c:pt idx="1225" formatCode="General">
                  <c:v>7.0041600000000004E-4</c:v>
                </c:pt>
                <c:pt idx="1226" formatCode="General">
                  <c:v>7.0948599999999995E-4</c:v>
                </c:pt>
                <c:pt idx="1227" formatCode="General">
                  <c:v>7.1867399999999998E-4</c:v>
                </c:pt>
                <c:pt idx="1228" formatCode="General">
                  <c:v>7.2798100000000005E-4</c:v>
                </c:pt>
                <c:pt idx="1229" formatCode="General">
                  <c:v>7.3740800000000005E-4</c:v>
                </c:pt>
                <c:pt idx="1230" formatCode="General">
                  <c:v>7.4695800000000004E-4</c:v>
                </c:pt>
                <c:pt idx="1231" formatCode="General">
                  <c:v>7.5663100000000001E-4</c:v>
                </c:pt>
                <c:pt idx="1232" formatCode="General">
                  <c:v>7.6643000000000002E-4</c:v>
                </c:pt>
                <c:pt idx="1233" formatCode="General">
                  <c:v>7.7635499999999995E-4</c:v>
                </c:pt>
                <c:pt idx="1234" formatCode="General">
                  <c:v>7.8640899999999996E-4</c:v>
                </c:pt>
                <c:pt idx="1235" formatCode="General">
                  <c:v>7.9659299999999995E-4</c:v>
                </c:pt>
                <c:pt idx="1236" formatCode="General">
                  <c:v>8.0690899999999997E-4</c:v>
                </c:pt>
                <c:pt idx="1237" formatCode="General">
                  <c:v>8.1735800000000002E-4</c:v>
                </c:pt>
                <c:pt idx="1238" formatCode="General">
                  <c:v>8.2794300000000004E-4</c:v>
                </c:pt>
                <c:pt idx="1239" formatCode="General">
                  <c:v>8.3866500000000005E-4</c:v>
                </c:pt>
                <c:pt idx="1240" formatCode="General">
                  <c:v>8.4952599999999997E-4</c:v>
                </c:pt>
                <c:pt idx="1241" formatCode="General">
                  <c:v>8.6052700000000004E-4</c:v>
                </c:pt>
                <c:pt idx="1242" formatCode="General">
                  <c:v>8.7167099999999997E-4</c:v>
                </c:pt>
                <c:pt idx="1243" formatCode="General">
                  <c:v>8.82959E-4</c:v>
                </c:pt>
                <c:pt idx="1244" formatCode="General">
                  <c:v>8.9439399999999996E-4</c:v>
                </c:pt>
                <c:pt idx="1245" formatCode="General">
                  <c:v>9.0597599999999996E-4</c:v>
                </c:pt>
                <c:pt idx="1246" formatCode="General">
                  <c:v>9.1770899999999995E-4</c:v>
                </c:pt>
                <c:pt idx="1247" formatCode="General">
                  <c:v>9.2959300000000004E-4</c:v>
                </c:pt>
                <c:pt idx="1248" formatCode="General">
                  <c:v>9.4163099999999996E-4</c:v>
                </c:pt>
                <c:pt idx="1249" formatCode="General">
                  <c:v>9.5382599999999996E-4</c:v>
                </c:pt>
                <c:pt idx="1250" formatCode="General">
                  <c:v>9.6617800000000005E-4</c:v>
                </c:pt>
                <c:pt idx="1251" formatCode="General">
                  <c:v>9.7868999999999994E-4</c:v>
                </c:pt>
                <c:pt idx="1252" formatCode="General">
                  <c:v>9.91364E-4</c:v>
                </c:pt>
                <c:pt idx="1253" formatCode="General">
                  <c:v>1.0042E-3</c:v>
                </c:pt>
                <c:pt idx="1254" formatCode="General">
                  <c:v>1.0172099999999999E-3</c:v>
                </c:pt>
                <c:pt idx="1255" formatCode="General">
                  <c:v>1.03038E-3</c:v>
                </c:pt>
                <c:pt idx="1256" formatCode="General">
                  <c:v>1.0437199999999999E-3</c:v>
                </c:pt>
                <c:pt idx="1257" formatCode="General">
                  <c:v>1.0572400000000001E-3</c:v>
                </c:pt>
                <c:pt idx="1258" formatCode="General">
                  <c:v>1.0709300000000001E-3</c:v>
                </c:pt>
                <c:pt idx="1259" formatCode="General">
                  <c:v>1.0847999999999999E-3</c:v>
                </c:pt>
                <c:pt idx="1260" formatCode="General">
                  <c:v>1.09885E-3</c:v>
                </c:pt>
                <c:pt idx="1261" formatCode="General">
                  <c:v>1.11308E-3</c:v>
                </c:pt>
                <c:pt idx="1262" formatCode="General">
                  <c:v>1.1274900000000001E-3</c:v>
                </c:pt>
                <c:pt idx="1263" formatCode="General">
                  <c:v>1.1420899999999999E-3</c:v>
                </c:pt>
                <c:pt idx="1264" formatCode="General">
                  <c:v>1.1568800000000001E-3</c:v>
                </c:pt>
                <c:pt idx="1265" formatCode="General">
                  <c:v>1.17187E-3</c:v>
                </c:pt>
                <c:pt idx="1266" formatCode="General">
                  <c:v>1.1870400000000001E-3</c:v>
                </c:pt>
                <c:pt idx="1267" formatCode="General">
                  <c:v>1.2024099999999999E-3</c:v>
                </c:pt>
                <c:pt idx="1268" formatCode="General">
                  <c:v>1.21798E-3</c:v>
                </c:pt>
                <c:pt idx="1269" formatCode="General">
                  <c:v>1.23376E-3</c:v>
                </c:pt>
                <c:pt idx="1270" formatCode="General">
                  <c:v>1.2497400000000001E-3</c:v>
                </c:pt>
                <c:pt idx="1271" formatCode="General">
                  <c:v>1.26592E-3</c:v>
                </c:pt>
                <c:pt idx="1272" formatCode="General">
                  <c:v>1.28231E-3</c:v>
                </c:pt>
                <c:pt idx="1273" formatCode="General">
                  <c:v>1.2989200000000001E-3</c:v>
                </c:pt>
                <c:pt idx="1274" formatCode="General">
                  <c:v>1.3157399999999999E-3</c:v>
                </c:pt>
                <c:pt idx="1275" formatCode="General">
                  <c:v>1.33278E-3</c:v>
                </c:pt>
                <c:pt idx="1276" formatCode="General">
                  <c:v>1.3500400000000001E-3</c:v>
                </c:pt>
                <c:pt idx="1277" formatCode="General">
                  <c:v>1.3675200000000001E-3</c:v>
                </c:pt>
                <c:pt idx="1278" formatCode="General">
                  <c:v>1.3852300000000001E-3</c:v>
                </c:pt>
                <c:pt idx="1279" formatCode="General">
                  <c:v>1.40317E-3</c:v>
                </c:pt>
                <c:pt idx="1280" formatCode="General">
                  <c:v>1.4213400000000001E-3</c:v>
                </c:pt>
                <c:pt idx="1281" formatCode="General">
                  <c:v>1.4397500000000001E-3</c:v>
                </c:pt>
                <c:pt idx="1282" formatCode="General">
                  <c:v>1.4583899999999999E-3</c:v>
                </c:pt>
                <c:pt idx="1283" formatCode="General">
                  <c:v>1.4772800000000001E-3</c:v>
                </c:pt>
                <c:pt idx="1284" formatCode="General">
                  <c:v>1.4964100000000001E-3</c:v>
                </c:pt>
                <c:pt idx="1285" formatCode="General">
                  <c:v>1.5157899999999999E-3</c:v>
                </c:pt>
                <c:pt idx="1286" formatCode="General">
                  <c:v>1.53542E-3</c:v>
                </c:pt>
                <c:pt idx="1287" formatCode="General">
                  <c:v>1.5552999999999999E-3</c:v>
                </c:pt>
                <c:pt idx="1288" formatCode="General">
                  <c:v>1.57544E-3</c:v>
                </c:pt>
                <c:pt idx="1289" formatCode="General">
                  <c:v>1.59585E-3</c:v>
                </c:pt>
                <c:pt idx="1290" formatCode="General">
                  <c:v>1.61651E-3</c:v>
                </c:pt>
                <c:pt idx="1291" formatCode="General">
                  <c:v>1.6374499999999999E-3</c:v>
                </c:pt>
                <c:pt idx="1292" formatCode="General">
                  <c:v>1.65865E-3</c:v>
                </c:pt>
                <c:pt idx="1293" formatCode="General">
                  <c:v>1.6801299999999999E-3</c:v>
                </c:pt>
                <c:pt idx="1294" formatCode="General">
                  <c:v>1.70189E-3</c:v>
                </c:pt>
                <c:pt idx="1295" formatCode="General">
                  <c:v>1.72393E-3</c:v>
                </c:pt>
                <c:pt idx="1296" formatCode="General">
                  <c:v>1.74625E-3</c:v>
                </c:pt>
                <c:pt idx="1297" formatCode="General">
                  <c:v>1.7688700000000001E-3</c:v>
                </c:pt>
                <c:pt idx="1298" formatCode="General">
                  <c:v>1.79177E-3</c:v>
                </c:pt>
                <c:pt idx="1299" formatCode="General">
                  <c:v>1.8149799999999999E-3</c:v>
                </c:pt>
                <c:pt idx="1300" formatCode="General">
                  <c:v>1.83848E-3</c:v>
                </c:pt>
                <c:pt idx="1301" formatCode="General">
                  <c:v>1.86229E-3</c:v>
                </c:pt>
                <c:pt idx="1302" formatCode="General">
                  <c:v>1.88641E-3</c:v>
                </c:pt>
                <c:pt idx="1303" formatCode="General">
                  <c:v>1.91084E-3</c:v>
                </c:pt>
                <c:pt idx="1304" formatCode="General">
                  <c:v>1.9355799999999999E-3</c:v>
                </c:pt>
                <c:pt idx="1305" formatCode="General">
                  <c:v>1.96065E-3</c:v>
                </c:pt>
                <c:pt idx="1306" formatCode="General">
                  <c:v>1.9860400000000001E-3</c:v>
                </c:pt>
                <c:pt idx="1307" formatCode="General">
                  <c:v>2.01176E-3</c:v>
                </c:pt>
                <c:pt idx="1308" formatCode="General">
                  <c:v>2.0378100000000001E-3</c:v>
                </c:pt>
                <c:pt idx="1309" formatCode="General">
                  <c:v>2.0642E-3</c:v>
                </c:pt>
                <c:pt idx="1310" formatCode="General">
                  <c:v>2.09093E-3</c:v>
                </c:pt>
                <c:pt idx="1311" formatCode="General">
                  <c:v>2.11801E-3</c:v>
                </c:pt>
                <c:pt idx="1312" formatCode="General">
                  <c:v>2.1454400000000002E-3</c:v>
                </c:pt>
                <c:pt idx="1313" formatCode="General">
                  <c:v>2.17322E-3</c:v>
                </c:pt>
                <c:pt idx="1314" formatCode="General">
                  <c:v>2.2013599999999999E-3</c:v>
                </c:pt>
                <c:pt idx="1315" formatCode="General">
                  <c:v>2.2298700000000001E-3</c:v>
                </c:pt>
                <c:pt idx="1316" formatCode="General">
                  <c:v>2.2587499999999999E-3</c:v>
                </c:pt>
                <c:pt idx="1317" formatCode="General">
                  <c:v>2.2880000000000001E-3</c:v>
                </c:pt>
                <c:pt idx="1318" formatCode="General">
                  <c:v>2.3176300000000002E-3</c:v>
                </c:pt>
                <c:pt idx="1319" formatCode="General">
                  <c:v>2.3476399999999998E-3</c:v>
                </c:pt>
                <c:pt idx="1320" formatCode="General">
                  <c:v>2.37805E-3</c:v>
                </c:pt>
                <c:pt idx="1321" formatCode="General">
                  <c:v>2.4088400000000002E-3</c:v>
                </c:pt>
                <c:pt idx="1322" formatCode="General">
                  <c:v>2.4400400000000001E-3</c:v>
                </c:pt>
                <c:pt idx="1323" formatCode="General">
                  <c:v>2.4716400000000002E-3</c:v>
                </c:pt>
                <c:pt idx="1324" formatCode="General">
                  <c:v>2.5036400000000001E-3</c:v>
                </c:pt>
                <c:pt idx="1325" formatCode="General">
                  <c:v>2.5360700000000001E-3</c:v>
                </c:pt>
                <c:pt idx="1326" formatCode="General">
                  <c:v>2.5689100000000002E-3</c:v>
                </c:pt>
                <c:pt idx="1327" formatCode="General">
                  <c:v>2.6021799999999999E-3</c:v>
                </c:pt>
                <c:pt idx="1328" formatCode="General">
                  <c:v>2.6358699999999998E-3</c:v>
                </c:pt>
                <c:pt idx="1329" formatCode="General">
                  <c:v>2.67001E-3</c:v>
                </c:pt>
                <c:pt idx="1330" formatCode="General">
                  <c:v>2.7045900000000002E-3</c:v>
                </c:pt>
                <c:pt idx="1331" formatCode="General">
                  <c:v>2.73961E-3</c:v>
                </c:pt>
                <c:pt idx="1332" formatCode="General">
                  <c:v>2.77509E-3</c:v>
                </c:pt>
                <c:pt idx="1333" formatCode="General">
                  <c:v>2.81103E-3</c:v>
                </c:pt>
                <c:pt idx="1334" formatCode="General">
                  <c:v>2.8474300000000002E-3</c:v>
                </c:pt>
                <c:pt idx="1335" formatCode="General">
                  <c:v>2.8842999999999998E-3</c:v>
                </c:pt>
                <c:pt idx="1336" formatCode="General">
                  <c:v>2.92166E-3</c:v>
                </c:pt>
                <c:pt idx="1337" formatCode="General">
                  <c:v>2.95949E-3</c:v>
                </c:pt>
                <c:pt idx="1338" formatCode="General">
                  <c:v>2.99782E-3</c:v>
                </c:pt>
                <c:pt idx="1339" formatCode="General">
                  <c:v>3.0366400000000002E-3</c:v>
                </c:pt>
                <c:pt idx="1340" formatCode="General">
                  <c:v>3.07596E-3</c:v>
                </c:pt>
                <c:pt idx="1341" formatCode="General">
                  <c:v>3.1158000000000002E-3</c:v>
                </c:pt>
                <c:pt idx="1342" formatCode="General">
                  <c:v>3.1561499999999999E-3</c:v>
                </c:pt>
                <c:pt idx="1343" formatCode="General">
                  <c:v>3.1970200000000001E-3</c:v>
                </c:pt>
                <c:pt idx="1344" formatCode="General">
                  <c:v>3.2384200000000001E-3</c:v>
                </c:pt>
                <c:pt idx="1345" formatCode="General">
                  <c:v>3.28036E-3</c:v>
                </c:pt>
                <c:pt idx="1346" formatCode="General">
                  <c:v>3.3228400000000001E-3</c:v>
                </c:pt>
                <c:pt idx="1347" formatCode="General">
                  <c:v>3.36587E-3</c:v>
                </c:pt>
                <c:pt idx="1348" formatCode="General">
                  <c:v>3.40946E-3</c:v>
                </c:pt>
                <c:pt idx="1349" formatCode="General">
                  <c:v>3.4536100000000002E-3</c:v>
                </c:pt>
                <c:pt idx="1350" formatCode="General">
                  <c:v>3.49834E-3</c:v>
                </c:pt>
                <c:pt idx="1351" formatCode="General">
                  <c:v>3.5436399999999998E-3</c:v>
                </c:pt>
                <c:pt idx="1352" formatCode="General">
                  <c:v>3.5895300000000001E-3</c:v>
                </c:pt>
                <c:pt idx="1353" formatCode="General">
                  <c:v>3.6360199999999998E-3</c:v>
                </c:pt>
                <c:pt idx="1354" formatCode="General">
                  <c:v>3.6830999999999999E-3</c:v>
                </c:pt>
                <c:pt idx="1355" formatCode="General">
                  <c:v>3.7307999999999998E-3</c:v>
                </c:pt>
                <c:pt idx="1356" formatCode="General">
                  <c:v>3.77911E-3</c:v>
                </c:pt>
                <c:pt idx="1357" formatCode="General">
                  <c:v>3.8280499999999999E-3</c:v>
                </c:pt>
                <c:pt idx="1358" formatCode="General">
                  <c:v>3.87763E-3</c:v>
                </c:pt>
                <c:pt idx="1359" formatCode="General">
                  <c:v>3.9278400000000002E-3</c:v>
                </c:pt>
                <c:pt idx="1360" formatCode="General">
                  <c:v>3.9787099999999999E-3</c:v>
                </c:pt>
                <c:pt idx="1361" formatCode="General">
                  <c:v>4.0302300000000001E-3</c:v>
                </c:pt>
                <c:pt idx="1362" formatCode="General">
                  <c:v>4.0824199999999998E-3</c:v>
                </c:pt>
                <c:pt idx="1363" formatCode="General">
                  <c:v>4.1352899999999998E-3</c:v>
                </c:pt>
                <c:pt idx="1364" formatCode="General">
                  <c:v>4.1888400000000001E-3</c:v>
                </c:pt>
                <c:pt idx="1365" formatCode="General">
                  <c:v>4.2430899999999997E-3</c:v>
                </c:pt>
                <c:pt idx="1366" formatCode="General">
                  <c:v>4.2980400000000004E-3</c:v>
                </c:pt>
                <c:pt idx="1367" formatCode="General">
                  <c:v>4.3537000000000003E-3</c:v>
                </c:pt>
                <c:pt idx="1368" formatCode="General">
                  <c:v>4.4100800000000002E-3</c:v>
                </c:pt>
                <c:pt idx="1369" formatCode="General">
                  <c:v>4.4671900000000002E-3</c:v>
                </c:pt>
                <c:pt idx="1370" formatCode="General">
                  <c:v>4.5250400000000001E-3</c:v>
                </c:pt>
                <c:pt idx="1371" formatCode="General">
                  <c:v>4.5836399999999999E-3</c:v>
                </c:pt>
                <c:pt idx="1372" formatCode="General">
                  <c:v>4.6430000000000004E-3</c:v>
                </c:pt>
                <c:pt idx="1373" formatCode="General">
                  <c:v>4.7031299999999998E-3</c:v>
                </c:pt>
                <c:pt idx="1374" formatCode="General">
                  <c:v>4.7640299999999998E-3</c:v>
                </c:pt>
                <c:pt idx="1375" formatCode="General">
                  <c:v>4.8257300000000003E-3</c:v>
                </c:pt>
                <c:pt idx="1376" formatCode="General">
                  <c:v>4.8882200000000004E-3</c:v>
                </c:pt>
                <c:pt idx="1377" formatCode="General">
                  <c:v>4.9515200000000001E-3</c:v>
                </c:pt>
                <c:pt idx="1378" formatCode="General">
                  <c:v>5.01565E-3</c:v>
                </c:pt>
                <c:pt idx="1379" formatCode="General">
                  <c:v>5.0806000000000002E-3</c:v>
                </c:pt>
                <c:pt idx="1380" formatCode="General">
                  <c:v>5.1463899999999998E-3</c:v>
                </c:pt>
                <c:pt idx="1381" formatCode="General">
                  <c:v>5.2130400000000004E-3</c:v>
                </c:pt>
                <c:pt idx="1382" formatCode="General">
                  <c:v>5.2805500000000002E-3</c:v>
                </c:pt>
                <c:pt idx="1383" formatCode="General">
                  <c:v>5.34893E-3</c:v>
                </c:pt>
                <c:pt idx="1384" formatCode="General">
                  <c:v>5.4181999999999998E-3</c:v>
                </c:pt>
                <c:pt idx="1385" formatCode="General">
                  <c:v>5.4883700000000002E-3</c:v>
                </c:pt>
                <c:pt idx="1386" formatCode="General">
                  <c:v>5.5594399999999997E-3</c:v>
                </c:pt>
                <c:pt idx="1387" formatCode="General">
                  <c:v>5.6314399999999997E-3</c:v>
                </c:pt>
                <c:pt idx="1388" formatCode="General">
                  <c:v>5.7043700000000003E-3</c:v>
                </c:pt>
                <c:pt idx="1389" formatCode="General">
                  <c:v>5.7782399999999996E-3</c:v>
                </c:pt>
                <c:pt idx="1390" formatCode="General">
                  <c:v>5.8530700000000001E-3</c:v>
                </c:pt>
                <c:pt idx="1391" formatCode="General">
                  <c:v>5.9288600000000002E-3</c:v>
                </c:pt>
                <c:pt idx="1392" formatCode="General">
                  <c:v>6.0056399999999996E-3</c:v>
                </c:pt>
                <c:pt idx="1393" formatCode="General">
                  <c:v>6.08342E-3</c:v>
                </c:pt>
                <c:pt idx="1394" formatCode="General">
                  <c:v>6.1621999999999996E-3</c:v>
                </c:pt>
                <c:pt idx="1395" formatCode="General">
                  <c:v>6.2420000000000002E-3</c:v>
                </c:pt>
                <c:pt idx="1396" formatCode="General">
                  <c:v>6.3228299999999998E-3</c:v>
                </c:pt>
                <c:pt idx="1397" formatCode="General">
                  <c:v>6.4047100000000001E-3</c:v>
                </c:pt>
                <c:pt idx="1398" formatCode="General">
                  <c:v>6.4876600000000001E-3</c:v>
                </c:pt>
                <c:pt idx="1399" formatCode="General">
                  <c:v>6.5716699999999999E-3</c:v>
                </c:pt>
                <c:pt idx="1400" formatCode="General">
                  <c:v>6.6567800000000002E-3</c:v>
                </c:pt>
                <c:pt idx="1401" formatCode="General">
                  <c:v>6.74298E-3</c:v>
                </c:pt>
                <c:pt idx="1402" formatCode="General">
                  <c:v>6.8303000000000001E-3</c:v>
                </c:pt>
                <c:pt idx="1403" formatCode="General">
                  <c:v>6.9187600000000004E-3</c:v>
                </c:pt>
                <c:pt idx="1404" formatCode="General">
                  <c:v>7.00835E-3</c:v>
                </c:pt>
                <c:pt idx="1405" formatCode="General">
                  <c:v>7.0991099999999996E-3</c:v>
                </c:pt>
                <c:pt idx="1406" formatCode="General">
                  <c:v>7.19105E-3</c:v>
                </c:pt>
                <c:pt idx="1407" formatCode="General">
                  <c:v>7.2841700000000004E-3</c:v>
                </c:pt>
                <c:pt idx="1408" formatCode="General">
                  <c:v>7.3784999999999996E-3</c:v>
                </c:pt>
                <c:pt idx="1409" formatCode="General">
                  <c:v>7.4740600000000003E-3</c:v>
                </c:pt>
                <c:pt idx="1410" formatCode="General">
                  <c:v>7.5708399999999997E-3</c:v>
                </c:pt>
                <c:pt idx="1411" formatCode="General">
                  <c:v>7.6688900000000003E-3</c:v>
                </c:pt>
                <c:pt idx="1412" formatCode="General">
                  <c:v>7.7682000000000003E-3</c:v>
                </c:pt>
                <c:pt idx="1413" formatCode="General">
                  <c:v>7.8688000000000004E-3</c:v>
                </c:pt>
                <c:pt idx="1414" formatCode="General">
                  <c:v>7.9707000000000007E-3</c:v>
                </c:pt>
                <c:pt idx="1415" formatCode="General">
                  <c:v>8.0739200000000001E-3</c:v>
                </c:pt>
                <c:pt idx="1416" formatCode="General">
                  <c:v>8.1784800000000001E-3</c:v>
                </c:pt>
                <c:pt idx="1417" formatCode="General">
                  <c:v>8.2843900000000009E-3</c:v>
                </c:pt>
                <c:pt idx="1418" formatCode="General">
                  <c:v>8.3916800000000003E-3</c:v>
                </c:pt>
                <c:pt idx="1419" formatCode="General">
                  <c:v>8.5003500000000003E-3</c:v>
                </c:pt>
                <c:pt idx="1420" formatCode="General">
                  <c:v>8.6104300000000005E-3</c:v>
                </c:pt>
                <c:pt idx="1421" formatCode="General">
                  <c:v>8.7219299999999993E-3</c:v>
                </c:pt>
                <c:pt idx="1422" formatCode="General">
                  <c:v>8.8348799999999998E-3</c:v>
                </c:pt>
                <c:pt idx="1423" formatCode="General">
                  <c:v>8.9493000000000003E-3</c:v>
                </c:pt>
                <c:pt idx="1424" formatCode="General">
                  <c:v>9.0651900000000007E-3</c:v>
                </c:pt>
                <c:pt idx="1425" formatCode="General">
                  <c:v>9.1825899999999992E-3</c:v>
                </c:pt>
                <c:pt idx="1426" formatCode="General">
                  <c:v>9.3015000000000007E-3</c:v>
                </c:pt>
                <c:pt idx="1427" formatCode="General">
                  <c:v>9.4219600000000001E-3</c:v>
                </c:pt>
                <c:pt idx="1428" formatCode="General">
                  <c:v>9.5439700000000006E-3</c:v>
                </c:pt>
                <c:pt idx="1429" formatCode="General">
                  <c:v>9.6675700000000003E-3</c:v>
                </c:pt>
                <c:pt idx="1430" formatCode="General">
                  <c:v>9.7927599999999993E-3</c:v>
                </c:pt>
                <c:pt idx="1431" formatCode="General">
                  <c:v>9.9195800000000008E-3</c:v>
                </c:pt>
                <c:pt idx="1432" formatCode="General">
                  <c:v>1.0048E-2</c:v>
                </c:pt>
                <c:pt idx="1433" formatCode="General">
                  <c:v>1.01782E-2</c:v>
                </c:pt>
                <c:pt idx="1434" formatCode="General">
                  <c:v>1.031E-2</c:v>
                </c:pt>
                <c:pt idx="1435" formatCode="General">
                  <c:v>1.04435E-2</c:v>
                </c:pt>
                <c:pt idx="1436" formatCode="General">
                  <c:v>1.05787E-2</c:v>
                </c:pt>
                <c:pt idx="1437" formatCode="General">
                  <c:v>1.07157E-2</c:v>
                </c:pt>
                <c:pt idx="1438" formatCode="General">
                  <c:v>1.08545E-2</c:v>
                </c:pt>
                <c:pt idx="1439" formatCode="General">
                  <c:v>1.0995100000000001E-2</c:v>
                </c:pt>
                <c:pt idx="1440" formatCode="General">
                  <c:v>1.11374E-2</c:v>
                </c:pt>
                <c:pt idx="1441" formatCode="General">
                  <c:v>1.12817E-2</c:v>
                </c:pt>
                <c:pt idx="1442" formatCode="General">
                  <c:v>1.14278E-2</c:v>
                </c:pt>
                <c:pt idx="1443" formatCode="General">
                  <c:v>1.1575800000000001E-2</c:v>
                </c:pt>
                <c:pt idx="1444" formatCode="General">
                  <c:v>1.17257E-2</c:v>
                </c:pt>
                <c:pt idx="1445" formatCode="General">
                  <c:v>1.1877499999999999E-2</c:v>
                </c:pt>
                <c:pt idx="1446" formatCode="General">
                  <c:v>1.20313E-2</c:v>
                </c:pt>
                <c:pt idx="1447" formatCode="General">
                  <c:v>1.2187099999999999E-2</c:v>
                </c:pt>
                <c:pt idx="1448" formatCode="General">
                  <c:v>1.2345E-2</c:v>
                </c:pt>
                <c:pt idx="1449" formatCode="General">
                  <c:v>1.25048E-2</c:v>
                </c:pt>
                <c:pt idx="1450" formatCode="General">
                  <c:v>1.2666800000000001E-2</c:v>
                </c:pt>
                <c:pt idx="1451" formatCode="General">
                  <c:v>1.28308E-2</c:v>
                </c:pt>
                <c:pt idx="1452" formatCode="General">
                  <c:v>1.2997E-2</c:v>
                </c:pt>
                <c:pt idx="1453" formatCode="General">
                  <c:v>1.31653E-2</c:v>
                </c:pt>
                <c:pt idx="1454" formatCode="General">
                  <c:v>1.33358E-2</c:v>
                </c:pt>
                <c:pt idx="1455" formatCode="General">
                  <c:v>1.35085E-2</c:v>
                </c:pt>
                <c:pt idx="1456" formatCode="General">
                  <c:v>1.36834E-2</c:v>
                </c:pt>
                <c:pt idx="1457" formatCode="General">
                  <c:v>1.3860600000000001E-2</c:v>
                </c:pt>
                <c:pt idx="1458" formatCode="General">
                  <c:v>1.40401E-2</c:v>
                </c:pt>
                <c:pt idx="1459" formatCode="General">
                  <c:v>1.4221900000000001E-2</c:v>
                </c:pt>
                <c:pt idx="1460" formatCode="General">
                  <c:v>1.44061E-2</c:v>
                </c:pt>
                <c:pt idx="1461" formatCode="General">
                  <c:v>1.45927E-2</c:v>
                </c:pt>
                <c:pt idx="1462" formatCode="General">
                  <c:v>1.4781600000000001E-2</c:v>
                </c:pt>
                <c:pt idx="1463" formatCode="General">
                  <c:v>1.49731E-2</c:v>
                </c:pt>
                <c:pt idx="1464" formatCode="General">
                  <c:v>1.5167E-2</c:v>
                </c:pt>
                <c:pt idx="1465" formatCode="General">
                  <c:v>1.5363399999999999E-2</c:v>
                </c:pt>
                <c:pt idx="1466" formatCode="General">
                  <c:v>1.5562299999999999E-2</c:v>
                </c:pt>
                <c:pt idx="1467" formatCode="General">
                  <c:v>1.5763900000000001E-2</c:v>
                </c:pt>
                <c:pt idx="1468" formatCode="General">
                  <c:v>1.5968E-2</c:v>
                </c:pt>
                <c:pt idx="1469" formatCode="General">
                  <c:v>1.61748E-2</c:v>
                </c:pt>
                <c:pt idx="1470" formatCode="General">
                  <c:v>1.6384300000000001E-2</c:v>
                </c:pt>
                <c:pt idx="1471" formatCode="General">
                  <c:v>1.6596400000000001E-2</c:v>
                </c:pt>
                <c:pt idx="1472" formatCode="General">
                  <c:v>1.6811400000000001E-2</c:v>
                </c:pt>
                <c:pt idx="1473" formatCode="General">
                  <c:v>1.7029099999999998E-2</c:v>
                </c:pt>
                <c:pt idx="1474" formatCode="General">
                  <c:v>1.72496E-2</c:v>
                </c:pt>
                <c:pt idx="1475" formatCode="General">
                  <c:v>1.7472999999999999E-2</c:v>
                </c:pt>
                <c:pt idx="1476" formatCode="General">
                  <c:v>1.7699300000000001E-2</c:v>
                </c:pt>
                <c:pt idx="1477" formatCode="General">
                  <c:v>1.79285E-2</c:v>
                </c:pt>
                <c:pt idx="1478" formatCode="General">
                  <c:v>1.8160699999999998E-2</c:v>
                </c:pt>
                <c:pt idx="1479" formatCode="General">
                  <c:v>1.83958E-2</c:v>
                </c:pt>
                <c:pt idx="1480" formatCode="General">
                  <c:v>1.8634100000000001E-2</c:v>
                </c:pt>
                <c:pt idx="1481" formatCode="General">
                  <c:v>1.8875400000000001E-2</c:v>
                </c:pt>
                <c:pt idx="1482" formatCode="General">
                  <c:v>1.9119799999999999E-2</c:v>
                </c:pt>
                <c:pt idx="1483" formatCode="General">
                  <c:v>1.93674E-2</c:v>
                </c:pt>
                <c:pt idx="1484" formatCode="General">
                  <c:v>1.9618199999999999E-2</c:v>
                </c:pt>
                <c:pt idx="1485" formatCode="General">
                  <c:v>1.9872299999999999E-2</c:v>
                </c:pt>
                <c:pt idx="1486" formatCode="General">
                  <c:v>2.0129600000000001E-2</c:v>
                </c:pt>
                <c:pt idx="1487" formatCode="General">
                  <c:v>2.03903E-2</c:v>
                </c:pt>
                <c:pt idx="1488" formatCode="General">
                  <c:v>2.06544E-2</c:v>
                </c:pt>
                <c:pt idx="1489" formatCode="General">
                  <c:v>2.0921800000000001E-2</c:v>
                </c:pt>
                <c:pt idx="1490" formatCode="General">
                  <c:v>2.1192800000000001E-2</c:v>
                </c:pt>
                <c:pt idx="1491" formatCode="General">
                  <c:v>2.1467199999999999E-2</c:v>
                </c:pt>
                <c:pt idx="1492" formatCode="General">
                  <c:v>2.1745199999999999E-2</c:v>
                </c:pt>
                <c:pt idx="1493" formatCode="General">
                  <c:v>2.2026799999999999E-2</c:v>
                </c:pt>
                <c:pt idx="1494" formatCode="General">
                  <c:v>2.2312100000000001E-2</c:v>
                </c:pt>
                <c:pt idx="1495" formatCode="General">
                  <c:v>2.2601E-2</c:v>
                </c:pt>
                <c:pt idx="1496" formatCode="General">
                  <c:v>2.2893699999999999E-2</c:v>
                </c:pt>
                <c:pt idx="1497" formatCode="General">
                  <c:v>2.3190200000000001E-2</c:v>
                </c:pt>
                <c:pt idx="1498" formatCode="General">
                  <c:v>2.3490500000000001E-2</c:v>
                </c:pt>
                <c:pt idx="1499" formatCode="General">
                  <c:v>2.3794699999999998E-2</c:v>
                </c:pt>
                <c:pt idx="1500" formatCode="General">
                  <c:v>2.41029E-2</c:v>
                </c:pt>
                <c:pt idx="1501" formatCode="General">
                  <c:v>2.4414999999999999E-2</c:v>
                </c:pt>
                <c:pt idx="1502" formatCode="General">
                  <c:v>2.4731199999999998E-2</c:v>
                </c:pt>
                <c:pt idx="1503" formatCode="General">
                  <c:v>2.5051400000000001E-2</c:v>
                </c:pt>
                <c:pt idx="1504" formatCode="General">
                  <c:v>2.53759E-2</c:v>
                </c:pt>
                <c:pt idx="1505" formatCode="General">
                  <c:v>2.5704500000000002E-2</c:v>
                </c:pt>
                <c:pt idx="1506" formatCode="General">
                  <c:v>2.6037299999999999E-2</c:v>
                </c:pt>
                <c:pt idx="1507" formatCode="General">
                  <c:v>2.6374499999999999E-2</c:v>
                </c:pt>
                <c:pt idx="1508" formatCode="General">
                  <c:v>2.67161E-2</c:v>
                </c:pt>
                <c:pt idx="1509" formatCode="General">
                  <c:v>2.7062099999999999E-2</c:v>
                </c:pt>
                <c:pt idx="1510" formatCode="General">
                  <c:v>2.7412499999999999E-2</c:v>
                </c:pt>
                <c:pt idx="1511" formatCode="General">
                  <c:v>2.7767500000000001E-2</c:v>
                </c:pt>
                <c:pt idx="1512" formatCode="General">
                  <c:v>2.8127099999999999E-2</c:v>
                </c:pt>
                <c:pt idx="1513" formatCode="General">
                  <c:v>2.84914E-2</c:v>
                </c:pt>
                <c:pt idx="1514" formatCode="General">
                  <c:v>2.8860299999999998E-2</c:v>
                </c:pt>
                <c:pt idx="1515" formatCode="General">
                  <c:v>2.9234099999999999E-2</c:v>
                </c:pt>
                <c:pt idx="1516" formatCode="General">
                  <c:v>2.9612599999999999E-2</c:v>
                </c:pt>
                <c:pt idx="1517" formatCode="General">
                  <c:v>2.9996100000000001E-2</c:v>
                </c:pt>
                <c:pt idx="1518" formatCode="General">
                  <c:v>3.0384600000000001E-2</c:v>
                </c:pt>
                <c:pt idx="1519" formatCode="General">
                  <c:v>3.0778099999999999E-2</c:v>
                </c:pt>
                <c:pt idx="1520" formatCode="General">
                  <c:v>3.1176599999999999E-2</c:v>
                </c:pt>
                <c:pt idx="1521" formatCode="General">
                  <c:v>3.1580400000000002E-2</c:v>
                </c:pt>
                <c:pt idx="1522" formatCode="General">
                  <c:v>3.1989400000000001E-2</c:v>
                </c:pt>
                <c:pt idx="1523" formatCode="General">
                  <c:v>3.2403599999999998E-2</c:v>
                </c:pt>
                <c:pt idx="1524" formatCode="General">
                  <c:v>3.2823199999999997E-2</c:v>
                </c:pt>
                <c:pt idx="1525" formatCode="General">
                  <c:v>3.3248300000000001E-2</c:v>
                </c:pt>
                <c:pt idx="1526" formatCode="General">
                  <c:v>3.3678899999999998E-2</c:v>
                </c:pt>
                <c:pt idx="1527" formatCode="General">
                  <c:v>3.4114999999999999E-2</c:v>
                </c:pt>
                <c:pt idx="1528" formatCode="General">
                  <c:v>3.4556799999999999E-2</c:v>
                </c:pt>
                <c:pt idx="1529" formatCode="General">
                  <c:v>3.5004300000000002E-2</c:v>
                </c:pt>
                <c:pt idx="1530" formatCode="General">
                  <c:v>3.5457599999999999E-2</c:v>
                </c:pt>
                <c:pt idx="1531" formatCode="General">
                  <c:v>3.5916799999999999E-2</c:v>
                </c:pt>
                <c:pt idx="1532" formatCode="General">
                  <c:v>3.6381900000000002E-2</c:v>
                </c:pt>
                <c:pt idx="1533" formatCode="General">
                  <c:v>3.68531E-2</c:v>
                </c:pt>
                <c:pt idx="1534" formatCode="General">
                  <c:v>3.7330299999999997E-2</c:v>
                </c:pt>
                <c:pt idx="1535" formatCode="General">
                  <c:v>3.7813800000000002E-2</c:v>
                </c:pt>
                <c:pt idx="1536" formatCode="General">
                  <c:v>3.8303499999999997E-2</c:v>
                </c:pt>
                <c:pt idx="1537" formatCode="General">
                  <c:v>3.8799500000000001E-2</c:v>
                </c:pt>
                <c:pt idx="1538" formatCode="General">
                  <c:v>3.9301999999999997E-2</c:v>
                </c:pt>
                <c:pt idx="1539" formatCode="General">
                  <c:v>3.9810900000000003E-2</c:v>
                </c:pt>
                <c:pt idx="1540" formatCode="General">
                  <c:v>4.0326500000000001E-2</c:v>
                </c:pt>
                <c:pt idx="1541" formatCode="General">
                  <c:v>4.0848700000000002E-2</c:v>
                </c:pt>
                <c:pt idx="1542" formatCode="General">
                  <c:v>4.1377700000000003E-2</c:v>
                </c:pt>
                <c:pt idx="1543" formatCode="General">
                  <c:v>4.1913499999999999E-2</c:v>
                </c:pt>
                <c:pt idx="1544" formatCode="General">
                  <c:v>4.2456300000000002E-2</c:v>
                </c:pt>
                <c:pt idx="1545" formatCode="General">
                  <c:v>4.3006099999999998E-2</c:v>
                </c:pt>
                <c:pt idx="1546" formatCode="General">
                  <c:v>4.35631E-2</c:v>
                </c:pt>
                <c:pt idx="1547" formatCode="General">
                  <c:v>4.4127199999999998E-2</c:v>
                </c:pt>
                <c:pt idx="1548" formatCode="General">
                  <c:v>4.4698700000000001E-2</c:v>
                </c:pt>
                <c:pt idx="1549" formatCode="General">
                  <c:v>4.5277499999999998E-2</c:v>
                </c:pt>
                <c:pt idx="1550" formatCode="General">
                  <c:v>4.5863899999999999E-2</c:v>
                </c:pt>
                <c:pt idx="1551" formatCode="General">
                  <c:v>4.64578E-2</c:v>
                </c:pt>
                <c:pt idx="1552" formatCode="General">
                  <c:v>4.7059400000000001E-2</c:v>
                </c:pt>
                <c:pt idx="1553" formatCode="General">
                  <c:v>4.76689E-2</c:v>
                </c:pt>
                <c:pt idx="1554" formatCode="General">
                  <c:v>4.8286200000000001E-2</c:v>
                </c:pt>
                <c:pt idx="1555" formatCode="General">
                  <c:v>4.8911499999999997E-2</c:v>
                </c:pt>
                <c:pt idx="1556" formatCode="General">
                  <c:v>4.9544900000000003E-2</c:v>
                </c:pt>
                <c:pt idx="1557" formatCode="General">
                  <c:v>5.0186500000000002E-2</c:v>
                </c:pt>
                <c:pt idx="1558" formatCode="General">
                  <c:v>5.0836399999999997E-2</c:v>
                </c:pt>
                <c:pt idx="1559" formatCode="General">
                  <c:v>5.14948E-2</c:v>
                </c:pt>
                <c:pt idx="1560" formatCode="General">
                  <c:v>5.2161600000000002E-2</c:v>
                </c:pt>
                <c:pt idx="1561" formatCode="General">
                  <c:v>5.2837099999999998E-2</c:v>
                </c:pt>
                <c:pt idx="1562" formatCode="General">
                  <c:v>5.3521399999999997E-2</c:v>
                </c:pt>
                <c:pt idx="1563" formatCode="General">
                  <c:v>5.4214499999999999E-2</c:v>
                </c:pt>
                <c:pt idx="1564" formatCode="General">
                  <c:v>5.4916600000000003E-2</c:v>
                </c:pt>
                <c:pt idx="1565" formatCode="General">
                  <c:v>5.5627700000000002E-2</c:v>
                </c:pt>
                <c:pt idx="1566" formatCode="General">
                  <c:v>5.6348099999999998E-2</c:v>
                </c:pt>
                <c:pt idx="1567" formatCode="General">
                  <c:v>5.7077799999999998E-2</c:v>
                </c:pt>
                <c:pt idx="1568" formatCode="General">
                  <c:v>5.7817E-2</c:v>
                </c:pt>
                <c:pt idx="1569" formatCode="General">
                  <c:v>5.8565699999999998E-2</c:v>
                </c:pt>
                <c:pt idx="1570" formatCode="General">
                  <c:v>5.9324200000000001E-2</c:v>
                </c:pt>
                <c:pt idx="1571" formatCode="General">
                  <c:v>6.0092399999999997E-2</c:v>
                </c:pt>
                <c:pt idx="1572" formatCode="General">
                  <c:v>6.0870599999999997E-2</c:v>
                </c:pt>
                <c:pt idx="1573" formatCode="General">
                  <c:v>6.1658900000000003E-2</c:v>
                </c:pt>
                <c:pt idx="1574" formatCode="General">
                  <c:v>6.2457400000000003E-2</c:v>
                </c:pt>
                <c:pt idx="1575" formatCode="General">
                  <c:v>6.3266199999999995E-2</c:v>
                </c:pt>
                <c:pt idx="1576" formatCode="General">
                  <c:v>6.4085500000000004E-2</c:v>
                </c:pt>
                <c:pt idx="1577" formatCode="General">
                  <c:v>6.4915399999999998E-2</c:v>
                </c:pt>
                <c:pt idx="1578" formatCode="General">
                  <c:v>6.5756099999999998E-2</c:v>
                </c:pt>
                <c:pt idx="1579" formatCode="General">
                  <c:v>6.6607600000000003E-2</c:v>
                </c:pt>
                <c:pt idx="1580" formatCode="General">
                  <c:v>6.7470199999999994E-2</c:v>
                </c:pt>
                <c:pt idx="1581" formatCode="General">
                  <c:v>6.8344000000000002E-2</c:v>
                </c:pt>
                <c:pt idx="1582" formatCode="General">
                  <c:v>6.9228999999999999E-2</c:v>
                </c:pt>
                <c:pt idx="1583" formatCode="General">
                  <c:v>7.0125499999999993E-2</c:v>
                </c:pt>
                <c:pt idx="1584" formatCode="General">
                  <c:v>7.1033700000000005E-2</c:v>
                </c:pt>
                <c:pt idx="1585" formatCode="General">
                  <c:v>7.1953600000000006E-2</c:v>
                </c:pt>
                <c:pt idx="1586" formatCode="General">
                  <c:v>7.2885400000000003E-2</c:v>
                </c:pt>
                <c:pt idx="1587" formatCode="General">
                  <c:v>7.3829199999999998E-2</c:v>
                </c:pt>
                <c:pt idx="1588" formatCode="General">
                  <c:v>7.4785299999999999E-2</c:v>
                </c:pt>
                <c:pt idx="1589" formatCode="General">
                  <c:v>7.5753799999999996E-2</c:v>
                </c:pt>
                <c:pt idx="1590" formatCode="General">
                  <c:v>7.6734800000000006E-2</c:v>
                </c:pt>
                <c:pt idx="1591" formatCode="General">
                  <c:v>7.7728599999999995E-2</c:v>
                </c:pt>
                <c:pt idx="1592" formatCode="General">
                  <c:v>7.8735100000000002E-2</c:v>
                </c:pt>
                <c:pt idx="1593" formatCode="General">
                  <c:v>7.9754800000000001E-2</c:v>
                </c:pt>
                <c:pt idx="1594" formatCode="General">
                  <c:v>8.0787600000000001E-2</c:v>
                </c:pt>
                <c:pt idx="1595" formatCode="General">
                  <c:v>8.1833799999999998E-2</c:v>
                </c:pt>
                <c:pt idx="1596" formatCode="General">
                  <c:v>8.2893599999999998E-2</c:v>
                </c:pt>
                <c:pt idx="1597" formatCode="General">
                  <c:v>8.3967E-2</c:v>
                </c:pt>
                <c:pt idx="1598" formatCode="General">
                  <c:v>8.5054400000000002E-2</c:v>
                </c:pt>
                <c:pt idx="1599" formatCode="General">
                  <c:v>8.6155899999999994E-2</c:v>
                </c:pt>
                <c:pt idx="1600" formatCode="General">
                  <c:v>8.7271600000000005E-2</c:v>
                </c:pt>
                <c:pt idx="1601" formatCode="General">
                  <c:v>8.8401800000000003E-2</c:v>
                </c:pt>
                <c:pt idx="1602" formatCode="General">
                  <c:v>8.9546600000000004E-2</c:v>
                </c:pt>
                <c:pt idx="1603" formatCode="General">
                  <c:v>9.0706200000000001E-2</c:v>
                </c:pt>
                <c:pt idx="1604" formatCode="General">
                  <c:v>9.1880900000000001E-2</c:v>
                </c:pt>
                <c:pt idx="1605" formatCode="General">
                  <c:v>9.3070799999999995E-2</c:v>
                </c:pt>
                <c:pt idx="1606" formatCode="General">
                  <c:v>9.4275999999999999E-2</c:v>
                </c:pt>
                <c:pt idx="1607" formatCode="General">
                  <c:v>9.5496899999999996E-2</c:v>
                </c:pt>
                <c:pt idx="1608" formatCode="General">
                  <c:v>9.6733600000000003E-2</c:v>
                </c:pt>
                <c:pt idx="1609" formatCode="General">
                  <c:v>9.7986299999999998E-2</c:v>
                </c:pt>
                <c:pt idx="1610" formatCode="General">
                  <c:v>9.9255200000000002E-2</c:v>
                </c:pt>
                <c:pt idx="1611" formatCode="General">
                  <c:v>0.10054100000000001</c:v>
                </c:pt>
                <c:pt idx="1612" formatCode="General">
                  <c:v>0.101843</c:v>
                </c:pt>
                <c:pt idx="1613" formatCode="General">
                  <c:v>0.103161</c:v>
                </c:pt>
                <c:pt idx="1614" formatCode="General">
                  <c:v>0.10449700000000001</c:v>
                </c:pt>
                <c:pt idx="1615" formatCode="General">
                  <c:v>0.105851</c:v>
                </c:pt>
                <c:pt idx="1616" formatCode="General">
                  <c:v>0.107221</c:v>
                </c:pt>
                <c:pt idx="1617" formatCode="General">
                  <c:v>0.10861</c:v>
                </c:pt>
                <c:pt idx="1618" formatCode="General">
                  <c:v>0.110017</c:v>
                </c:pt>
                <c:pt idx="1619" formatCode="General">
                  <c:v>0.111441</c:v>
                </c:pt>
                <c:pt idx="1620" formatCode="General">
                  <c:v>0.112884</c:v>
                </c:pt>
                <c:pt idx="1621" formatCode="General">
                  <c:v>0.114346</c:v>
                </c:pt>
                <c:pt idx="1622" formatCode="General">
                  <c:v>0.115827</c:v>
                </c:pt>
                <c:pt idx="1623" formatCode="General">
                  <c:v>0.117327</c:v>
                </c:pt>
                <c:pt idx="1624" formatCode="General">
                  <c:v>0.11884599999999999</c:v>
                </c:pt>
                <c:pt idx="1625" formatCode="General">
                  <c:v>0.12038500000000001</c:v>
                </c:pt>
                <c:pt idx="1626" formatCode="General">
                  <c:v>0.121944</c:v>
                </c:pt>
                <c:pt idx="1627" formatCode="General">
                  <c:v>0.12352399999999999</c:v>
                </c:pt>
                <c:pt idx="1628" formatCode="General">
                  <c:v>0.12512300000000001</c:v>
                </c:pt>
                <c:pt idx="1629" formatCode="General">
                  <c:v>0.126744</c:v>
                </c:pt>
                <c:pt idx="1630" formatCode="General">
                  <c:v>0.128385</c:v>
                </c:pt>
                <c:pt idx="1631" formatCode="General">
                  <c:v>0.130048</c:v>
                </c:pt>
                <c:pt idx="1632" formatCode="General">
                  <c:v>0.13173199999999999</c:v>
                </c:pt>
                <c:pt idx="1633" formatCode="General">
                  <c:v>0.133438</c:v>
                </c:pt>
                <c:pt idx="1634" formatCode="General">
                  <c:v>0.13516600000000001</c:v>
                </c:pt>
                <c:pt idx="1635" formatCode="General">
                  <c:v>0.13691600000000001</c:v>
                </c:pt>
                <c:pt idx="1636" formatCode="General">
                  <c:v>0.13868900000000001</c:v>
                </c:pt>
                <c:pt idx="1637" formatCode="General">
                  <c:v>0.140485</c:v>
                </c:pt>
                <c:pt idx="1638" formatCode="General">
                  <c:v>0.14230499999999999</c:v>
                </c:pt>
                <c:pt idx="1639" formatCode="General">
                  <c:v>0.144147</c:v>
                </c:pt>
                <c:pt idx="1640" formatCode="General">
                  <c:v>0.146014</c:v>
                </c:pt>
                <c:pt idx="1641" formatCode="General">
                  <c:v>0.14790500000000001</c:v>
                </c:pt>
                <c:pt idx="1642" formatCode="General">
                  <c:v>0.14982000000000001</c:v>
                </c:pt>
                <c:pt idx="1643" formatCode="General">
                  <c:v>0.15176100000000001</c:v>
                </c:pt>
                <c:pt idx="1644" formatCode="General">
                  <c:v>0.153726</c:v>
                </c:pt>
                <c:pt idx="1645" formatCode="General">
                  <c:v>0.15571699999999999</c:v>
                </c:pt>
                <c:pt idx="1646" formatCode="General">
                  <c:v>0.15773300000000001</c:v>
                </c:pt>
                <c:pt idx="1647" formatCode="General">
                  <c:v>0.159776</c:v>
                </c:pt>
                <c:pt idx="1648" formatCode="General">
                  <c:v>0.16184499999999999</c:v>
                </c:pt>
                <c:pt idx="1649" formatCode="General">
                  <c:v>0.163941</c:v>
                </c:pt>
                <c:pt idx="1650" formatCode="General">
                  <c:v>0.16606399999999999</c:v>
                </c:pt>
                <c:pt idx="1651" formatCode="General">
                  <c:v>0.168214</c:v>
                </c:pt>
                <c:pt idx="1652" formatCode="General">
                  <c:v>0.17039299999999999</c:v>
                </c:pt>
                <c:pt idx="1653" formatCode="General">
                  <c:v>0.172599</c:v>
                </c:pt>
                <c:pt idx="1654" formatCode="General">
                  <c:v>0.17483499999999999</c:v>
                </c:pt>
                <c:pt idx="1655" formatCode="General">
                  <c:v>0.17709900000000001</c:v>
                </c:pt>
                <c:pt idx="1656" formatCode="General">
                  <c:v>0.179392</c:v>
                </c:pt>
                <c:pt idx="1657" formatCode="General">
                  <c:v>0.18171499999999999</c:v>
                </c:pt>
                <c:pt idx="1658" formatCode="General">
                  <c:v>0.18406900000000001</c:v>
                </c:pt>
                <c:pt idx="1659" formatCode="General">
                  <c:v>0.18645200000000001</c:v>
                </c:pt>
                <c:pt idx="1660" formatCode="General">
                  <c:v>0.18886700000000001</c:v>
                </c:pt>
                <c:pt idx="1661" formatCode="General">
                  <c:v>0.19131300000000001</c:v>
                </c:pt>
                <c:pt idx="1662" formatCode="General">
                  <c:v>0.19378999999999999</c:v>
                </c:pt>
                <c:pt idx="1663" formatCode="General">
                  <c:v>0.1963</c:v>
                </c:pt>
                <c:pt idx="1664" formatCode="General">
                  <c:v>0.19884199999999999</c:v>
                </c:pt>
                <c:pt idx="1665" formatCode="General">
                  <c:v>0.20141700000000001</c:v>
                </c:pt>
                <c:pt idx="1666" formatCode="General">
                  <c:v>0.20402500000000001</c:v>
                </c:pt>
                <c:pt idx="1667" formatCode="General">
                  <c:v>0.20666699999999999</c:v>
                </c:pt>
                <c:pt idx="1668" formatCode="General">
                  <c:v>0.209344</c:v>
                </c:pt>
                <c:pt idx="1669" formatCode="General">
                  <c:v>0.21205499999999999</c:v>
                </c:pt>
                <c:pt idx="1670" formatCode="General">
                  <c:v>0.21480099999999999</c:v>
                </c:pt>
                <c:pt idx="1671" formatCode="General">
                  <c:v>0.217583</c:v>
                </c:pt>
                <c:pt idx="1672" formatCode="General">
                  <c:v>0.22040000000000001</c:v>
                </c:pt>
                <c:pt idx="1673" formatCode="General">
                  <c:v>0.22325500000000001</c:v>
                </c:pt>
                <c:pt idx="1674" formatCode="General">
                  <c:v>0.22614600000000001</c:v>
                </c:pt>
                <c:pt idx="1675" formatCode="General">
                  <c:v>0.229074</c:v>
                </c:pt>
                <c:pt idx="1676" formatCode="General">
                  <c:v>0.232041</c:v>
                </c:pt>
                <c:pt idx="1677" formatCode="General">
                  <c:v>0.235046</c:v>
                </c:pt>
                <c:pt idx="1678" formatCode="General">
                  <c:v>0.23809</c:v>
                </c:pt>
                <c:pt idx="1679" formatCode="General">
                  <c:v>0.241173</c:v>
                </c:pt>
                <c:pt idx="1680" formatCode="General">
                  <c:v>0.24429600000000001</c:v>
                </c:pt>
                <c:pt idx="1681" formatCode="General">
                  <c:v>0.24746000000000001</c:v>
                </c:pt>
                <c:pt idx="1682" formatCode="General">
                  <c:v>0.250664</c:v>
                </c:pt>
                <c:pt idx="1683" formatCode="General">
                  <c:v>0.253911</c:v>
                </c:pt>
                <c:pt idx="1684" formatCode="General">
                  <c:v>0.25719900000000001</c:v>
                </c:pt>
                <c:pt idx="1685" formatCode="General">
                  <c:v>0.26052900000000001</c:v>
                </c:pt>
                <c:pt idx="1686" formatCode="General">
                  <c:v>0.263903</c:v>
                </c:pt>
                <c:pt idx="1687" formatCode="General">
                  <c:v>0.26732099999999998</c:v>
                </c:pt>
                <c:pt idx="1688" formatCode="General">
                  <c:v>0.270783</c:v>
                </c:pt>
                <c:pt idx="1689" formatCode="General">
                  <c:v>0.27428900000000001</c:v>
                </c:pt>
                <c:pt idx="1690" formatCode="General">
                  <c:v>0.277841</c:v>
                </c:pt>
                <c:pt idx="1691" formatCode="General">
                  <c:v>0.28144000000000002</c:v>
                </c:pt>
                <c:pt idx="1692" formatCode="General">
                  <c:v>0.285084</c:v>
                </c:pt>
                <c:pt idx="1693" formatCode="General">
                  <c:v>0.28877599999999998</c:v>
                </c:pt>
                <c:pt idx="1694" formatCode="General">
                  <c:v>0.292516</c:v>
                </c:pt>
                <c:pt idx="1695" formatCode="General">
                  <c:v>0.29630400000000001</c:v>
                </c:pt>
                <c:pt idx="1696" formatCode="General">
                  <c:v>0.30014099999999999</c:v>
                </c:pt>
                <c:pt idx="1697" formatCode="General">
                  <c:v>0.30402800000000002</c:v>
                </c:pt>
                <c:pt idx="1698" formatCode="General">
                  <c:v>0.30796499999999999</c:v>
                </c:pt>
                <c:pt idx="1699" formatCode="General">
                  <c:v>0.31195299999999998</c:v>
                </c:pt>
                <c:pt idx="1700" formatCode="General">
                  <c:v>0.31599300000000002</c:v>
                </c:pt>
                <c:pt idx="1701" formatCode="General">
                  <c:v>0.32008500000000001</c:v>
                </c:pt>
                <c:pt idx="1702" formatCode="General">
                  <c:v>0.32423000000000002</c:v>
                </c:pt>
                <c:pt idx="1703" formatCode="General">
                  <c:v>0.32842900000000003</c:v>
                </c:pt>
                <c:pt idx="1704" formatCode="General">
                  <c:v>0.33268199999999998</c:v>
                </c:pt>
                <c:pt idx="1705" formatCode="General">
                  <c:v>0.33699099999999999</c:v>
                </c:pt>
                <c:pt idx="1706" formatCode="General">
                  <c:v>0.34135500000000002</c:v>
                </c:pt>
                <c:pt idx="1707" formatCode="General">
                  <c:v>0.345775</c:v>
                </c:pt>
                <c:pt idx="1708" formatCode="General">
                  <c:v>0.35025299999999998</c:v>
                </c:pt>
                <c:pt idx="1709" formatCode="General">
                  <c:v>0.35478900000000002</c:v>
                </c:pt>
                <c:pt idx="1710" formatCode="General">
                  <c:v>0.35938300000000001</c:v>
                </c:pt>
                <c:pt idx="1711" formatCode="General">
                  <c:v>0.364037</c:v>
                </c:pt>
                <c:pt idx="1712" formatCode="General">
                  <c:v>0.36875200000000002</c:v>
                </c:pt>
                <c:pt idx="1713" formatCode="General">
                  <c:v>0.373527</c:v>
                </c:pt>
                <c:pt idx="1714" formatCode="General">
                  <c:v>0.37836399999999998</c:v>
                </c:pt>
                <c:pt idx="1715" formatCode="General">
                  <c:v>0.38326399999999999</c:v>
                </c:pt>
                <c:pt idx="1716" formatCode="General">
                  <c:v>0.38822800000000002</c:v>
                </c:pt>
                <c:pt idx="1717" formatCode="General">
                  <c:v>0.39325500000000002</c:v>
                </c:pt>
                <c:pt idx="1718" formatCode="General">
                  <c:v>0.39834799999999998</c:v>
                </c:pt>
                <c:pt idx="1719" formatCode="General">
                  <c:v>0.40350599999999998</c:v>
                </c:pt>
                <c:pt idx="1720" formatCode="General">
                  <c:v>0.40873199999999998</c:v>
                </c:pt>
                <c:pt idx="1721" formatCode="General">
                  <c:v>0.41402499999999998</c:v>
                </c:pt>
                <c:pt idx="1722" formatCode="General">
                  <c:v>0.41938700000000001</c:v>
                </c:pt>
                <c:pt idx="1723" formatCode="General">
                  <c:v>0.42481799999999997</c:v>
                </c:pt>
                <c:pt idx="1724" formatCode="General">
                  <c:v>0.43031900000000001</c:v>
                </c:pt>
                <c:pt idx="1725" formatCode="General">
                  <c:v>0.435892</c:v>
                </c:pt>
                <c:pt idx="1726" formatCode="General">
                  <c:v>0.44153700000000001</c:v>
                </c:pt>
                <c:pt idx="1727" formatCode="General">
                  <c:v>0.44725500000000001</c:v>
                </c:pt>
                <c:pt idx="1728" formatCode="General">
                  <c:v>0.45304699999999998</c:v>
                </c:pt>
                <c:pt idx="1729" formatCode="General">
                  <c:v>0.45891399999999999</c:v>
                </c:pt>
                <c:pt idx="1730" formatCode="General">
                  <c:v>0.46485700000000002</c:v>
                </c:pt>
                <c:pt idx="1731" formatCode="General">
                  <c:v>0.47087600000000002</c:v>
                </c:pt>
                <c:pt idx="1732" formatCode="General">
                  <c:v>0.47697400000000001</c:v>
                </c:pt>
                <c:pt idx="1733" formatCode="General">
                  <c:v>0.483151</c:v>
                </c:pt>
                <c:pt idx="1734" formatCode="General">
                  <c:v>0.48940800000000001</c:v>
                </c:pt>
                <c:pt idx="1735" formatCode="General">
                  <c:v>0.49574600000000002</c:v>
                </c:pt>
                <c:pt idx="1736" formatCode="General">
                  <c:v>0.502166</c:v>
                </c:pt>
                <c:pt idx="1737" formatCode="General">
                  <c:v>0.50866900000000004</c:v>
                </c:pt>
                <c:pt idx="1738" formatCode="General">
                  <c:v>0.51525600000000005</c:v>
                </c:pt>
                <c:pt idx="1739" formatCode="General">
                  <c:v>0.52192899999999998</c:v>
                </c:pt>
                <c:pt idx="1740" formatCode="General">
                  <c:v>0.52868800000000005</c:v>
                </c:pt>
                <c:pt idx="1741" formatCode="General">
                  <c:v>0.53553399999999995</c:v>
                </c:pt>
                <c:pt idx="1742" formatCode="General">
                  <c:v>0.54247000000000001</c:v>
                </c:pt>
                <c:pt idx="1743" formatCode="General">
                  <c:v>0.54949499999999996</c:v>
                </c:pt>
                <c:pt idx="1744" formatCode="General">
                  <c:v>0.55661099999999997</c:v>
                </c:pt>
                <c:pt idx="1745" formatCode="General">
                  <c:v>0.56381899999999996</c:v>
                </c:pt>
                <c:pt idx="1746" formatCode="General">
                  <c:v>0.57111999999999996</c:v>
                </c:pt>
                <c:pt idx="1747" formatCode="General">
                  <c:v>0.57851600000000003</c:v>
                </c:pt>
                <c:pt idx="1748" formatCode="General">
                  <c:v>0.58600799999999997</c:v>
                </c:pt>
                <c:pt idx="1749" formatCode="General">
                  <c:v>0.59359700000000004</c:v>
                </c:pt>
                <c:pt idx="1750" formatCode="General">
                  <c:v>0.60128400000000004</c:v>
                </c:pt>
                <c:pt idx="1751" formatCode="General">
                  <c:v>0.60907100000000003</c:v>
                </c:pt>
                <c:pt idx="1752" formatCode="General">
                  <c:v>0.61695800000000001</c:v>
                </c:pt>
                <c:pt idx="1753" formatCode="General">
                  <c:v>0.62494799999999995</c:v>
                </c:pt>
                <c:pt idx="1754" formatCode="General">
                  <c:v>0.63304099999999996</c:v>
                </c:pt>
                <c:pt idx="1755" formatCode="General">
                  <c:v>0.641239</c:v>
                </c:pt>
                <c:pt idx="1756" formatCode="General">
                  <c:v>0.64954299999999998</c:v>
                </c:pt>
                <c:pt idx="1757" formatCode="General">
                  <c:v>0.65795499999999996</c:v>
                </c:pt>
                <c:pt idx="1758" formatCode="General">
                  <c:v>0.66647599999999996</c:v>
                </c:pt>
                <c:pt idx="1759" formatCode="General">
                  <c:v>0.67510599999999998</c:v>
                </c:pt>
                <c:pt idx="1760" formatCode="General">
                  <c:v>0.68384900000000004</c:v>
                </c:pt>
                <c:pt idx="1761" formatCode="General">
                  <c:v>0.69270500000000002</c:v>
                </c:pt>
                <c:pt idx="1762" formatCode="General">
                  <c:v>0.70167599999999997</c:v>
                </c:pt>
                <c:pt idx="1763" formatCode="General">
                  <c:v>0.710762</c:v>
                </c:pt>
                <c:pt idx="1764" formatCode="General">
                  <c:v>0.71996700000000002</c:v>
                </c:pt>
                <c:pt idx="1765" formatCode="General">
                  <c:v>0.72928999999999999</c:v>
                </c:pt>
                <c:pt idx="1766" formatCode="General">
                  <c:v>0.73873500000000003</c:v>
                </c:pt>
                <c:pt idx="1767" formatCode="General">
                  <c:v>0.74830200000000002</c:v>
                </c:pt>
                <c:pt idx="1768" formatCode="General">
                  <c:v>0.757992</c:v>
                </c:pt>
                <c:pt idx="1769" formatCode="General">
                  <c:v>0.76780800000000005</c:v>
                </c:pt>
                <c:pt idx="1770" formatCode="General">
                  <c:v>0.77775099999999997</c:v>
                </c:pt>
                <c:pt idx="1771" formatCode="General">
                  <c:v>0.78782300000000005</c:v>
                </c:pt>
                <c:pt idx="1772" formatCode="General">
                  <c:v>0.79802600000000001</c:v>
                </c:pt>
                <c:pt idx="1773" formatCode="General">
                  <c:v>0.80835999999999997</c:v>
                </c:pt>
                <c:pt idx="1774" formatCode="General">
                  <c:v>0.818828</c:v>
                </c:pt>
                <c:pt idx="1775" formatCode="General">
                  <c:v>0.82943199999999995</c:v>
                </c:pt>
                <c:pt idx="1776" formatCode="General">
                  <c:v>0.84017399999999998</c:v>
                </c:pt>
                <c:pt idx="1777" formatCode="General">
                  <c:v>0.85105399999999998</c:v>
                </c:pt>
                <c:pt idx="1778" formatCode="General">
                  <c:v>0.86207500000000004</c:v>
                </c:pt>
                <c:pt idx="1779" formatCode="General">
                  <c:v>0.87323899999999999</c:v>
                </c:pt>
                <c:pt idx="1780" formatCode="General">
                  <c:v>0.884548</c:v>
                </c:pt>
                <c:pt idx="1781" formatCode="General">
                  <c:v>0.89600299999999999</c:v>
                </c:pt>
                <c:pt idx="1782" formatCode="General">
                  <c:v>0.90760600000000002</c:v>
                </c:pt>
                <c:pt idx="1783" formatCode="General">
                  <c:v>0.91935900000000004</c:v>
                </c:pt>
                <c:pt idx="1784" formatCode="General">
                  <c:v>0.93126500000000001</c:v>
                </c:pt>
                <c:pt idx="1785" formatCode="General">
                  <c:v>0.94332499999999997</c:v>
                </c:pt>
                <c:pt idx="1786" formatCode="General">
                  <c:v>0.95554099999999997</c:v>
                </c:pt>
                <c:pt idx="1787" formatCode="General">
                  <c:v>0.967916</c:v>
                </c:pt>
                <c:pt idx="1788" formatCode="General">
                  <c:v>0.98045000000000004</c:v>
                </c:pt>
                <c:pt idx="1789" formatCode="General">
                  <c:v>0.993147</c:v>
                </c:pt>
                <c:pt idx="1790" formatCode="General">
                  <c:v>1.0060100000000001</c:v>
                </c:pt>
                <c:pt idx="1791" formatCode="General">
                  <c:v>1.0190399999999999</c:v>
                </c:pt>
                <c:pt idx="1792" formatCode="General">
                  <c:v>1.03223</c:v>
                </c:pt>
                <c:pt idx="1793" formatCode="General">
                  <c:v>1.0456000000000001</c:v>
                </c:pt>
                <c:pt idx="1794" formatCode="General">
                  <c:v>1.05914</c:v>
                </c:pt>
                <c:pt idx="1795" formatCode="General">
                  <c:v>1.0728599999999999</c:v>
                </c:pt>
                <c:pt idx="1796" formatCode="General">
                  <c:v>1.0867500000000001</c:v>
                </c:pt>
                <c:pt idx="1797" formatCode="General">
                  <c:v>1.1008199999999999</c:v>
                </c:pt>
                <c:pt idx="1798" formatCode="General">
                  <c:v>1.1150800000000001</c:v>
                </c:pt>
                <c:pt idx="1799" formatCode="General">
                  <c:v>1.1295200000000001</c:v>
                </c:pt>
                <c:pt idx="1800" formatCode="General">
                  <c:v>1.14415</c:v>
                </c:pt>
                <c:pt idx="1801" formatCode="General">
                  <c:v>1.15896</c:v>
                </c:pt>
                <c:pt idx="1802" formatCode="General">
                  <c:v>1.17397</c:v>
                </c:pt>
                <c:pt idx="1803" formatCode="General">
                  <c:v>1.1891799999999999</c:v>
                </c:pt>
                <c:pt idx="1804" formatCode="General">
                  <c:v>1.20458</c:v>
                </c:pt>
                <c:pt idx="1805" formatCode="General">
                  <c:v>1.22018</c:v>
                </c:pt>
                <c:pt idx="1806" formatCode="General">
                  <c:v>1.2359800000000001</c:v>
                </c:pt>
                <c:pt idx="1807" formatCode="General">
                  <c:v>1.2519800000000001</c:v>
                </c:pt>
                <c:pt idx="1808" formatCode="General">
                  <c:v>1.2682</c:v>
                </c:pt>
                <c:pt idx="1809" formatCode="General">
                  <c:v>1.2846200000000001</c:v>
                </c:pt>
                <c:pt idx="1810" formatCode="General">
                  <c:v>1.3012600000000001</c:v>
                </c:pt>
                <c:pt idx="1811" formatCode="General">
                  <c:v>1.3181099999999999</c:v>
                </c:pt>
                <c:pt idx="1812" formatCode="General">
                  <c:v>1.33518</c:v>
                </c:pt>
                <c:pt idx="1813" formatCode="General">
                  <c:v>1.3524700000000001</c:v>
                </c:pt>
                <c:pt idx="1814" formatCode="General">
                  <c:v>1.36998</c:v>
                </c:pt>
                <c:pt idx="1815" formatCode="General">
                  <c:v>1.3877200000000001</c:v>
                </c:pt>
                <c:pt idx="1816" formatCode="General">
                  <c:v>1.4056900000000001</c:v>
                </c:pt>
                <c:pt idx="1817" formatCode="General">
                  <c:v>1.4238999999999999</c:v>
                </c:pt>
                <c:pt idx="1818" formatCode="General">
                  <c:v>1.44234</c:v>
                </c:pt>
                <c:pt idx="1819" formatCode="General">
                  <c:v>1.46102</c:v>
                </c:pt>
                <c:pt idx="1820" formatCode="General">
                  <c:v>1.47994</c:v>
                </c:pt>
                <c:pt idx="1821" formatCode="General">
                  <c:v>1.4991000000000001</c:v>
                </c:pt>
                <c:pt idx="1822" formatCode="General">
                  <c:v>1.5185200000000001</c:v>
                </c:pt>
                <c:pt idx="1823" formatCode="General">
                  <c:v>1.5381800000000001</c:v>
                </c:pt>
                <c:pt idx="1824" formatCode="General">
                  <c:v>1.5581</c:v>
                </c:pt>
                <c:pt idx="1825" formatCode="General">
                  <c:v>1.5782799999999999</c:v>
                </c:pt>
                <c:pt idx="1826" formatCode="General">
                  <c:v>1.5987199999999999</c:v>
                </c:pt>
                <c:pt idx="1827" formatCode="General">
                  <c:v>1.6194200000000001</c:v>
                </c:pt>
                <c:pt idx="1828" formatCode="General">
                  <c:v>1.64039</c:v>
                </c:pt>
                <c:pt idx="1829" formatCode="General">
                  <c:v>1.6616299999999999</c:v>
                </c:pt>
                <c:pt idx="1830" formatCode="General">
                  <c:v>1.6831499999999999</c:v>
                </c:pt>
                <c:pt idx="1831" formatCode="General">
                  <c:v>1.70495</c:v>
                </c:pt>
                <c:pt idx="1832" formatCode="General">
                  <c:v>1.7270300000000001</c:v>
                </c:pt>
                <c:pt idx="1833" formatCode="General">
                  <c:v>1.74939</c:v>
                </c:pt>
                <c:pt idx="1834" formatCode="General">
                  <c:v>1.7720499999999999</c:v>
                </c:pt>
                <c:pt idx="1835" formatCode="General">
                  <c:v>1.7949999999999999</c:v>
                </c:pt>
                <c:pt idx="1836" formatCode="General">
                  <c:v>1.8182400000000001</c:v>
                </c:pt>
                <c:pt idx="1837" formatCode="General">
                  <c:v>1.84179</c:v>
                </c:pt>
                <c:pt idx="1838" formatCode="General">
                  <c:v>1.86564</c:v>
                </c:pt>
                <c:pt idx="1839" formatCode="General">
                  <c:v>1.8897999999999999</c:v>
                </c:pt>
                <c:pt idx="1840" formatCode="General">
                  <c:v>1.9142699999999999</c:v>
                </c:pt>
                <c:pt idx="1841" formatCode="General">
                  <c:v>1.93906</c:v>
                </c:pt>
                <c:pt idx="1842" formatCode="General">
                  <c:v>1.96417</c:v>
                </c:pt>
                <c:pt idx="1843" formatCode="General">
                  <c:v>1.9896100000000001</c:v>
                </c:pt>
                <c:pt idx="1844" formatCode="General">
                  <c:v>2.0153799999999999</c:v>
                </c:pt>
                <c:pt idx="1845" formatCode="General">
                  <c:v>2.04148</c:v>
                </c:pt>
                <c:pt idx="1846" formatCode="General">
                  <c:v>2.0679099999999999</c:v>
                </c:pt>
                <c:pt idx="1847" formatCode="General">
                  <c:v>2.0946899999999999</c:v>
                </c:pt>
                <c:pt idx="1848" formatCode="General">
                  <c:v>2.12182</c:v>
                </c:pt>
                <c:pt idx="1849" formatCode="General">
                  <c:v>2.1493000000000002</c:v>
                </c:pt>
                <c:pt idx="1850" formatCode="General">
                  <c:v>2.17713</c:v>
                </c:pt>
                <c:pt idx="1851" formatCode="General">
                  <c:v>2.2053199999999999</c:v>
                </c:pt>
                <c:pt idx="1852" formatCode="General">
                  <c:v>2.2338800000000001</c:v>
                </c:pt>
                <c:pt idx="1853" formatCode="General">
                  <c:v>2.26281</c:v>
                </c:pt>
                <c:pt idx="1854" formatCode="General">
                  <c:v>2.2921200000000002</c:v>
                </c:pt>
                <c:pt idx="1855" formatCode="General">
                  <c:v>2.3218000000000001</c:v>
                </c:pt>
                <c:pt idx="1856" formatCode="General">
                  <c:v>2.3518699999999999</c:v>
                </c:pt>
                <c:pt idx="1857" formatCode="General">
                  <c:v>2.38232</c:v>
                </c:pt>
                <c:pt idx="1858" formatCode="General">
                  <c:v>2.41317</c:v>
                </c:pt>
                <c:pt idx="1859" formatCode="General">
                  <c:v>2.4444300000000001</c:v>
                </c:pt>
                <c:pt idx="1860" formatCode="General">
                  <c:v>2.4760800000000001</c:v>
                </c:pt>
                <c:pt idx="1861" formatCode="General">
                  <c:v>2.5081500000000001</c:v>
                </c:pt>
                <c:pt idx="1862" formatCode="General">
                  <c:v>2.5406300000000002</c:v>
                </c:pt>
                <c:pt idx="1863" formatCode="General">
                  <c:v>2.5735299999999999</c:v>
                </c:pt>
                <c:pt idx="1864" formatCode="General">
                  <c:v>2.6068600000000002</c:v>
                </c:pt>
                <c:pt idx="1865" formatCode="General">
                  <c:v>2.6406200000000002</c:v>
                </c:pt>
                <c:pt idx="1866" formatCode="General">
                  <c:v>2.6748099999999999</c:v>
                </c:pt>
                <c:pt idx="1867" formatCode="General">
                  <c:v>2.7094499999999999</c:v>
                </c:pt>
                <c:pt idx="1868" formatCode="General">
                  <c:v>2.7445400000000002</c:v>
                </c:pt>
                <c:pt idx="1869" formatCode="General">
                  <c:v>2.7800799999999999</c:v>
                </c:pt>
                <c:pt idx="1870" formatCode="General">
                  <c:v>2.8160799999999999</c:v>
                </c:pt>
                <c:pt idx="1871" formatCode="General">
                  <c:v>2.8525499999999999</c:v>
                </c:pt>
                <c:pt idx="1872" formatCode="General">
                  <c:v>2.8894899999999999</c:v>
                </c:pt>
                <c:pt idx="1873" formatCode="General">
                  <c:v>2.9269099999999999</c:v>
                </c:pt>
                <c:pt idx="1874" formatCode="General">
                  <c:v>2.9648099999999999</c:v>
                </c:pt>
                <c:pt idx="1875" formatCode="General">
                  <c:v>3.0032100000000002</c:v>
                </c:pt>
                <c:pt idx="1876" formatCode="General">
                  <c:v>3.0421</c:v>
                </c:pt>
                <c:pt idx="1877" formatCode="General">
                  <c:v>3.0815000000000001</c:v>
                </c:pt>
                <c:pt idx="1878" formatCode="General">
                  <c:v>3.1214</c:v>
                </c:pt>
                <c:pt idx="1879" formatCode="General">
                  <c:v>3.1618200000000001</c:v>
                </c:pt>
                <c:pt idx="1880" formatCode="General">
                  <c:v>3.2027700000000001</c:v>
                </c:pt>
                <c:pt idx="1881" formatCode="General">
                  <c:v>3.2442500000000001</c:v>
                </c:pt>
                <c:pt idx="1882" formatCode="General">
                  <c:v>3.28626</c:v>
                </c:pt>
                <c:pt idx="1883" formatCode="General">
                  <c:v>3.3288199999999999</c:v>
                </c:pt>
                <c:pt idx="1884" formatCode="General">
                  <c:v>3.3719299999999999</c:v>
                </c:pt>
                <c:pt idx="1885" formatCode="General">
                  <c:v>3.4155899999999999</c:v>
                </c:pt>
                <c:pt idx="1886" formatCode="General">
                  <c:v>3.4598200000000001</c:v>
                </c:pt>
                <c:pt idx="1887" formatCode="General">
                  <c:v>3.5046300000000001</c:v>
                </c:pt>
                <c:pt idx="1888" formatCode="General">
                  <c:v>3.5500099999999999</c:v>
                </c:pt>
                <c:pt idx="1889" formatCode="General">
                  <c:v>3.59599</c:v>
                </c:pt>
                <c:pt idx="1890" formatCode="General">
                  <c:v>3.64256</c:v>
                </c:pt>
                <c:pt idx="1891" formatCode="General">
                  <c:v>3.68973</c:v>
                </c:pt>
                <c:pt idx="1892" formatCode="General">
                  <c:v>3.7375099999999999</c:v>
                </c:pt>
                <c:pt idx="1893" formatCode="General">
                  <c:v>3.7859099999999999</c:v>
                </c:pt>
                <c:pt idx="1894" formatCode="General">
                  <c:v>3.83494</c:v>
                </c:pt>
                <c:pt idx="1895" formatCode="General">
                  <c:v>3.8845999999999998</c:v>
                </c:pt>
                <c:pt idx="1896" formatCode="General">
                  <c:v>3.9349099999999999</c:v>
                </c:pt>
                <c:pt idx="1897" formatCode="General">
                  <c:v>3.9858600000000002</c:v>
                </c:pt>
                <c:pt idx="1898" formatCode="General">
                  <c:v>4.0374800000000004</c:v>
                </c:pt>
                <c:pt idx="1899" formatCode="General">
                  <c:v>4.0897699999999997</c:v>
                </c:pt>
                <c:pt idx="1900" formatCode="General">
                  <c:v>4.1427300000000002</c:v>
                </c:pt>
                <c:pt idx="1901" formatCode="General">
                  <c:v>4.1963800000000004</c:v>
                </c:pt>
                <c:pt idx="1902" formatCode="General">
                  <c:v>4.2507200000000003</c:v>
                </c:pt>
                <c:pt idx="1903" formatCode="General">
                  <c:v>4.3057699999999999</c:v>
                </c:pt>
                <c:pt idx="1904" formatCode="General">
                  <c:v>4.3615300000000001</c:v>
                </c:pt>
                <c:pt idx="1905" formatCode="General">
                  <c:v>4.4180099999999998</c:v>
                </c:pt>
                <c:pt idx="1906" formatCode="General">
                  <c:v>4.4752299999999998</c:v>
                </c:pt>
                <c:pt idx="1907" formatCode="General">
                  <c:v>4.5331799999999998</c:v>
                </c:pt>
                <c:pt idx="1908" formatCode="General">
                  <c:v>4.5918900000000002</c:v>
                </c:pt>
                <c:pt idx="1909" formatCode="General">
                  <c:v>4.6513499999999999</c:v>
                </c:pt>
                <c:pt idx="1910" formatCode="General">
                  <c:v>4.7115900000000002</c:v>
                </c:pt>
                <c:pt idx="1911" formatCode="General">
                  <c:v>4.7725999999999997</c:v>
                </c:pt>
                <c:pt idx="1912" formatCode="General">
                  <c:v>4.8344100000000001</c:v>
                </c:pt>
                <c:pt idx="1913" formatCode="General">
                  <c:v>4.8970099999999999</c:v>
                </c:pt>
                <c:pt idx="1914" formatCode="General">
                  <c:v>4.9604299999999997</c:v>
                </c:pt>
                <c:pt idx="1915" formatCode="General">
                  <c:v>5.0246700000000004</c:v>
                </c:pt>
                <c:pt idx="1916" formatCode="General">
                  <c:v>5.0897399999999999</c:v>
                </c:pt>
                <c:pt idx="1917" formatCode="General">
                  <c:v>5.1556499999999996</c:v>
                </c:pt>
                <c:pt idx="1918" formatCode="General">
                  <c:v>5.2224199999999996</c:v>
                </c:pt>
                <c:pt idx="1919" formatCode="General">
                  <c:v>5.2900499999999999</c:v>
                </c:pt>
                <c:pt idx="1920" formatCode="General">
                  <c:v>5.3585500000000001</c:v>
                </c:pt>
                <c:pt idx="1921" formatCode="General">
                  <c:v>5.4279500000000001</c:v>
                </c:pt>
                <c:pt idx="1922" formatCode="General">
                  <c:v>5.49824</c:v>
                </c:pt>
                <c:pt idx="1923" formatCode="General">
                  <c:v>5.5694400000000002</c:v>
                </c:pt>
                <c:pt idx="1924" formatCode="General">
                  <c:v>5.6415699999999998</c:v>
                </c:pt>
                <c:pt idx="1925" formatCode="General">
                  <c:v>5.7146299999999997</c:v>
                </c:pt>
                <c:pt idx="1926" formatCode="General">
                  <c:v>5.7886300000000004</c:v>
                </c:pt>
                <c:pt idx="1927" formatCode="General">
                  <c:v>5.8635900000000003</c:v>
                </c:pt>
                <c:pt idx="1928" formatCode="General">
                  <c:v>5.9395300000000004</c:v>
                </c:pt>
                <c:pt idx="1929" formatCode="General">
                  <c:v>6.0164499999999999</c:v>
                </c:pt>
                <c:pt idx="1930" formatCode="General">
                  <c:v>6.09436</c:v>
                </c:pt>
                <c:pt idx="1931" formatCode="General">
                  <c:v>6.1732800000000001</c:v>
                </c:pt>
                <c:pt idx="1932" formatCode="General">
                  <c:v>6.2532300000000003</c:v>
                </c:pt>
                <c:pt idx="1933" formatCode="General">
                  <c:v>6.3342099999999997</c:v>
                </c:pt>
                <c:pt idx="1934" formatCode="General">
                  <c:v>6.4162299999999997</c:v>
                </c:pt>
                <c:pt idx="1935" formatCode="General">
                  <c:v>6.4993299999999996</c:v>
                </c:pt>
                <c:pt idx="1936" formatCode="General">
                  <c:v>6.5834900000000003</c:v>
                </c:pt>
                <c:pt idx="1937" formatCode="General">
                  <c:v>6.6687500000000002</c:v>
                </c:pt>
                <c:pt idx="1938" formatCode="General">
                  <c:v>6.7551100000000002</c:v>
                </c:pt>
                <c:pt idx="1939" formatCode="General">
                  <c:v>6.8425900000000004</c:v>
                </c:pt>
                <c:pt idx="1940" formatCode="General">
                  <c:v>6.9311999999999996</c:v>
                </c:pt>
                <c:pt idx="1941" formatCode="General">
                  <c:v>7.0209599999999996</c:v>
                </c:pt>
                <c:pt idx="1942" formatCode="General">
                  <c:v>7.1118800000000002</c:v>
                </c:pt>
                <c:pt idx="1943" formatCode="General">
                  <c:v>7.2039799999999996</c:v>
                </c:pt>
                <c:pt idx="1944" formatCode="General">
                  <c:v>7.2972700000000001</c:v>
                </c:pt>
                <c:pt idx="1945" formatCode="General">
                  <c:v>7.3917799999999998</c:v>
                </c:pt>
                <c:pt idx="1946" formatCode="General">
                  <c:v>7.4874999999999998</c:v>
                </c:pt>
                <c:pt idx="1947" formatCode="General">
                  <c:v>7.58446</c:v>
                </c:pt>
                <c:pt idx="1948" formatCode="General">
                  <c:v>7.6826800000000004</c:v>
                </c:pt>
                <c:pt idx="1949" formatCode="General">
                  <c:v>7.7821699999999998</c:v>
                </c:pt>
                <c:pt idx="1950" formatCode="General">
                  <c:v>7.8829500000000001</c:v>
                </c:pt>
                <c:pt idx="1951" formatCode="General">
                  <c:v>7.9850399999999997</c:v>
                </c:pt>
                <c:pt idx="1952" formatCode="General">
                  <c:v>8.0884499999999999</c:v>
                </c:pt>
                <c:pt idx="1953" formatCode="General">
                  <c:v>8.1931899999999995</c:v>
                </c:pt>
                <c:pt idx="1954" formatCode="General">
                  <c:v>8.2992899999999992</c:v>
                </c:pt>
                <c:pt idx="1955" formatCode="General">
                  <c:v>8.4067699999999999</c:v>
                </c:pt>
                <c:pt idx="1956" formatCode="General">
                  <c:v>8.5156399999999994</c:v>
                </c:pt>
                <c:pt idx="1957" formatCode="General">
                  <c:v>8.6259200000000007</c:v>
                </c:pt>
                <c:pt idx="1958" formatCode="General">
                  <c:v>8.7376199999999997</c:v>
                </c:pt>
                <c:pt idx="1959" formatCode="General">
                  <c:v>8.8507800000000003</c:v>
                </c:pt>
                <c:pt idx="1960" formatCode="General">
                  <c:v>8.9654000000000007</c:v>
                </c:pt>
                <c:pt idx="1961" formatCode="General">
                  <c:v>9.0815000000000001</c:v>
                </c:pt>
                <c:pt idx="1962" formatCode="General">
                  <c:v>9.1990999999999996</c:v>
                </c:pt>
                <c:pt idx="1963" formatCode="General">
                  <c:v>9.3182299999999998</c:v>
                </c:pt>
                <c:pt idx="1964" formatCode="General">
                  <c:v>9.4389099999999999</c:v>
                </c:pt>
                <c:pt idx="1965" formatCode="General">
                  <c:v>9.56114</c:v>
                </c:pt>
                <c:pt idx="1966" formatCode="General">
                  <c:v>9.6849600000000002</c:v>
                </c:pt>
                <c:pt idx="1967" formatCode="General">
                  <c:v>9.8103800000000003</c:v>
                </c:pt>
                <c:pt idx="1968" formatCode="General">
                  <c:v>9.9374199999999995</c:v>
                </c:pt>
                <c:pt idx="1969" formatCode="General">
                  <c:v>10.0661</c:v>
                </c:pt>
                <c:pt idx="1970" formatCode="General">
                  <c:v>10.1965</c:v>
                </c:pt>
                <c:pt idx="1971" formatCode="General">
                  <c:v>10.3285</c:v>
                </c:pt>
                <c:pt idx="1972" formatCode="General">
                  <c:v>10.462300000000001</c:v>
                </c:pt>
                <c:pt idx="1973" formatCode="General">
                  <c:v>10.597799999999999</c:v>
                </c:pt>
                <c:pt idx="1974" formatCode="General">
                  <c:v>10.734999999999999</c:v>
                </c:pt>
                <c:pt idx="1975" formatCode="General">
                  <c:v>10.874000000000001</c:v>
                </c:pt>
                <c:pt idx="1976" formatCode="General">
                  <c:v>11.014799999999999</c:v>
                </c:pt>
                <c:pt idx="1977" formatCode="General">
                  <c:v>11.157500000000001</c:v>
                </c:pt>
                <c:pt idx="1978" formatCode="General">
                  <c:v>11.302</c:v>
                </c:pt>
                <c:pt idx="1979" formatCode="General">
                  <c:v>11.4483</c:v>
                </c:pt>
                <c:pt idx="1980" formatCode="General">
                  <c:v>11.5966</c:v>
                </c:pt>
                <c:pt idx="1981" formatCode="General">
                  <c:v>11.7468</c:v>
                </c:pt>
                <c:pt idx="1982" formatCode="General">
                  <c:v>11.898899999999999</c:v>
                </c:pt>
                <c:pt idx="1983" formatCode="General">
                  <c:v>12.053000000000001</c:v>
                </c:pt>
                <c:pt idx="1984" formatCode="General">
                  <c:v>12.209099999999999</c:v>
                </c:pt>
                <c:pt idx="1985" formatCode="General">
                  <c:v>12.3672</c:v>
                </c:pt>
                <c:pt idx="1986" formatCode="General">
                  <c:v>12.5273</c:v>
                </c:pt>
                <c:pt idx="1987" formatCode="General">
                  <c:v>12.6896</c:v>
                </c:pt>
                <c:pt idx="1988" formatCode="General">
                  <c:v>12.853899999999999</c:v>
                </c:pt>
                <c:pt idx="1989" formatCode="General">
                  <c:v>13.0204</c:v>
                </c:pt>
                <c:pt idx="1990" formatCode="General">
                  <c:v>13.189</c:v>
                </c:pt>
                <c:pt idx="1991" formatCode="General">
                  <c:v>13.3598</c:v>
                </c:pt>
                <c:pt idx="1992" formatCode="General">
                  <c:v>13.5328</c:v>
                </c:pt>
                <c:pt idx="1993" formatCode="General">
                  <c:v>13.708</c:v>
                </c:pt>
                <c:pt idx="1994" formatCode="General">
                  <c:v>13.8855</c:v>
                </c:pt>
                <c:pt idx="1995" formatCode="General">
                  <c:v>14.0654</c:v>
                </c:pt>
                <c:pt idx="1996" formatCode="General">
                  <c:v>14.2475</c:v>
                </c:pt>
                <c:pt idx="1997" formatCode="General">
                  <c:v>14.432</c:v>
                </c:pt>
                <c:pt idx="1998" formatCode="General">
                  <c:v>14.6189</c:v>
                </c:pt>
                <c:pt idx="1999" formatCode="General">
                  <c:v>14.808199999999999</c:v>
                </c:pt>
              </c:numCache>
            </c:numRef>
          </c:xVal>
          <c:yVal>
            <c:numRef>
              <c:f>'NE270 Homework '!$CN$9:$CN$2008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77.7190049842268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77.7190049842268</c:v>
                </c:pt>
                <c:pt idx="233">
                  <c:v>77.7190049842268</c:v>
                </c:pt>
                <c:pt idx="234">
                  <c:v>77.7190049842268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77.7190049842268</c:v>
                </c:pt>
                <c:pt idx="239">
                  <c:v>0</c:v>
                </c:pt>
                <c:pt idx="240">
                  <c:v>75.99830621387602</c:v>
                </c:pt>
                <c:pt idx="241">
                  <c:v>73.67528515489748</c:v>
                </c:pt>
                <c:pt idx="242">
                  <c:v>0</c:v>
                </c:pt>
                <c:pt idx="243">
                  <c:v>77.7190049842268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77.7190049842268</c:v>
                </c:pt>
                <c:pt idx="259">
                  <c:v>77.7190049842268</c:v>
                </c:pt>
                <c:pt idx="260">
                  <c:v>0</c:v>
                </c:pt>
                <c:pt idx="261">
                  <c:v>0</c:v>
                </c:pt>
                <c:pt idx="262">
                  <c:v>77.7190049842268</c:v>
                </c:pt>
                <c:pt idx="263">
                  <c:v>0</c:v>
                </c:pt>
                <c:pt idx="264">
                  <c:v>77.7190049842268</c:v>
                </c:pt>
                <c:pt idx="265">
                  <c:v>77.7190049842268</c:v>
                </c:pt>
                <c:pt idx="266">
                  <c:v>77.7190049842268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77.7190049842268</c:v>
                </c:pt>
                <c:pt idx="272">
                  <c:v>0</c:v>
                </c:pt>
                <c:pt idx="273">
                  <c:v>0</c:v>
                </c:pt>
                <c:pt idx="274">
                  <c:v>77.7190049842268</c:v>
                </c:pt>
                <c:pt idx="275">
                  <c:v>0</c:v>
                </c:pt>
                <c:pt idx="276">
                  <c:v>54.677651576553082</c:v>
                </c:pt>
                <c:pt idx="277">
                  <c:v>74.403512231599692</c:v>
                </c:pt>
                <c:pt idx="278">
                  <c:v>77.7190049842268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77.7190049842268</c:v>
                </c:pt>
                <c:pt idx="294">
                  <c:v>77.464863837928377</c:v>
                </c:pt>
                <c:pt idx="295">
                  <c:v>77.397248303592107</c:v>
                </c:pt>
                <c:pt idx="296">
                  <c:v>59.086650729308275</c:v>
                </c:pt>
                <c:pt idx="297">
                  <c:v>43.720049063826949</c:v>
                </c:pt>
                <c:pt idx="298">
                  <c:v>77.7190049842268</c:v>
                </c:pt>
                <c:pt idx="299">
                  <c:v>74.286933724123344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77.7190049842268</c:v>
                </c:pt>
                <c:pt idx="304">
                  <c:v>77.7190049842268</c:v>
                </c:pt>
                <c:pt idx="305">
                  <c:v>64.309367864248316</c:v>
                </c:pt>
                <c:pt idx="306">
                  <c:v>55.698102111995979</c:v>
                </c:pt>
                <c:pt idx="307">
                  <c:v>77.7190049842268</c:v>
                </c:pt>
                <c:pt idx="308">
                  <c:v>67.276679474546086</c:v>
                </c:pt>
                <c:pt idx="309">
                  <c:v>69.537525329537246</c:v>
                </c:pt>
                <c:pt idx="310">
                  <c:v>77.7190049842268</c:v>
                </c:pt>
                <c:pt idx="311">
                  <c:v>61.21848303602561</c:v>
                </c:pt>
                <c:pt idx="312">
                  <c:v>77.7190049842268</c:v>
                </c:pt>
                <c:pt idx="313">
                  <c:v>77.7190049842268</c:v>
                </c:pt>
                <c:pt idx="314">
                  <c:v>0</c:v>
                </c:pt>
                <c:pt idx="315">
                  <c:v>53.147364368413655</c:v>
                </c:pt>
                <c:pt idx="316">
                  <c:v>77.7190049842268</c:v>
                </c:pt>
                <c:pt idx="317">
                  <c:v>54.724282979543624</c:v>
                </c:pt>
                <c:pt idx="318">
                  <c:v>73.399382687203484</c:v>
                </c:pt>
                <c:pt idx="319">
                  <c:v>77.7190049842268</c:v>
                </c:pt>
                <c:pt idx="320">
                  <c:v>61.503711784317723</c:v>
                </c:pt>
                <c:pt idx="321">
                  <c:v>56.141100440406078</c:v>
                </c:pt>
                <c:pt idx="322">
                  <c:v>77.7190049842268</c:v>
                </c:pt>
                <c:pt idx="323">
                  <c:v>43.616682787197924</c:v>
                </c:pt>
                <c:pt idx="324">
                  <c:v>54.714179508895668</c:v>
                </c:pt>
                <c:pt idx="325">
                  <c:v>57.652735087349285</c:v>
                </c:pt>
                <c:pt idx="326">
                  <c:v>50.550772411890634</c:v>
                </c:pt>
                <c:pt idx="327">
                  <c:v>37.155124712809311</c:v>
                </c:pt>
                <c:pt idx="328">
                  <c:v>45.257330982414949</c:v>
                </c:pt>
                <c:pt idx="329">
                  <c:v>62.294891255057152</c:v>
                </c:pt>
                <c:pt idx="330">
                  <c:v>41.747540717327269</c:v>
                </c:pt>
                <c:pt idx="331">
                  <c:v>62.16432332668365</c:v>
                </c:pt>
                <c:pt idx="332">
                  <c:v>33.826419729334873</c:v>
                </c:pt>
                <c:pt idx="333">
                  <c:v>33.775125186045287</c:v>
                </c:pt>
                <c:pt idx="334">
                  <c:v>50.564761832787802</c:v>
                </c:pt>
                <c:pt idx="335">
                  <c:v>54.291388121781473</c:v>
                </c:pt>
                <c:pt idx="336">
                  <c:v>65.325155259392162</c:v>
                </c:pt>
                <c:pt idx="337">
                  <c:v>74.043673238522715</c:v>
                </c:pt>
                <c:pt idx="338">
                  <c:v>77.7190049842268</c:v>
                </c:pt>
                <c:pt idx="339">
                  <c:v>59.641564424895648</c:v>
                </c:pt>
                <c:pt idx="340">
                  <c:v>56.954041232541087</c:v>
                </c:pt>
                <c:pt idx="341">
                  <c:v>72.687476601547957</c:v>
                </c:pt>
                <c:pt idx="342">
                  <c:v>0</c:v>
                </c:pt>
                <c:pt idx="343">
                  <c:v>77.7190049842268</c:v>
                </c:pt>
                <c:pt idx="344">
                  <c:v>55.324273698021848</c:v>
                </c:pt>
                <c:pt idx="345">
                  <c:v>77.7190049842268</c:v>
                </c:pt>
                <c:pt idx="346">
                  <c:v>77.7190049842268</c:v>
                </c:pt>
                <c:pt idx="347">
                  <c:v>0</c:v>
                </c:pt>
                <c:pt idx="348">
                  <c:v>76.413325700491797</c:v>
                </c:pt>
                <c:pt idx="349">
                  <c:v>75.470594170033124</c:v>
                </c:pt>
                <c:pt idx="350">
                  <c:v>71.115221130717046</c:v>
                </c:pt>
                <c:pt idx="351">
                  <c:v>64.829308007592786</c:v>
                </c:pt>
                <c:pt idx="352">
                  <c:v>46.48606845121558</c:v>
                </c:pt>
                <c:pt idx="353">
                  <c:v>58.486660010830036</c:v>
                </c:pt>
                <c:pt idx="354">
                  <c:v>77.384036072744777</c:v>
                </c:pt>
                <c:pt idx="355">
                  <c:v>43.481451718525371</c:v>
                </c:pt>
                <c:pt idx="356">
                  <c:v>53.510312121689992</c:v>
                </c:pt>
                <c:pt idx="357">
                  <c:v>48.94043462861746</c:v>
                </c:pt>
                <c:pt idx="358">
                  <c:v>56.523477944928473</c:v>
                </c:pt>
                <c:pt idx="359">
                  <c:v>60.520566371267257</c:v>
                </c:pt>
                <c:pt idx="360">
                  <c:v>48.297698457397907</c:v>
                </c:pt>
                <c:pt idx="361">
                  <c:v>54.465478692946142</c:v>
                </c:pt>
                <c:pt idx="362">
                  <c:v>45.486602047118417</c:v>
                </c:pt>
                <c:pt idx="363">
                  <c:v>53.638548479913972</c:v>
                </c:pt>
                <c:pt idx="364">
                  <c:v>41.62085873920298</c:v>
                </c:pt>
                <c:pt idx="365">
                  <c:v>56.681247525046452</c:v>
                </c:pt>
                <c:pt idx="366">
                  <c:v>54.676097196453398</c:v>
                </c:pt>
                <c:pt idx="367">
                  <c:v>38.330236068170819</c:v>
                </c:pt>
                <c:pt idx="368">
                  <c:v>48.948206529115879</c:v>
                </c:pt>
                <c:pt idx="369">
                  <c:v>45.59074551379728</c:v>
                </c:pt>
                <c:pt idx="370">
                  <c:v>38.32790449802129</c:v>
                </c:pt>
                <c:pt idx="371">
                  <c:v>47.334759985643331</c:v>
                </c:pt>
                <c:pt idx="372">
                  <c:v>46.123897887989088</c:v>
                </c:pt>
                <c:pt idx="373">
                  <c:v>54.951222474097555</c:v>
                </c:pt>
                <c:pt idx="374">
                  <c:v>0</c:v>
                </c:pt>
                <c:pt idx="375">
                  <c:v>44.464597131575836</c:v>
                </c:pt>
                <c:pt idx="376">
                  <c:v>42.52628514726922</c:v>
                </c:pt>
                <c:pt idx="377">
                  <c:v>41.644174440698251</c:v>
                </c:pt>
                <c:pt idx="378">
                  <c:v>37.614444032266093</c:v>
                </c:pt>
                <c:pt idx="379">
                  <c:v>40.048603268372069</c:v>
                </c:pt>
                <c:pt idx="380">
                  <c:v>40.821130177915286</c:v>
                </c:pt>
                <c:pt idx="381">
                  <c:v>76.533012968167498</c:v>
                </c:pt>
                <c:pt idx="382">
                  <c:v>35.438311892707738</c:v>
                </c:pt>
                <c:pt idx="383">
                  <c:v>43.042339340364485</c:v>
                </c:pt>
                <c:pt idx="384">
                  <c:v>36.940620259052842</c:v>
                </c:pt>
                <c:pt idx="385">
                  <c:v>36.402027554512152</c:v>
                </c:pt>
                <c:pt idx="386">
                  <c:v>35.999443108693853</c:v>
                </c:pt>
                <c:pt idx="387">
                  <c:v>39.156389091153152</c:v>
                </c:pt>
                <c:pt idx="388">
                  <c:v>28.277282773461081</c:v>
                </c:pt>
                <c:pt idx="389">
                  <c:v>27.477554212173384</c:v>
                </c:pt>
                <c:pt idx="390">
                  <c:v>30.148756413481262</c:v>
                </c:pt>
                <c:pt idx="391">
                  <c:v>29.346696282044039</c:v>
                </c:pt>
                <c:pt idx="392">
                  <c:v>28.905252333733632</c:v>
                </c:pt>
                <c:pt idx="393">
                  <c:v>25.547014128365191</c:v>
                </c:pt>
                <c:pt idx="394">
                  <c:v>45.55266320135501</c:v>
                </c:pt>
                <c:pt idx="395">
                  <c:v>29.024939601409343</c:v>
                </c:pt>
                <c:pt idx="396">
                  <c:v>41.735105676529798</c:v>
                </c:pt>
                <c:pt idx="397">
                  <c:v>29.13296901833742</c:v>
                </c:pt>
                <c:pt idx="398">
                  <c:v>29.774150809457289</c:v>
                </c:pt>
                <c:pt idx="399">
                  <c:v>41.005324219727903</c:v>
                </c:pt>
                <c:pt idx="400">
                  <c:v>32.858040927231407</c:v>
                </c:pt>
                <c:pt idx="401">
                  <c:v>25.829911306507778</c:v>
                </c:pt>
                <c:pt idx="402">
                  <c:v>30.308080373698925</c:v>
                </c:pt>
                <c:pt idx="403">
                  <c:v>32.836279605835827</c:v>
                </c:pt>
                <c:pt idx="404">
                  <c:v>33.211662399909642</c:v>
                </c:pt>
                <c:pt idx="405">
                  <c:v>25.114119270603048</c:v>
                </c:pt>
                <c:pt idx="406">
                  <c:v>28.639453336687577</c:v>
                </c:pt>
                <c:pt idx="407">
                  <c:v>24.481486570031443</c:v>
                </c:pt>
                <c:pt idx="408">
                  <c:v>37.136472151613091</c:v>
                </c:pt>
                <c:pt idx="409">
                  <c:v>34.424078877663575</c:v>
                </c:pt>
                <c:pt idx="410">
                  <c:v>21.180760428351331</c:v>
                </c:pt>
                <c:pt idx="411">
                  <c:v>22.671410943948803</c:v>
                </c:pt>
                <c:pt idx="412">
                  <c:v>28.022364437112817</c:v>
                </c:pt>
                <c:pt idx="413">
                  <c:v>29.151621579533629</c:v>
                </c:pt>
                <c:pt idx="414">
                  <c:v>24.472160289433337</c:v>
                </c:pt>
                <c:pt idx="415">
                  <c:v>31.397700823577786</c:v>
                </c:pt>
                <c:pt idx="416">
                  <c:v>28.410182271984105</c:v>
                </c:pt>
                <c:pt idx="417">
                  <c:v>25.413337439792322</c:v>
                </c:pt>
                <c:pt idx="418">
                  <c:v>26.674716890686327</c:v>
                </c:pt>
                <c:pt idx="419">
                  <c:v>15.385254226677539</c:v>
                </c:pt>
                <c:pt idx="420">
                  <c:v>17.345327532379738</c:v>
                </c:pt>
                <c:pt idx="421">
                  <c:v>18.285727492688881</c:v>
                </c:pt>
                <c:pt idx="422">
                  <c:v>23.349897857461098</c:v>
                </c:pt>
                <c:pt idx="423">
                  <c:v>18.201013777256076</c:v>
                </c:pt>
                <c:pt idx="424">
                  <c:v>19.583634875925469</c:v>
                </c:pt>
                <c:pt idx="425">
                  <c:v>26.086384022955727</c:v>
                </c:pt>
                <c:pt idx="426">
                  <c:v>23.963100806786649</c:v>
                </c:pt>
                <c:pt idx="427">
                  <c:v>22.415715417550697</c:v>
                </c:pt>
                <c:pt idx="428">
                  <c:v>21.830491310019465</c:v>
                </c:pt>
                <c:pt idx="429">
                  <c:v>27.170564142485691</c:v>
                </c:pt>
                <c:pt idx="430">
                  <c:v>27.453461320628275</c:v>
                </c:pt>
                <c:pt idx="431">
                  <c:v>19.675343301806858</c:v>
                </c:pt>
                <c:pt idx="432">
                  <c:v>23.405078350999901</c:v>
                </c:pt>
                <c:pt idx="433">
                  <c:v>17.245847205999926</c:v>
                </c:pt>
                <c:pt idx="434">
                  <c:v>22.276598398628927</c:v>
                </c:pt>
                <c:pt idx="435">
                  <c:v>18.081326509580364</c:v>
                </c:pt>
                <c:pt idx="436">
                  <c:v>20.307198812328622</c:v>
                </c:pt>
                <c:pt idx="437">
                  <c:v>22.491880042435238</c:v>
                </c:pt>
                <c:pt idx="438">
                  <c:v>18.976649446998657</c:v>
                </c:pt>
                <c:pt idx="439">
                  <c:v>22.608458549911578</c:v>
                </c:pt>
                <c:pt idx="440">
                  <c:v>16.182651217815703</c:v>
                </c:pt>
                <c:pt idx="441">
                  <c:v>16.287571874544412</c:v>
                </c:pt>
                <c:pt idx="442">
                  <c:v>17.594805538379106</c:v>
                </c:pt>
                <c:pt idx="443">
                  <c:v>14.727751444510979</c:v>
                </c:pt>
                <c:pt idx="444">
                  <c:v>18.278732782240304</c:v>
                </c:pt>
                <c:pt idx="445">
                  <c:v>17.299473319439045</c:v>
                </c:pt>
                <c:pt idx="446">
                  <c:v>14.918163006722336</c:v>
                </c:pt>
                <c:pt idx="447">
                  <c:v>17.624338760273112</c:v>
                </c:pt>
                <c:pt idx="448">
                  <c:v>15.912189080470597</c:v>
                </c:pt>
                <c:pt idx="449">
                  <c:v>14.337602039490161</c:v>
                </c:pt>
                <c:pt idx="450">
                  <c:v>14.750289955956404</c:v>
                </c:pt>
                <c:pt idx="451">
                  <c:v>14.491485669358928</c:v>
                </c:pt>
                <c:pt idx="452">
                  <c:v>15.14898845152549</c:v>
                </c:pt>
                <c:pt idx="453">
                  <c:v>18.429507651909702</c:v>
                </c:pt>
                <c:pt idx="454">
                  <c:v>19.223018692798657</c:v>
                </c:pt>
                <c:pt idx="455">
                  <c:v>16.055969239691414</c:v>
                </c:pt>
                <c:pt idx="456">
                  <c:v>15.183184813718549</c:v>
                </c:pt>
                <c:pt idx="457">
                  <c:v>14.78992664849836</c:v>
                </c:pt>
                <c:pt idx="458">
                  <c:v>13.279846381654833</c:v>
                </c:pt>
                <c:pt idx="459">
                  <c:v>14.858319372884479</c:v>
                </c:pt>
                <c:pt idx="460">
                  <c:v>21.017550517884455</c:v>
                </c:pt>
                <c:pt idx="461">
                  <c:v>13.360674146838431</c:v>
                </c:pt>
                <c:pt idx="462">
                  <c:v>15.068160686341892</c:v>
                </c:pt>
                <c:pt idx="463">
                  <c:v>13.378549517984801</c:v>
                </c:pt>
                <c:pt idx="464">
                  <c:v>12.258618656162094</c:v>
                </c:pt>
                <c:pt idx="465">
                  <c:v>15.051062505245362</c:v>
                </c:pt>
                <c:pt idx="466">
                  <c:v>11.591012403347586</c:v>
                </c:pt>
                <c:pt idx="467">
                  <c:v>15.386031416727381</c:v>
                </c:pt>
                <c:pt idx="468">
                  <c:v>15.846127926234002</c:v>
                </c:pt>
                <c:pt idx="469">
                  <c:v>14.271540885253566</c:v>
                </c:pt>
                <c:pt idx="470">
                  <c:v>14.688114751969023</c:v>
                </c:pt>
                <c:pt idx="471">
                  <c:v>12.388409394485752</c:v>
                </c:pt>
                <c:pt idx="472">
                  <c:v>9.9348204071337118</c:v>
                </c:pt>
                <c:pt idx="473">
                  <c:v>12.578820956697108</c:v>
                </c:pt>
                <c:pt idx="474">
                  <c:v>11.36951323914254</c:v>
                </c:pt>
                <c:pt idx="475">
                  <c:v>12.117947257140644</c:v>
                </c:pt>
                <c:pt idx="476">
                  <c:v>9.5322359613154166</c:v>
                </c:pt>
                <c:pt idx="477">
                  <c:v>10.221603535525508</c:v>
                </c:pt>
                <c:pt idx="478">
                  <c:v>9.4832729881753544</c:v>
                </c:pt>
                <c:pt idx="479">
                  <c:v>10.114351308647276</c:v>
                </c:pt>
                <c:pt idx="480">
                  <c:v>12.544624594504048</c:v>
                </c:pt>
                <c:pt idx="481">
                  <c:v>9.9138362757879719</c:v>
                </c:pt>
                <c:pt idx="482">
                  <c:v>9.7793823971652589</c:v>
                </c:pt>
                <c:pt idx="483">
                  <c:v>10.711233266926138</c:v>
                </c:pt>
                <c:pt idx="484">
                  <c:v>10.548800546509103</c:v>
                </c:pt>
                <c:pt idx="485">
                  <c:v>10.000104371320463</c:v>
                </c:pt>
                <c:pt idx="486">
                  <c:v>10.035855113613207</c:v>
                </c:pt>
                <c:pt idx="487">
                  <c:v>9.6029602558510643</c:v>
                </c:pt>
                <c:pt idx="488">
                  <c:v>11.713031241172823</c:v>
                </c:pt>
                <c:pt idx="489">
                  <c:v>8.0757818079110066</c:v>
                </c:pt>
                <c:pt idx="490">
                  <c:v>8.3617877462529631</c:v>
                </c:pt>
                <c:pt idx="491">
                  <c:v>10.596986329599325</c:v>
                </c:pt>
                <c:pt idx="492">
                  <c:v>9.2586650637709393</c:v>
                </c:pt>
                <c:pt idx="493">
                  <c:v>9.4125486936397085</c:v>
                </c:pt>
                <c:pt idx="494">
                  <c:v>14.53267674200057</c:v>
                </c:pt>
                <c:pt idx="495">
                  <c:v>10.734548968421405</c:v>
                </c:pt>
                <c:pt idx="496">
                  <c:v>8.8902769801457051</c:v>
                </c:pt>
                <c:pt idx="497">
                  <c:v>8.3322545243589552</c:v>
                </c:pt>
                <c:pt idx="498">
                  <c:v>8.8102264050119512</c:v>
                </c:pt>
                <c:pt idx="499">
                  <c:v>8.9392399532857674</c:v>
                </c:pt>
                <c:pt idx="500">
                  <c:v>8.7931282239154207</c:v>
                </c:pt>
                <c:pt idx="501">
                  <c:v>7.9467682596371905</c:v>
                </c:pt>
                <c:pt idx="502">
                  <c:v>7.6187940586037541</c:v>
                </c:pt>
                <c:pt idx="503">
                  <c:v>10.179635272834028</c:v>
                </c:pt>
                <c:pt idx="504">
                  <c:v>8.8568578080024878</c:v>
                </c:pt>
                <c:pt idx="505">
                  <c:v>7.9164578476933425</c:v>
                </c:pt>
                <c:pt idx="506">
                  <c:v>7.709725294435299</c:v>
                </c:pt>
                <c:pt idx="507">
                  <c:v>7.2239815132838814</c:v>
                </c:pt>
                <c:pt idx="508">
                  <c:v>10.188184363382293</c:v>
                </c:pt>
                <c:pt idx="509">
                  <c:v>9.4125486936397085</c:v>
                </c:pt>
                <c:pt idx="510">
                  <c:v>7.1532572187482346</c:v>
                </c:pt>
                <c:pt idx="511">
                  <c:v>8.3213738636611634</c:v>
                </c:pt>
                <c:pt idx="512">
                  <c:v>7.8962509063974426</c:v>
                </c:pt>
                <c:pt idx="513">
                  <c:v>6.442905513192402</c:v>
                </c:pt>
                <c:pt idx="514">
                  <c:v>7.5550644745166879</c:v>
                </c:pt>
                <c:pt idx="515">
                  <c:v>6.5719190614662182</c:v>
                </c:pt>
                <c:pt idx="516">
                  <c:v>6.6923835191917709</c:v>
                </c:pt>
                <c:pt idx="517">
                  <c:v>7.0871960645116419</c:v>
                </c:pt>
                <c:pt idx="518">
                  <c:v>5.5180493538801025</c:v>
                </c:pt>
                <c:pt idx="519">
                  <c:v>7.3343425003614833</c:v>
                </c:pt>
                <c:pt idx="520">
                  <c:v>6.4615580743886172</c:v>
                </c:pt>
                <c:pt idx="521">
                  <c:v>5.9089759489507641</c:v>
                </c:pt>
                <c:pt idx="522">
                  <c:v>6.6317626953040731</c:v>
                </c:pt>
                <c:pt idx="523">
                  <c:v>5.4683091906901984</c:v>
                </c:pt>
                <c:pt idx="524">
                  <c:v>6.4934228664321498</c:v>
                </c:pt>
                <c:pt idx="525">
                  <c:v>5.6789276941974522</c:v>
                </c:pt>
                <c:pt idx="526">
                  <c:v>5.6804820742971369</c:v>
                </c:pt>
                <c:pt idx="527">
                  <c:v>5.7286678573873573</c:v>
                </c:pt>
                <c:pt idx="528">
                  <c:v>6.0830665201154321</c:v>
                </c:pt>
                <c:pt idx="529">
                  <c:v>6.4467914634416132</c:v>
                </c:pt>
                <c:pt idx="530">
                  <c:v>5.5918824086151186</c:v>
                </c:pt>
                <c:pt idx="531">
                  <c:v>5.2553591170334162</c:v>
                </c:pt>
                <c:pt idx="532">
                  <c:v>5.3734920046094405</c:v>
                </c:pt>
                <c:pt idx="533">
                  <c:v>5.4978424125842036</c:v>
                </c:pt>
                <c:pt idx="534">
                  <c:v>5.196292673245404</c:v>
                </c:pt>
                <c:pt idx="535">
                  <c:v>5.7465432285337306</c:v>
                </c:pt>
                <c:pt idx="536">
                  <c:v>5.1690910215009245</c:v>
                </c:pt>
                <c:pt idx="537">
                  <c:v>4.9763478891400421</c:v>
                </c:pt>
                <c:pt idx="538">
                  <c:v>5.3633885339614915</c:v>
                </c:pt>
                <c:pt idx="539">
                  <c:v>4.538012701029003</c:v>
                </c:pt>
                <c:pt idx="540">
                  <c:v>4.3748027905621267</c:v>
                </c:pt>
                <c:pt idx="541">
                  <c:v>5.1442209399059724</c:v>
                </c:pt>
                <c:pt idx="542">
                  <c:v>4.9359340065482442</c:v>
                </c:pt>
                <c:pt idx="543">
                  <c:v>3.9450166929993524</c:v>
                </c:pt>
                <c:pt idx="544">
                  <c:v>6.4087091509993428</c:v>
                </c:pt>
                <c:pt idx="545">
                  <c:v>4.3911237816088144</c:v>
                </c:pt>
                <c:pt idx="546">
                  <c:v>4.3615905597148084</c:v>
                </c:pt>
                <c:pt idx="547">
                  <c:v>4.6188404662125988</c:v>
                </c:pt>
                <c:pt idx="548">
                  <c:v>4.9950004503362564</c:v>
                </c:pt>
                <c:pt idx="549">
                  <c:v>4.6615859189539233</c:v>
                </c:pt>
                <c:pt idx="550">
                  <c:v>5.0354143329280543</c:v>
                </c:pt>
                <c:pt idx="551">
                  <c:v>5.3820410951577067</c:v>
                </c:pt>
                <c:pt idx="552">
                  <c:v>3.8727380183640214</c:v>
                </c:pt>
                <c:pt idx="553">
                  <c:v>4.0180725576845262</c:v>
                </c:pt>
                <c:pt idx="554">
                  <c:v>4.5551108821255335</c:v>
                </c:pt>
                <c:pt idx="555">
                  <c:v>4.2955294054782156</c:v>
                </c:pt>
                <c:pt idx="556">
                  <c:v>4.5520021219261633</c:v>
                </c:pt>
                <c:pt idx="557">
                  <c:v>4.1665158572043985</c:v>
                </c:pt>
                <c:pt idx="558">
                  <c:v>4.5139198094838928</c:v>
                </c:pt>
                <c:pt idx="559">
                  <c:v>4.4758374970416215</c:v>
                </c:pt>
                <c:pt idx="560">
                  <c:v>3.6170424919659152</c:v>
                </c:pt>
                <c:pt idx="561">
                  <c:v>4.6102913756643336</c:v>
                </c:pt>
                <c:pt idx="562">
                  <c:v>4.0763618114226956</c:v>
                </c:pt>
                <c:pt idx="563">
                  <c:v>4.1890543686498249</c:v>
                </c:pt>
                <c:pt idx="564">
                  <c:v>3.7678173616353154</c:v>
                </c:pt>
                <c:pt idx="565">
                  <c:v>3.4421747307514052</c:v>
                </c:pt>
                <c:pt idx="566">
                  <c:v>4.004083136787365</c:v>
                </c:pt>
                <c:pt idx="567">
                  <c:v>3.5385462969318464</c:v>
                </c:pt>
                <c:pt idx="568">
                  <c:v>3.4849201834927297</c:v>
                </c:pt>
                <c:pt idx="569">
                  <c:v>4.2092613099457239</c:v>
                </c:pt>
                <c:pt idx="570">
                  <c:v>3.8906133895103938</c:v>
                </c:pt>
                <c:pt idx="571">
                  <c:v>3.8906133895103938</c:v>
                </c:pt>
                <c:pt idx="572">
                  <c:v>3.9698867745943049</c:v>
                </c:pt>
                <c:pt idx="573">
                  <c:v>3.8183347148750628</c:v>
                </c:pt>
                <c:pt idx="574">
                  <c:v>3.9621148740958825</c:v>
                </c:pt>
                <c:pt idx="575">
                  <c:v>3.1414021814624471</c:v>
                </c:pt>
                <c:pt idx="576">
                  <c:v>4.1346510651608659</c:v>
                </c:pt>
                <c:pt idx="577">
                  <c:v>2.9471046690018805</c:v>
                </c:pt>
                <c:pt idx="578">
                  <c:v>3.3683416760163896</c:v>
                </c:pt>
                <c:pt idx="579">
                  <c:v>3.0535797058302712</c:v>
                </c:pt>
                <c:pt idx="580">
                  <c:v>3.2774104401848443</c:v>
                </c:pt>
                <c:pt idx="581">
                  <c:v>4.4206570035028205</c:v>
                </c:pt>
                <c:pt idx="582">
                  <c:v>4.1276563547122853</c:v>
                </c:pt>
                <c:pt idx="583">
                  <c:v>3.9100431407564504</c:v>
                </c:pt>
                <c:pt idx="584">
                  <c:v>3.4748167128447802</c:v>
                </c:pt>
                <c:pt idx="585">
                  <c:v>3.6014986909690698</c:v>
                </c:pt>
                <c:pt idx="586">
                  <c:v>3.6722229855047166</c:v>
                </c:pt>
                <c:pt idx="587">
                  <c:v>3.4188590292561374</c:v>
                </c:pt>
                <c:pt idx="588">
                  <c:v>3.4064239884586609</c:v>
                </c:pt>
                <c:pt idx="589">
                  <c:v>3.2641982093375259</c:v>
                </c:pt>
                <c:pt idx="590">
                  <c:v>3.6465757138599217</c:v>
                </c:pt>
                <c:pt idx="591">
                  <c:v>2.9875185515936784</c:v>
                </c:pt>
                <c:pt idx="592">
                  <c:v>3.5758514193242754</c:v>
                </c:pt>
                <c:pt idx="593">
                  <c:v>3.0629059864283783</c:v>
                </c:pt>
                <c:pt idx="594">
                  <c:v>3.4794798531438338</c:v>
                </c:pt>
                <c:pt idx="595">
                  <c:v>3.151505652110397</c:v>
                </c:pt>
                <c:pt idx="596">
                  <c:v>3.2424368879419423</c:v>
                </c:pt>
                <c:pt idx="597">
                  <c:v>2.8095420301797991</c:v>
                </c:pt>
                <c:pt idx="598">
                  <c:v>3.0053939227400508</c:v>
                </c:pt>
                <c:pt idx="599">
                  <c:v>2.9657572301980948</c:v>
                </c:pt>
                <c:pt idx="600">
                  <c:v>2.8895926053135526</c:v>
                </c:pt>
                <c:pt idx="601">
                  <c:v>3.1375162312132363</c:v>
                </c:pt>
                <c:pt idx="602">
                  <c:v>3.398652087960238</c:v>
                </c:pt>
                <c:pt idx="603">
                  <c:v>2.9867413615438361</c:v>
                </c:pt>
                <c:pt idx="604">
                  <c:v>3.06679193667759</c:v>
                </c:pt>
                <c:pt idx="605">
                  <c:v>2.490894109744469</c:v>
                </c:pt>
                <c:pt idx="606">
                  <c:v>3.1429565615621318</c:v>
                </c:pt>
                <c:pt idx="607">
                  <c:v>3.041921855082637</c:v>
                </c:pt>
                <c:pt idx="608">
                  <c:v>3.2533175486397341</c:v>
                </c:pt>
                <c:pt idx="609">
                  <c:v>3.0147202033381575</c:v>
                </c:pt>
                <c:pt idx="610">
                  <c:v>4.0522689198775854</c:v>
                </c:pt>
                <c:pt idx="611">
                  <c:v>3.0660147466277472</c:v>
                </c:pt>
                <c:pt idx="612">
                  <c:v>2.7629106271892629</c:v>
                </c:pt>
                <c:pt idx="613">
                  <c:v>2.5927060062738061</c:v>
                </c:pt>
                <c:pt idx="614">
                  <c:v>3.0582428461293252</c:v>
                </c:pt>
                <c:pt idx="615">
                  <c:v>3.1973598650510908</c:v>
                </c:pt>
                <c:pt idx="616">
                  <c:v>3.1274127605652864</c:v>
                </c:pt>
                <c:pt idx="617">
                  <c:v>3.0458078053318487</c:v>
                </c:pt>
                <c:pt idx="618">
                  <c:v>2.9331152481047198</c:v>
                </c:pt>
                <c:pt idx="619">
                  <c:v>2.9237889675066122</c:v>
                </c:pt>
                <c:pt idx="620">
                  <c:v>2.6797512918561401</c:v>
                </c:pt>
                <c:pt idx="621">
                  <c:v>2.8328577316750674</c:v>
                </c:pt>
                <c:pt idx="622">
                  <c:v>2.5942603863734908</c:v>
                </c:pt>
                <c:pt idx="623">
                  <c:v>3.4569413416984083</c:v>
                </c:pt>
                <c:pt idx="624">
                  <c:v>2.6673162510586641</c:v>
                </c:pt>
                <c:pt idx="625">
                  <c:v>2.8553962431204929</c:v>
                </c:pt>
                <c:pt idx="626">
                  <c:v>3.0489165655312176</c:v>
                </c:pt>
                <c:pt idx="627">
                  <c:v>2.4326048560062992</c:v>
                </c:pt>
                <c:pt idx="628">
                  <c:v>2.8647225237185996</c:v>
                </c:pt>
                <c:pt idx="629">
                  <c:v>3.5416550571312153</c:v>
                </c:pt>
                <c:pt idx="630">
                  <c:v>2.7248283147469916</c:v>
                </c:pt>
                <c:pt idx="631">
                  <c:v>2.6634303008094529</c:v>
                </c:pt>
                <c:pt idx="632">
                  <c:v>2.4543661774018823</c:v>
                </c:pt>
                <c:pt idx="633">
                  <c:v>2.9292292978555081</c:v>
                </c:pt>
                <c:pt idx="634">
                  <c:v>2.8864838451141837</c:v>
                </c:pt>
                <c:pt idx="635">
                  <c:v>2.6416689794138688</c:v>
                </c:pt>
                <c:pt idx="636">
                  <c:v>2.7543615366409977</c:v>
                </c:pt>
                <c:pt idx="637">
                  <c:v>2.6750881515570866</c:v>
                </c:pt>
                <c:pt idx="638">
                  <c:v>3.1810388740044031</c:v>
                </c:pt>
                <c:pt idx="639">
                  <c:v>2.548406173432797</c:v>
                </c:pt>
                <c:pt idx="640">
                  <c:v>2.7349317853949411</c:v>
                </c:pt>
                <c:pt idx="641">
                  <c:v>2.4963344400933654</c:v>
                </c:pt>
                <c:pt idx="642">
                  <c:v>3.219121186446674</c:v>
                </c:pt>
                <c:pt idx="643">
                  <c:v>2.5056607206914721</c:v>
                </c:pt>
                <c:pt idx="644">
                  <c:v>2.5647271644794847</c:v>
                </c:pt>
                <c:pt idx="645">
                  <c:v>2.8421840122731741</c:v>
                </c:pt>
                <c:pt idx="646">
                  <c:v>2.5414114629842164</c:v>
                </c:pt>
                <c:pt idx="647">
                  <c:v>3.4989096043898904</c:v>
                </c:pt>
                <c:pt idx="648">
                  <c:v>2.9680888003476218</c:v>
                </c:pt>
                <c:pt idx="649">
                  <c:v>2.9113539267091362</c:v>
                </c:pt>
                <c:pt idx="650">
                  <c:v>2.6758653416069289</c:v>
                </c:pt>
                <c:pt idx="651">
                  <c:v>2.8647225237185996</c:v>
                </c:pt>
                <c:pt idx="652">
                  <c:v>2.3525542808725453</c:v>
                </c:pt>
                <c:pt idx="653">
                  <c:v>2.8398524421236475</c:v>
                </c:pt>
                <c:pt idx="654">
                  <c:v>2.7038441834012508</c:v>
                </c:pt>
                <c:pt idx="655">
                  <c:v>2.73804054559431</c:v>
                </c:pt>
                <c:pt idx="656">
                  <c:v>2.8406296321734894</c:v>
                </c:pt>
                <c:pt idx="657">
                  <c:v>3.0800041675249079</c:v>
                </c:pt>
                <c:pt idx="658">
                  <c:v>2.9191258272075591</c:v>
                </c:pt>
                <c:pt idx="659">
                  <c:v>2.9268977277059816</c:v>
                </c:pt>
                <c:pt idx="660">
                  <c:v>3.0963251585715961</c:v>
                </c:pt>
                <c:pt idx="661">
                  <c:v>2.5289764221867403</c:v>
                </c:pt>
                <c:pt idx="662">
                  <c:v>3.0574656560794824</c:v>
                </c:pt>
                <c:pt idx="663">
                  <c:v>3.9489026432485641</c:v>
                </c:pt>
                <c:pt idx="664">
                  <c:v>3.1312987108144981</c:v>
                </c:pt>
                <c:pt idx="665">
                  <c:v>2.8002157495816915</c:v>
                </c:pt>
                <c:pt idx="666">
                  <c:v>2.7271598848965186</c:v>
                </c:pt>
                <c:pt idx="667">
                  <c:v>2.8623909535690735</c:v>
                </c:pt>
                <c:pt idx="668">
                  <c:v>2.7737912878870548</c:v>
                </c:pt>
                <c:pt idx="669">
                  <c:v>3.2743016799854754</c:v>
                </c:pt>
                <c:pt idx="670">
                  <c:v>2.8623909535690735</c:v>
                </c:pt>
                <c:pt idx="671">
                  <c:v>2.6377830291646576</c:v>
                </c:pt>
                <c:pt idx="672">
                  <c:v>2.7100617037999886</c:v>
                </c:pt>
                <c:pt idx="673">
                  <c:v>2.228981062947625</c:v>
                </c:pt>
                <c:pt idx="674">
                  <c:v>2.5903744361242791</c:v>
                </c:pt>
                <c:pt idx="675">
                  <c:v>3.1243040003659175</c:v>
                </c:pt>
                <c:pt idx="676">
                  <c:v>2.7823403784353196</c:v>
                </c:pt>
                <c:pt idx="677">
                  <c:v>2.3168035385798009</c:v>
                </c:pt>
                <c:pt idx="678">
                  <c:v>2.7877807087842155</c:v>
                </c:pt>
                <c:pt idx="679">
                  <c:v>2.7256055047968339</c:v>
                </c:pt>
                <c:pt idx="680">
                  <c:v>2.8569506232201776</c:v>
                </c:pt>
                <c:pt idx="681">
                  <c:v>2.9533221894006183</c:v>
                </c:pt>
                <c:pt idx="682">
                  <c:v>2.8110964102794838</c:v>
                </c:pt>
                <c:pt idx="683">
                  <c:v>2.5204273316384751</c:v>
                </c:pt>
                <c:pt idx="684">
                  <c:v>2.8188683107779058</c:v>
                </c:pt>
                <c:pt idx="685">
                  <c:v>2.7450352560428906</c:v>
                </c:pt>
                <c:pt idx="686">
                  <c:v>2.8996960759615025</c:v>
                </c:pt>
                <c:pt idx="687">
                  <c:v>2.7605790570397364</c:v>
                </c:pt>
                <c:pt idx="688">
                  <c:v>2.7357089754447839</c:v>
                </c:pt>
                <c:pt idx="689">
                  <c:v>2.5227589017880021</c:v>
                </c:pt>
                <c:pt idx="690">
                  <c:v>2.5072151007911563</c:v>
                </c:pt>
                <c:pt idx="691">
                  <c:v>2.6805284819059825</c:v>
                </c:pt>
                <c:pt idx="692">
                  <c:v>2.9245661575564545</c:v>
                </c:pt>
                <c:pt idx="693">
                  <c:v>3.2012458153003021</c:v>
                </c:pt>
                <c:pt idx="694">
                  <c:v>2.9673116102977795</c:v>
                </c:pt>
                <c:pt idx="695">
                  <c:v>2.8095420301797991</c:v>
                </c:pt>
                <c:pt idx="696">
                  <c:v>2.6043638570214402</c:v>
                </c:pt>
                <c:pt idx="697">
                  <c:v>2.7559159167406824</c:v>
                </c:pt>
                <c:pt idx="698">
                  <c:v>2.9292292978555081</c:v>
                </c:pt>
                <c:pt idx="699">
                  <c:v>3.3916573775116574</c:v>
                </c:pt>
                <c:pt idx="700">
                  <c:v>2.630788318716077</c:v>
                </c:pt>
                <c:pt idx="701">
                  <c:v>2.5561780739312199</c:v>
                </c:pt>
                <c:pt idx="702">
                  <c:v>2.6144673276693897</c:v>
                </c:pt>
                <c:pt idx="703">
                  <c:v>2.7310458351457298</c:v>
                </c:pt>
                <c:pt idx="704">
                  <c:v>2.4613608878504625</c:v>
                </c:pt>
                <c:pt idx="705">
                  <c:v>2.8958101257122908</c:v>
                </c:pt>
                <c:pt idx="706">
                  <c:v>3.1312987108144981</c:v>
                </c:pt>
                <c:pt idx="707">
                  <c:v>3.4748167128447802</c:v>
                </c:pt>
                <c:pt idx="708">
                  <c:v>2.8662769038182847</c:v>
                </c:pt>
                <c:pt idx="709">
                  <c:v>3.2680841595867367</c:v>
                </c:pt>
                <c:pt idx="710">
                  <c:v>2.4473714669533018</c:v>
                </c:pt>
                <c:pt idx="711">
                  <c:v>2.633119888865604</c:v>
                </c:pt>
                <c:pt idx="712">
                  <c:v>3.0193833436372115</c:v>
                </c:pt>
                <c:pt idx="713">
                  <c:v>2.6541040202113453</c:v>
                </c:pt>
                <c:pt idx="714">
                  <c:v>2.4870081594952578</c:v>
                </c:pt>
                <c:pt idx="715">
                  <c:v>2.7722369077873701</c:v>
                </c:pt>
                <c:pt idx="716">
                  <c:v>2.8911469854132368</c:v>
                </c:pt>
                <c:pt idx="717">
                  <c:v>2.9136854968586632</c:v>
                </c:pt>
                <c:pt idx="718">
                  <c:v>2.6883003824044054</c:v>
                </c:pt>
                <c:pt idx="719">
                  <c:v>2.8211998809274328</c:v>
                </c:pt>
                <c:pt idx="720">
                  <c:v>2.593483196323648</c:v>
                </c:pt>
                <c:pt idx="721">
                  <c:v>2.692963522703459</c:v>
                </c:pt>
                <c:pt idx="722">
                  <c:v>2.7691281475880012</c:v>
                </c:pt>
                <c:pt idx="723">
                  <c:v>2.8585050033198618</c:v>
                </c:pt>
                <c:pt idx="724">
                  <c:v>3.079226977475066</c:v>
                </c:pt>
                <c:pt idx="725">
                  <c:v>2.7108388938498309</c:v>
                </c:pt>
                <c:pt idx="726">
                  <c:v>2.7722369077873701</c:v>
                </c:pt>
                <c:pt idx="727">
                  <c:v>2.8118736003293257</c:v>
                </c:pt>
                <c:pt idx="728">
                  <c:v>2.6416689794138688</c:v>
                </c:pt>
                <c:pt idx="729">
                  <c:v>3.0691235068271161</c:v>
                </c:pt>
                <c:pt idx="730">
                  <c:v>2.6066954271709668</c:v>
                </c:pt>
                <c:pt idx="731">
                  <c:v>3.0885532580731732</c:v>
                </c:pt>
                <c:pt idx="732">
                  <c:v>3.2377737476428887</c:v>
                </c:pt>
                <c:pt idx="733">
                  <c:v>2.8748259943665495</c:v>
                </c:pt>
                <c:pt idx="734">
                  <c:v>2.9781922709955713</c:v>
                </c:pt>
                <c:pt idx="735">
                  <c:v>2.665761870958979</c:v>
                </c:pt>
                <c:pt idx="736">
                  <c:v>2.7574702968403666</c:v>
                </c:pt>
                <c:pt idx="737">
                  <c:v>3.1289671406649711</c:v>
                </c:pt>
                <c:pt idx="738">
                  <c:v>2.95720813964983</c:v>
                </c:pt>
                <c:pt idx="739">
                  <c:v>2.695295092852986</c:v>
                </c:pt>
                <c:pt idx="740">
                  <c:v>2.84762434262207</c:v>
                </c:pt>
                <c:pt idx="741">
                  <c:v>2.3455595704239647</c:v>
                </c:pt>
                <c:pt idx="742">
                  <c:v>2.5546236938315352</c:v>
                </c:pt>
                <c:pt idx="743">
                  <c:v>2.814982360528695</c:v>
                </c:pt>
                <c:pt idx="744">
                  <c:v>3.4530553914491966</c:v>
                </c:pt>
                <c:pt idx="745">
                  <c:v>2.9237889675066122</c:v>
                </c:pt>
                <c:pt idx="746">
                  <c:v>2.4652468380996742</c:v>
                </c:pt>
                <c:pt idx="747">
                  <c:v>2.9766378908958866</c:v>
                </c:pt>
                <c:pt idx="748">
                  <c:v>2.7162792241987268</c:v>
                </c:pt>
                <c:pt idx="749">
                  <c:v>2.4427083266542482</c:v>
                </c:pt>
                <c:pt idx="750">
                  <c:v>2.8903697953633949</c:v>
                </c:pt>
                <c:pt idx="751">
                  <c:v>2.7007354232018819</c:v>
                </c:pt>
                <c:pt idx="752">
                  <c:v>3.3481347347204906</c:v>
                </c:pt>
                <c:pt idx="753">
                  <c:v>3.3543522551192284</c:v>
                </c:pt>
                <c:pt idx="754">
                  <c:v>3.1561687924094506</c:v>
                </c:pt>
                <c:pt idx="755">
                  <c:v>2.9253433476062969</c:v>
                </c:pt>
                <c:pt idx="756">
                  <c:v>2.9447730988523535</c:v>
                </c:pt>
                <c:pt idx="757">
                  <c:v>2.8421840122731741</c:v>
                </c:pt>
                <c:pt idx="758">
                  <c:v>2.8056560799305874</c:v>
                </c:pt>
                <c:pt idx="759">
                  <c:v>2.5359711326353205</c:v>
                </c:pt>
                <c:pt idx="760">
                  <c:v>2.5756078251772765</c:v>
                </c:pt>
                <c:pt idx="761">
                  <c:v>2.9875185515936784</c:v>
                </c:pt>
                <c:pt idx="762">
                  <c:v>2.7139476540491998</c:v>
                </c:pt>
                <c:pt idx="763">
                  <c:v>2.5429658430839011</c:v>
                </c:pt>
                <c:pt idx="764">
                  <c:v>2.7543615366409977</c:v>
                </c:pt>
                <c:pt idx="765">
                  <c:v>2.4986660102428915</c:v>
                </c:pt>
                <c:pt idx="766">
                  <c:v>2.4287189057570875</c:v>
                </c:pt>
                <c:pt idx="767">
                  <c:v>2.2693949455394229</c:v>
                </c:pt>
                <c:pt idx="768">
                  <c:v>3.6745545556542436</c:v>
                </c:pt>
                <c:pt idx="769">
                  <c:v>6.0061247051810476</c:v>
                </c:pt>
                <c:pt idx="770">
                  <c:v>3.03959028493311</c:v>
                </c:pt>
                <c:pt idx="771">
                  <c:v>2.665761870958979</c:v>
                </c:pt>
                <c:pt idx="772">
                  <c:v>2.6152445177192321</c:v>
                </c:pt>
                <c:pt idx="773">
                  <c:v>2.7364861654946258</c:v>
                </c:pt>
                <c:pt idx="774">
                  <c:v>3.5128990252870511</c:v>
                </c:pt>
                <c:pt idx="775">
                  <c:v>2.9471046690018805</c:v>
                </c:pt>
                <c:pt idx="776">
                  <c:v>2.9082451665097673</c:v>
                </c:pt>
                <c:pt idx="777">
                  <c:v>2.4528117973021977</c:v>
                </c:pt>
                <c:pt idx="778">
                  <c:v>2.7139476540491998</c:v>
                </c:pt>
                <c:pt idx="779">
                  <c:v>2.8421840122731741</c:v>
                </c:pt>
                <c:pt idx="780">
                  <c:v>2.7007354232018819</c:v>
                </c:pt>
                <c:pt idx="781">
                  <c:v>2.5724990649779071</c:v>
                </c:pt>
                <c:pt idx="782">
                  <c:v>2.971974750596833</c:v>
                </c:pt>
                <c:pt idx="783">
                  <c:v>3.3846626670630773</c:v>
                </c:pt>
                <c:pt idx="784">
                  <c:v>2.6136901376195474</c:v>
                </c:pt>
                <c:pt idx="785">
                  <c:v>2.5072151007911563</c:v>
                </c:pt>
                <c:pt idx="786">
                  <c:v>2.9665344202479371</c:v>
                </c:pt>
                <c:pt idx="787">
                  <c:v>2.5724990649779071</c:v>
                </c:pt>
                <c:pt idx="788">
                  <c:v>2.4893397296447848</c:v>
                </c:pt>
                <c:pt idx="789">
                  <c:v>2.9206802073072433</c:v>
                </c:pt>
                <c:pt idx="790">
                  <c:v>2.7598018669898936</c:v>
                </c:pt>
                <c:pt idx="791">
                  <c:v>2.6712022013078749</c:v>
                </c:pt>
                <c:pt idx="792">
                  <c:v>2.6455549296630805</c:v>
                </c:pt>
                <c:pt idx="793">
                  <c:v>2.8787119446157607</c:v>
                </c:pt>
                <c:pt idx="794">
                  <c:v>2.3851962629659207</c:v>
                </c:pt>
                <c:pt idx="795">
                  <c:v>2.7015126132517238</c:v>
                </c:pt>
                <c:pt idx="796">
                  <c:v>2.8981416958618174</c:v>
                </c:pt>
                <c:pt idx="797">
                  <c:v>2.9097995466094515</c:v>
                </c:pt>
                <c:pt idx="798">
                  <c:v>2.9028048361608714</c:v>
                </c:pt>
                <c:pt idx="799">
                  <c:v>2.777677238136266</c:v>
                </c:pt>
                <c:pt idx="800">
                  <c:v>2.9439959088025112</c:v>
                </c:pt>
                <c:pt idx="801">
                  <c:v>2.7745684779368971</c:v>
                </c:pt>
                <c:pt idx="802">
                  <c:v>2.8911469854132368</c:v>
                </c:pt>
                <c:pt idx="803">
                  <c:v>2.8375208719741205</c:v>
                </c:pt>
                <c:pt idx="804">
                  <c:v>3.4141958889570834</c:v>
                </c:pt>
                <c:pt idx="805">
                  <c:v>2.8274174013261715</c:v>
                </c:pt>
                <c:pt idx="806">
                  <c:v>2.8895926053135526</c:v>
                </c:pt>
                <c:pt idx="807">
                  <c:v>2.7310458351457298</c:v>
                </c:pt>
                <c:pt idx="808">
                  <c:v>2.6517724500618183</c:v>
                </c:pt>
                <c:pt idx="809">
                  <c:v>3.3170471327268003</c:v>
                </c:pt>
                <c:pt idx="810">
                  <c:v>2.8616137635192307</c:v>
                </c:pt>
                <c:pt idx="811">
                  <c:v>2.5554008838813771</c:v>
                </c:pt>
                <c:pt idx="812">
                  <c:v>2.5686131147286959</c:v>
                </c:pt>
                <c:pt idx="813">
                  <c:v>2.9906273117930473</c:v>
                </c:pt>
                <c:pt idx="814">
                  <c:v>2.9929588819425743</c:v>
                </c:pt>
                <c:pt idx="815">
                  <c:v>2.8445155824227011</c:v>
                </c:pt>
                <c:pt idx="816">
                  <c:v>2.9937360719924162</c:v>
                </c:pt>
                <c:pt idx="817">
                  <c:v>3.4196362193059793</c:v>
                </c:pt>
                <c:pt idx="818">
                  <c:v>2.5064379107413144</c:v>
                </c:pt>
                <c:pt idx="819">
                  <c:v>2.7162792241987268</c:v>
                </c:pt>
                <c:pt idx="820">
                  <c:v>2.6673162510586641</c:v>
                </c:pt>
                <c:pt idx="821">
                  <c:v>2.9307836779551928</c:v>
                </c:pt>
                <c:pt idx="822">
                  <c:v>2.8266402112763287</c:v>
                </c:pt>
                <c:pt idx="823">
                  <c:v>3.0263780540857921</c:v>
                </c:pt>
                <c:pt idx="824">
                  <c:v>2.7636878172391053</c:v>
                </c:pt>
                <c:pt idx="825">
                  <c:v>2.7458124460927329</c:v>
                </c:pt>
                <c:pt idx="826">
                  <c:v>2.8965873157621327</c:v>
                </c:pt>
                <c:pt idx="827">
                  <c:v>2.8507331028214389</c:v>
                </c:pt>
                <c:pt idx="828">
                  <c:v>2.3906365933148166</c:v>
                </c:pt>
                <c:pt idx="829">
                  <c:v>2.8344121117747516</c:v>
                </c:pt>
                <c:pt idx="830">
                  <c:v>2.6836372421053514</c:v>
                </c:pt>
                <c:pt idx="831">
                  <c:v>2.9517678093009341</c:v>
                </c:pt>
                <c:pt idx="832">
                  <c:v>3.1165320998674946</c:v>
                </c:pt>
                <c:pt idx="833">
                  <c:v>2.8927013655129219</c:v>
                </c:pt>
                <c:pt idx="834">
                  <c:v>2.6237936082674969</c:v>
                </c:pt>
                <c:pt idx="835">
                  <c:v>2.550737743582324</c:v>
                </c:pt>
                <c:pt idx="836">
                  <c:v>2.7139476540491998</c:v>
                </c:pt>
                <c:pt idx="837">
                  <c:v>2.9129083068088204</c:v>
                </c:pt>
                <c:pt idx="838">
                  <c:v>2.5266448520372133</c:v>
                </c:pt>
                <c:pt idx="839">
                  <c:v>2.9082451665097673</c:v>
                </c:pt>
                <c:pt idx="840">
                  <c:v>2.513432621189895</c:v>
                </c:pt>
                <c:pt idx="841">
                  <c:v>2.670425011258033</c:v>
                </c:pt>
                <c:pt idx="842">
                  <c:v>2.5126554311400522</c:v>
                </c:pt>
                <c:pt idx="843">
                  <c:v>3.508235884987998</c:v>
                </c:pt>
                <c:pt idx="844">
                  <c:v>2.7854491386346885</c:v>
                </c:pt>
                <c:pt idx="845">
                  <c:v>2.7372633555444681</c:v>
                </c:pt>
                <c:pt idx="846">
                  <c:v>2.5095466709406833</c:v>
                </c:pt>
                <c:pt idx="847">
                  <c:v>2.9261205376561392</c:v>
                </c:pt>
                <c:pt idx="848">
                  <c:v>2.8895926053135526</c:v>
                </c:pt>
                <c:pt idx="849">
                  <c:v>2.5398570828845322</c:v>
                </c:pt>
                <c:pt idx="850">
                  <c:v>3.1895879645526679</c:v>
                </c:pt>
                <c:pt idx="851">
                  <c:v>2.4193926251589803</c:v>
                </c:pt>
                <c:pt idx="852">
                  <c:v>2.9680888003476218</c:v>
                </c:pt>
                <c:pt idx="853">
                  <c:v>2.0074818987425784</c:v>
                </c:pt>
                <c:pt idx="854">
                  <c:v>2.9136854968586632</c:v>
                </c:pt>
                <c:pt idx="855">
                  <c:v>2.8079876500801144</c:v>
                </c:pt>
                <c:pt idx="856">
                  <c:v>4.9934460702365726</c:v>
                </c:pt>
                <c:pt idx="857">
                  <c:v>3.1895879645526679</c:v>
                </c:pt>
                <c:pt idx="858">
                  <c:v>2.9774150809457285</c:v>
                </c:pt>
                <c:pt idx="859">
                  <c:v>2.8041016998309032</c:v>
                </c:pt>
                <c:pt idx="860">
                  <c:v>2.8561734331703348</c:v>
                </c:pt>
                <c:pt idx="861">
                  <c:v>3.291399861082005</c:v>
                </c:pt>
                <c:pt idx="862">
                  <c:v>3.1950282949015638</c:v>
                </c:pt>
                <c:pt idx="863">
                  <c:v>3.184147634203772</c:v>
                </c:pt>
                <c:pt idx="864">
                  <c:v>3.6364722432119718</c:v>
                </c:pt>
                <c:pt idx="865">
                  <c:v>2.8654997137684424</c:v>
                </c:pt>
                <c:pt idx="866">
                  <c:v>2.633119888865604</c:v>
                </c:pt>
                <c:pt idx="867">
                  <c:v>2.7978841794321649</c:v>
                </c:pt>
                <c:pt idx="868">
                  <c:v>2.2313126330971516</c:v>
                </c:pt>
                <c:pt idx="869">
                  <c:v>2.5243132818876868</c:v>
                </c:pt>
                <c:pt idx="870">
                  <c:v>2.7737912878870548</c:v>
                </c:pt>
                <c:pt idx="871">
                  <c:v>2.4116207246605574</c:v>
                </c:pt>
                <c:pt idx="872">
                  <c:v>2.1046306549728619</c:v>
                </c:pt>
                <c:pt idx="873">
                  <c:v>2.7870035187343736</c:v>
                </c:pt>
                <c:pt idx="874">
                  <c:v>2.3121403982807474</c:v>
                </c:pt>
                <c:pt idx="875">
                  <c:v>2.5313079923362674</c:v>
                </c:pt>
                <c:pt idx="876">
                  <c:v>3.0916620182725425</c:v>
                </c:pt>
                <c:pt idx="877">
                  <c:v>2.2212091624492021</c:v>
                </c:pt>
                <c:pt idx="878">
                  <c:v>2.722496744597465</c:v>
                </c:pt>
                <c:pt idx="879">
                  <c:v>2.5048835306416302</c:v>
                </c:pt>
                <c:pt idx="880">
                  <c:v>2.7248283147469916</c:v>
                </c:pt>
                <c:pt idx="881">
                  <c:v>2.4769046888473083</c:v>
                </c:pt>
                <c:pt idx="882">
                  <c:v>2.2647318052403689</c:v>
                </c:pt>
                <c:pt idx="883">
                  <c:v>2.3921909734145008</c:v>
                </c:pt>
                <c:pt idx="884">
                  <c:v>3.1678266431570843</c:v>
                </c:pt>
                <c:pt idx="885">
                  <c:v>2.2095513117015679</c:v>
                </c:pt>
                <c:pt idx="886">
                  <c:v>2.1535936281129247</c:v>
                </c:pt>
                <c:pt idx="887">
                  <c:v>2.4240557654580339</c:v>
                </c:pt>
                <c:pt idx="888">
                  <c:v>2.2134372619507792</c:v>
                </c:pt>
                <c:pt idx="889">
                  <c:v>2.3346789097261733</c:v>
                </c:pt>
                <c:pt idx="890">
                  <c:v>2.2468564340939969</c:v>
                </c:pt>
                <c:pt idx="891">
                  <c:v>2.3393420500252264</c:v>
                </c:pt>
                <c:pt idx="892">
                  <c:v>2.2149916420504638</c:v>
                </c:pt>
                <c:pt idx="893">
                  <c:v>2.4380451863551951</c:v>
                </c:pt>
                <c:pt idx="894">
                  <c:v>2.3851962629659207</c:v>
                </c:pt>
                <c:pt idx="895">
                  <c:v>2.595814766473175</c:v>
                </c:pt>
                <c:pt idx="896">
                  <c:v>2.1800180898075618</c:v>
                </c:pt>
                <c:pt idx="897">
                  <c:v>2.8787119446157607</c:v>
                </c:pt>
                <c:pt idx="898">
                  <c:v>2.3579946112214412</c:v>
                </c:pt>
                <c:pt idx="899">
                  <c:v>2.1877899903059848</c:v>
                </c:pt>
                <c:pt idx="900">
                  <c:v>2.4131751047602426</c:v>
                </c:pt>
                <c:pt idx="901">
                  <c:v>2.2048881714025144</c:v>
                </c:pt>
                <c:pt idx="902">
                  <c:v>2.3331245296264886</c:v>
                </c:pt>
                <c:pt idx="903">
                  <c:v>2.5118782410902103</c:v>
                </c:pt>
                <c:pt idx="904">
                  <c:v>2.2958194072340596</c:v>
                </c:pt>
                <c:pt idx="905">
                  <c:v>3.9939796661394151</c:v>
                </c:pt>
                <c:pt idx="906">
                  <c:v>2.2002250311034608</c:v>
                </c:pt>
                <c:pt idx="907">
                  <c:v>2.3245754390782238</c:v>
                </c:pt>
                <c:pt idx="908">
                  <c:v>3.8758467785633903</c:v>
                </c:pt>
                <c:pt idx="909">
                  <c:v>2.2328670131968358</c:v>
                </c:pt>
                <c:pt idx="910">
                  <c:v>2.3735384122182865</c:v>
                </c:pt>
                <c:pt idx="911">
                  <c:v>2.4730187385980971</c:v>
                </c:pt>
                <c:pt idx="912">
                  <c:v>2.4520346072523558</c:v>
                </c:pt>
                <c:pt idx="913">
                  <c:v>2.191675940555196</c:v>
                </c:pt>
                <c:pt idx="914">
                  <c:v>2.024580079839108</c:v>
                </c:pt>
                <c:pt idx="915">
                  <c:v>2.4528117973021977</c:v>
                </c:pt>
                <c:pt idx="916">
                  <c:v>2.2484108141936816</c:v>
                </c:pt>
                <c:pt idx="917">
                  <c:v>2.1854584201564577</c:v>
                </c:pt>
                <c:pt idx="918">
                  <c:v>1.9880521474965216</c:v>
                </c:pt>
                <c:pt idx="919">
                  <c:v>2.3952997336138702</c:v>
                </c:pt>
                <c:pt idx="920">
                  <c:v>1.9958240479949445</c:v>
                </c:pt>
                <c:pt idx="921">
                  <c:v>2.2351985833463628</c:v>
                </c:pt>
                <c:pt idx="922">
                  <c:v>2.2103285017514103</c:v>
                </c:pt>
                <c:pt idx="923">
                  <c:v>2.3548858510220723</c:v>
                </c:pt>
                <c:pt idx="924">
                  <c:v>2.2398617236454164</c:v>
                </c:pt>
                <c:pt idx="925">
                  <c:v>1.9149962828113483</c:v>
                </c:pt>
                <c:pt idx="926">
                  <c:v>2.0152537992410013</c:v>
                </c:pt>
                <c:pt idx="927">
                  <c:v>2.7139476540491998</c:v>
                </c:pt>
                <c:pt idx="928">
                  <c:v>2.1745777594586659</c:v>
                </c:pt>
                <c:pt idx="929">
                  <c:v>2.2911562669350061</c:v>
                </c:pt>
                <c:pt idx="930">
                  <c:v>2.2165460221501485</c:v>
                </c:pt>
                <c:pt idx="931">
                  <c:v>2.9906273117930473</c:v>
                </c:pt>
                <c:pt idx="932">
                  <c:v>1.9779486768485721</c:v>
                </c:pt>
                <c:pt idx="933">
                  <c:v>2.3758699823678135</c:v>
                </c:pt>
                <c:pt idx="934">
                  <c:v>2.3525542808725453</c:v>
                </c:pt>
                <c:pt idx="935">
                  <c:v>2.2025566012529878</c:v>
                </c:pt>
                <c:pt idx="936">
                  <c:v>1.8240650469798032</c:v>
                </c:pt>
                <c:pt idx="937">
                  <c:v>2.1302779266176568</c:v>
                </c:pt>
                <c:pt idx="938">
                  <c:v>2.5421886530340592</c:v>
                </c:pt>
                <c:pt idx="939">
                  <c:v>2.2453020539943123</c:v>
                </c:pt>
                <c:pt idx="940">
                  <c:v>2.3611033714208105</c:v>
                </c:pt>
                <c:pt idx="941">
                  <c:v>1.9390891743564587</c:v>
                </c:pt>
                <c:pt idx="942">
                  <c:v>2.0921956141753855</c:v>
                </c:pt>
                <c:pt idx="943">
                  <c:v>1.954632975353304</c:v>
                </c:pt>
                <c:pt idx="944">
                  <c:v>2.7271598848965186</c:v>
                </c:pt>
                <c:pt idx="945">
                  <c:v>2.1092937952719155</c:v>
                </c:pt>
                <c:pt idx="946">
                  <c:v>2.3082544480315361</c:v>
                </c:pt>
                <c:pt idx="947">
                  <c:v>1.9662908261009382</c:v>
                </c:pt>
                <c:pt idx="948">
                  <c:v>2.2336442032466786</c:v>
                </c:pt>
                <c:pt idx="949">
                  <c:v>1.7036005892542514</c:v>
                </c:pt>
                <c:pt idx="950">
                  <c:v>2.3222438689286968</c:v>
                </c:pt>
                <c:pt idx="951">
                  <c:v>2.8515102928712817</c:v>
                </c:pt>
                <c:pt idx="952">
                  <c:v>2.7691281475880012</c:v>
                </c:pt>
                <c:pt idx="953">
                  <c:v>1.9787258668984145</c:v>
                </c:pt>
                <c:pt idx="954">
                  <c:v>2.3626577515204947</c:v>
                </c:pt>
                <c:pt idx="955">
                  <c:v>2.1769093296081929</c:v>
                </c:pt>
                <c:pt idx="956">
                  <c:v>1.997378428094629</c:v>
                </c:pt>
                <c:pt idx="957">
                  <c:v>2.1295007365678145</c:v>
                </c:pt>
                <c:pt idx="958">
                  <c:v>1.7883143046870587</c:v>
                </c:pt>
                <c:pt idx="959">
                  <c:v>1.8730280201198659</c:v>
                </c:pt>
                <c:pt idx="960">
                  <c:v>2.064216772381064</c:v>
                </c:pt>
                <c:pt idx="961">
                  <c:v>1.9142190927615061</c:v>
                </c:pt>
                <c:pt idx="962">
                  <c:v>1.8512666987242825</c:v>
                </c:pt>
                <c:pt idx="963">
                  <c:v>2.261623045041</c:v>
                </c:pt>
                <c:pt idx="964">
                  <c:v>1.8978981017148187</c:v>
                </c:pt>
                <c:pt idx="965">
                  <c:v>2.1046306549728619</c:v>
                </c:pt>
                <c:pt idx="966">
                  <c:v>2.1699146191596124</c:v>
                </c:pt>
                <c:pt idx="967">
                  <c:v>2.099190324623966</c:v>
                </c:pt>
                <c:pt idx="968">
                  <c:v>2.2678405654397382</c:v>
                </c:pt>
                <c:pt idx="969">
                  <c:v>2.0836465236271207</c:v>
                </c:pt>
                <c:pt idx="970">
                  <c:v>2.2429704838447857</c:v>
                </c:pt>
                <c:pt idx="971">
                  <c:v>2.0587764420321681</c:v>
                </c:pt>
                <c:pt idx="972">
                  <c:v>2.0914184241255431</c:v>
                </c:pt>
                <c:pt idx="973">
                  <c:v>1.9196594231104021</c:v>
                </c:pt>
                <c:pt idx="974">
                  <c:v>1.9717311564498341</c:v>
                </c:pt>
                <c:pt idx="975">
                  <c:v>2.0945271843249125</c:v>
                </c:pt>
                <c:pt idx="976">
                  <c:v>1.8147387663816958</c:v>
                </c:pt>
                <c:pt idx="977">
                  <c:v>1.8341685176277525</c:v>
                </c:pt>
                <c:pt idx="978">
                  <c:v>2.2725037057387918</c:v>
                </c:pt>
                <c:pt idx="979">
                  <c:v>2.1465989176643441</c:v>
                </c:pt>
                <c:pt idx="980">
                  <c:v>1.9903837176460486</c:v>
                </c:pt>
                <c:pt idx="981">
                  <c:v>1.9056700022132413</c:v>
                </c:pt>
                <c:pt idx="982">
                  <c:v>2.0432326410353228</c:v>
                </c:pt>
                <c:pt idx="983">
                  <c:v>1.7463460419955763</c:v>
                </c:pt>
                <c:pt idx="984">
                  <c:v>2.4123979147104002</c:v>
                </c:pt>
                <c:pt idx="985">
                  <c:v>1.7331338111482577</c:v>
                </c:pt>
                <c:pt idx="986">
                  <c:v>2.1092937952719155</c:v>
                </c:pt>
                <c:pt idx="987">
                  <c:v>2.0346835504870575</c:v>
                </c:pt>
                <c:pt idx="988">
                  <c:v>2.0284660300883197</c:v>
                </c:pt>
                <c:pt idx="989">
                  <c:v>2.1139569355709691</c:v>
                </c:pt>
                <c:pt idx="990">
                  <c:v>1.8792455405186042</c:v>
                </c:pt>
                <c:pt idx="991">
                  <c:v>2.0416782609356381</c:v>
                </c:pt>
                <c:pt idx="992">
                  <c:v>2.7660193873886318</c:v>
                </c:pt>
                <c:pt idx="993">
                  <c:v>2.2934878370845331</c:v>
                </c:pt>
                <c:pt idx="994">
                  <c:v>1.9554101654031462</c:v>
                </c:pt>
                <c:pt idx="995">
                  <c:v>2.7092845137501467</c:v>
                </c:pt>
                <c:pt idx="996">
                  <c:v>3.1499512720107119</c:v>
                </c:pt>
                <c:pt idx="997">
                  <c:v>1.7432372817962072</c:v>
                </c:pt>
                <c:pt idx="998">
                  <c:v>1.9958240479949445</c:v>
                </c:pt>
                <c:pt idx="999">
                  <c:v>1.8372772778271218</c:v>
                </c:pt>
                <c:pt idx="1000">
                  <c:v>1.8442719882757022</c:v>
                </c:pt>
                <c:pt idx="1001">
                  <c:v>2.2725037057387918</c:v>
                </c:pt>
                <c:pt idx="1002">
                  <c:v>1.983389007197468</c:v>
                </c:pt>
                <c:pt idx="1003">
                  <c:v>1.9678452062006226</c:v>
                </c:pt>
                <c:pt idx="1004">
                  <c:v>1.8388316579268063</c:v>
                </c:pt>
                <c:pt idx="1005">
                  <c:v>1.6911655484567754</c:v>
                </c:pt>
                <c:pt idx="1006">
                  <c:v>1.82639661712933</c:v>
                </c:pt>
                <c:pt idx="1007">
                  <c:v>2.0214713196397391</c:v>
                </c:pt>
                <c:pt idx="1008">
                  <c:v>1.8489351285747555</c:v>
                </c:pt>
                <c:pt idx="1009">
                  <c:v>1.7370197613974689</c:v>
                </c:pt>
                <c:pt idx="1010">
                  <c:v>1.8722508300700238</c:v>
                </c:pt>
                <c:pt idx="1011">
                  <c:v>1.6025658827747566</c:v>
                </c:pt>
                <c:pt idx="1012">
                  <c:v>1.9569645455028311</c:v>
                </c:pt>
                <c:pt idx="1013">
                  <c:v>1.8124071962321691</c:v>
                </c:pt>
                <c:pt idx="1014">
                  <c:v>10.037409493712891</c:v>
                </c:pt>
                <c:pt idx="1015">
                  <c:v>1.7152584400018855</c:v>
                </c:pt>
                <c:pt idx="1016">
                  <c:v>1.7945318250857969</c:v>
                </c:pt>
                <c:pt idx="1017">
                  <c:v>1.7828739743381627</c:v>
                </c:pt>
                <c:pt idx="1018">
                  <c:v>1.8637017395217588</c:v>
                </c:pt>
                <c:pt idx="1019">
                  <c:v>2.0883096639261742</c:v>
                </c:pt>
                <c:pt idx="1020">
                  <c:v>1.9111103325621372</c:v>
                </c:pt>
                <c:pt idx="1021">
                  <c:v>1.8769139703690774</c:v>
                </c:pt>
                <c:pt idx="1022">
                  <c:v>1.9134419027116638</c:v>
                </c:pt>
                <c:pt idx="1023">
                  <c:v>1.8559298390233359</c:v>
                </c:pt>
                <c:pt idx="1024">
                  <c:v>1.7564495126435256</c:v>
                </c:pt>
                <c:pt idx="1025">
                  <c:v>1.6328762947186053</c:v>
                </c:pt>
                <c:pt idx="1026">
                  <c:v>2.1924531306050379</c:v>
                </c:pt>
                <c:pt idx="1027">
                  <c:v>1.6600779464630846</c:v>
                </c:pt>
                <c:pt idx="1028">
                  <c:v>1.8232878569299609</c:v>
                </c:pt>
                <c:pt idx="1029">
                  <c:v>1.9740627265993607</c:v>
                </c:pt>
                <c:pt idx="1030">
                  <c:v>1.9662908261009382</c:v>
                </c:pt>
                <c:pt idx="1031">
                  <c:v>1.7852055444876898</c:v>
                </c:pt>
                <c:pt idx="1032">
                  <c:v>1.7556723225936834</c:v>
                </c:pt>
                <c:pt idx="1033">
                  <c:v>1.8458263683753866</c:v>
                </c:pt>
                <c:pt idx="1034">
                  <c:v>1.8030809156340617</c:v>
                </c:pt>
                <c:pt idx="1035">
                  <c:v>1.9523014052037773</c:v>
                </c:pt>
                <c:pt idx="1036">
                  <c:v>1.8543754589236514</c:v>
                </c:pt>
                <c:pt idx="1037">
                  <c:v>1.8590385992227052</c:v>
                </c:pt>
                <c:pt idx="1038">
                  <c:v>1.7362425713476266</c:v>
                </c:pt>
                <c:pt idx="1039">
                  <c:v>1.925099753459298</c:v>
                </c:pt>
                <c:pt idx="1040">
                  <c:v>1.5877992718277536</c:v>
                </c:pt>
                <c:pt idx="1041">
                  <c:v>2.2973737873337443</c:v>
                </c:pt>
                <c:pt idx="1042">
                  <c:v>2.3237982490283815</c:v>
                </c:pt>
                <c:pt idx="1043">
                  <c:v>1.7572267026933681</c:v>
                </c:pt>
                <c:pt idx="1044">
                  <c:v>1.8403860380264907</c:v>
                </c:pt>
                <c:pt idx="1045">
                  <c:v>2.4838993992958889</c:v>
                </c:pt>
                <c:pt idx="1046">
                  <c:v>1.7230303405003082</c:v>
                </c:pt>
                <c:pt idx="1047">
                  <c:v>1.559820430033432</c:v>
                </c:pt>
                <c:pt idx="1048">
                  <c:v>1.7206987703507814</c:v>
                </c:pt>
                <c:pt idx="1049">
                  <c:v>1.7634442230921061</c:v>
                </c:pt>
                <c:pt idx="1050">
                  <c:v>1.82639661712933</c:v>
                </c:pt>
                <c:pt idx="1051">
                  <c:v>1.7751020738397401</c:v>
                </c:pt>
                <c:pt idx="1052">
                  <c:v>1.9787258668984145</c:v>
                </c:pt>
                <c:pt idx="1053">
                  <c:v>1.6219956340208133</c:v>
                </c:pt>
                <c:pt idx="1054">
                  <c:v>1.6173324937217597</c:v>
                </c:pt>
                <c:pt idx="1055">
                  <c:v>1.8434947982258598</c:v>
                </c:pt>
                <c:pt idx="1056">
                  <c:v>1.5815817514290154</c:v>
                </c:pt>
                <c:pt idx="1057">
                  <c:v>1.9577417355526732</c:v>
                </c:pt>
                <c:pt idx="1058">
                  <c:v>1.8823543007179731</c:v>
                </c:pt>
                <c:pt idx="1059">
                  <c:v>1.8885718211167113</c:v>
                </c:pt>
                <c:pt idx="1060">
                  <c:v>1.7323566210984156</c:v>
                </c:pt>
                <c:pt idx="1061">
                  <c:v>1.8023037255842196</c:v>
                </c:pt>
                <c:pt idx="1062">
                  <c:v>1.9258769435091403</c:v>
                </c:pt>
                <c:pt idx="1063">
                  <c:v>1.8940121514656072</c:v>
                </c:pt>
                <c:pt idx="1064">
                  <c:v>1.7611126529425793</c:v>
                </c:pt>
                <c:pt idx="1065">
                  <c:v>2.2818299863368989</c:v>
                </c:pt>
                <c:pt idx="1066">
                  <c:v>1.8007493454845349</c:v>
                </c:pt>
                <c:pt idx="1067">
                  <c:v>1.7844283544378474</c:v>
                </c:pt>
                <c:pt idx="1068">
                  <c:v>1.5279556379898991</c:v>
                </c:pt>
                <c:pt idx="1069">
                  <c:v>1.6981602589053557</c:v>
                </c:pt>
                <c:pt idx="1070">
                  <c:v>1.7036005892542514</c:v>
                </c:pt>
                <c:pt idx="1071">
                  <c:v>2.061885202231537</c:v>
                </c:pt>
                <c:pt idx="1072">
                  <c:v>1.8738052101697082</c:v>
                </c:pt>
                <c:pt idx="1073">
                  <c:v>1.9383119843066166</c:v>
                </c:pt>
                <c:pt idx="1074">
                  <c:v>1.589353651927438</c:v>
                </c:pt>
                <c:pt idx="1075">
                  <c:v>2.0463414012346917</c:v>
                </c:pt>
                <c:pt idx="1076">
                  <c:v>2.0199169395400545</c:v>
                </c:pt>
                <c:pt idx="1077">
                  <c:v>1.5675923305318546</c:v>
                </c:pt>
                <c:pt idx="1078">
                  <c:v>1.6056746429741258</c:v>
                </c:pt>
                <c:pt idx="1079">
                  <c:v>1.9826118171476259</c:v>
                </c:pt>
                <c:pt idx="1080">
                  <c:v>1.62432720417034</c:v>
                </c:pt>
                <c:pt idx="1081">
                  <c:v>1.8807999206182886</c:v>
                </c:pt>
                <c:pt idx="1082">
                  <c:v>1.7743248837898979</c:v>
                </c:pt>
                <c:pt idx="1083">
                  <c:v>1.9196594231104021</c:v>
                </c:pt>
                <c:pt idx="1084">
                  <c:v>2.0028187584435249</c:v>
                </c:pt>
                <c:pt idx="1085">
                  <c:v>2.1116253654214421</c:v>
                </c:pt>
                <c:pt idx="1086">
                  <c:v>1.6647410867621382</c:v>
                </c:pt>
                <c:pt idx="1087">
                  <c:v>1.6880567882574062</c:v>
                </c:pt>
                <c:pt idx="1088">
                  <c:v>1.8551526489734937</c:v>
                </c:pt>
                <c:pt idx="1089">
                  <c:v>1.5116346469432111</c:v>
                </c:pt>
                <c:pt idx="1090">
                  <c:v>2.0067047086927361</c:v>
                </c:pt>
                <c:pt idx="1091">
                  <c:v>1.681839267858668</c:v>
                </c:pt>
                <c:pt idx="1092">
                  <c:v>1.8318369474782259</c:v>
                </c:pt>
                <c:pt idx="1093">
                  <c:v>1.7160356300517277</c:v>
                </c:pt>
                <c:pt idx="1094">
                  <c:v>1.9033384320637146</c:v>
                </c:pt>
                <c:pt idx="1095">
                  <c:v>1.9686223962504648</c:v>
                </c:pt>
                <c:pt idx="1096">
                  <c:v>1.5846905116283845</c:v>
                </c:pt>
                <c:pt idx="1097">
                  <c:v>1.5955711723261763</c:v>
                </c:pt>
                <c:pt idx="1098">
                  <c:v>1.6453113355160816</c:v>
                </c:pt>
                <c:pt idx="1099">
                  <c:v>1.6204412539211288</c:v>
                </c:pt>
                <c:pt idx="1100">
                  <c:v>1.5971255524258607</c:v>
                </c:pt>
                <c:pt idx="1101">
                  <c:v>1.5512713394851669</c:v>
                </c:pt>
                <c:pt idx="1102">
                  <c:v>1.5854677016782268</c:v>
                </c:pt>
                <c:pt idx="1103">
                  <c:v>1.5442766290365866</c:v>
                </c:pt>
                <c:pt idx="1104">
                  <c:v>1.7416829016965225</c:v>
                </c:pt>
                <c:pt idx="1105">
                  <c:v>1.6476429056656083</c:v>
                </c:pt>
                <c:pt idx="1106">
                  <c:v>1.7642214131419485</c:v>
                </c:pt>
                <c:pt idx="1107">
                  <c:v>1.9740627265993607</c:v>
                </c:pt>
                <c:pt idx="1108">
                  <c:v>1.7898686847867431</c:v>
                </c:pt>
                <c:pt idx="1109">
                  <c:v>1.5675923305318546</c:v>
                </c:pt>
                <c:pt idx="1110">
                  <c:v>1.5458310091362713</c:v>
                </c:pt>
                <c:pt idx="1111">
                  <c:v>1.4906505155974701</c:v>
                </c:pt>
                <c:pt idx="1112">
                  <c:v>1.8458263683753866</c:v>
                </c:pt>
                <c:pt idx="1113">
                  <c:v>1.725361910649835</c:v>
                </c:pt>
                <c:pt idx="1114">
                  <c:v>1.9017840519640299</c:v>
                </c:pt>
                <c:pt idx="1115">
                  <c:v>1.8442719882757022</c:v>
                </c:pt>
                <c:pt idx="1116">
                  <c:v>1.5605976200832743</c:v>
                </c:pt>
                <c:pt idx="1117">
                  <c:v>1.6756217474599298</c:v>
                </c:pt>
                <c:pt idx="1118">
                  <c:v>1.8333913275779103</c:v>
                </c:pt>
                <c:pt idx="1119">
                  <c:v>1.815515956431538</c:v>
                </c:pt>
                <c:pt idx="1120">
                  <c:v>1.6048974529242837</c:v>
                </c:pt>
                <c:pt idx="1121">
                  <c:v>1.5668151404820125</c:v>
                </c:pt>
                <c:pt idx="1122">
                  <c:v>1.5668151404820125</c:v>
                </c:pt>
                <c:pt idx="1123">
                  <c:v>2.2608458549911576</c:v>
                </c:pt>
                <c:pt idx="1124">
                  <c:v>2.0409010708857958</c:v>
                </c:pt>
                <c:pt idx="1125">
                  <c:v>1.7160356300517277</c:v>
                </c:pt>
                <c:pt idx="1126">
                  <c:v>1.4416875424574072</c:v>
                </c:pt>
                <c:pt idx="1127">
                  <c:v>1.7339110011981</c:v>
                </c:pt>
                <c:pt idx="1128">
                  <c:v>1.5885764618775959</c:v>
                </c:pt>
                <c:pt idx="1129">
                  <c:v>1.7929774449861124</c:v>
                </c:pt>
                <c:pt idx="1130">
                  <c:v>1.8582614091728629</c:v>
                </c:pt>
                <c:pt idx="1131">
                  <c:v>1.6756217474599298</c:v>
                </c:pt>
                <c:pt idx="1132">
                  <c:v>1.5536029096346939</c:v>
                </c:pt>
                <c:pt idx="1133">
                  <c:v>1.5186293573917917</c:v>
                </c:pt>
                <c:pt idx="1134">
                  <c:v>1.7354653812977845</c:v>
                </c:pt>
                <c:pt idx="1135">
                  <c:v>1.698937448955198</c:v>
                </c:pt>
                <c:pt idx="1136">
                  <c:v>1.8846858708675001</c:v>
                </c:pt>
                <c:pt idx="1137">
                  <c:v>1.8963437216151342</c:v>
                </c:pt>
                <c:pt idx="1138">
                  <c:v>1.5691467106315391</c:v>
                </c:pt>
                <c:pt idx="1139">
                  <c:v>1.7782108340391094</c:v>
                </c:pt>
                <c:pt idx="1140">
                  <c:v>1.9313172738580362</c:v>
                </c:pt>
                <c:pt idx="1141">
                  <c:v>1.6165553036719174</c:v>
                </c:pt>
                <c:pt idx="1142">
                  <c:v>1.8357228977274369</c:v>
                </c:pt>
                <c:pt idx="1143">
                  <c:v>2.0665483425305906</c:v>
                </c:pt>
                <c:pt idx="1144">
                  <c:v>1.6445341454662392</c:v>
                </c:pt>
                <c:pt idx="1145">
                  <c:v>1.5870220817779115</c:v>
                </c:pt>
                <c:pt idx="1146">
                  <c:v>1.6181096837716022</c:v>
                </c:pt>
                <c:pt idx="1147">
                  <c:v>1.4230349812611929</c:v>
                </c:pt>
                <c:pt idx="1148">
                  <c:v>1.8310597574283836</c:v>
                </c:pt>
                <c:pt idx="1149">
                  <c:v>1.6383166250675012</c:v>
                </c:pt>
                <c:pt idx="1150">
                  <c:v>1.5637063802826432</c:v>
                </c:pt>
                <c:pt idx="1151">
                  <c:v>1.6025658827747566</c:v>
                </c:pt>
                <c:pt idx="1152">
                  <c:v>1.5994571225753877</c:v>
                </c:pt>
                <c:pt idx="1153">
                  <c:v>1.4642260539028329</c:v>
                </c:pt>
                <c:pt idx="1154">
                  <c:v>1.6258815842700247</c:v>
                </c:pt>
                <c:pt idx="1155">
                  <c:v>2.2554055246422617</c:v>
                </c:pt>
                <c:pt idx="1156">
                  <c:v>1.4782154747999936</c:v>
                </c:pt>
                <c:pt idx="1157">
                  <c:v>1.5256240678403723</c:v>
                </c:pt>
                <c:pt idx="1158">
                  <c:v>1.440910352407565</c:v>
                </c:pt>
                <c:pt idx="1159">
                  <c:v>1.7502319922447875</c:v>
                </c:pt>
                <c:pt idx="1160">
                  <c:v>1.6585235663634001</c:v>
                </c:pt>
                <c:pt idx="1161">
                  <c:v>2.0510045415337452</c:v>
                </c:pt>
                <c:pt idx="1162">
                  <c:v>1.5077486966940001</c:v>
                </c:pt>
                <c:pt idx="1163">
                  <c:v>1.6997146390050402</c:v>
                </c:pt>
                <c:pt idx="1164">
                  <c:v>1.4991996061457351</c:v>
                </c:pt>
                <c:pt idx="1165">
                  <c:v>1.6414253852668701</c:v>
                </c:pt>
                <c:pt idx="1166">
                  <c:v>1.8365000877772795</c:v>
                </c:pt>
                <c:pt idx="1167">
                  <c:v>1.7401285215968381</c:v>
                </c:pt>
                <c:pt idx="1168">
                  <c:v>1.5178521673419494</c:v>
                </c:pt>
                <c:pt idx="1169">
                  <c:v>1.6344306748182897</c:v>
                </c:pt>
                <c:pt idx="1170">
                  <c:v>1.7284706708492041</c:v>
                </c:pt>
                <c:pt idx="1171">
                  <c:v>1.7144812499520432</c:v>
                </c:pt>
                <c:pt idx="1172">
                  <c:v>1.7883143046870587</c:v>
                </c:pt>
                <c:pt idx="1173">
                  <c:v>1.548162579285798</c:v>
                </c:pt>
                <c:pt idx="1174">
                  <c:v>1.537281918588006</c:v>
                </c:pt>
                <c:pt idx="1175">
                  <c:v>1.8691420698706545</c:v>
                </c:pt>
                <c:pt idx="1176">
                  <c:v>1.7144812499520432</c:v>
                </c:pt>
                <c:pt idx="1177">
                  <c:v>1.5497169593854825</c:v>
                </c:pt>
                <c:pt idx="1178">
                  <c:v>1.6958286887558287</c:v>
                </c:pt>
                <c:pt idx="1179">
                  <c:v>1.5637063802826432</c:v>
                </c:pt>
                <c:pt idx="1180">
                  <c:v>1.8038581056839043</c:v>
                </c:pt>
                <c:pt idx="1181">
                  <c:v>1.6398710051671856</c:v>
                </c:pt>
                <c:pt idx="1182">
                  <c:v>1.6157781136220752</c:v>
                </c:pt>
                <c:pt idx="1183">
                  <c:v>1.6554148061640308</c:v>
                </c:pt>
                <c:pt idx="1184">
                  <c:v>1.9554101654031462</c:v>
                </c:pt>
                <c:pt idx="1185">
                  <c:v>1.9002296718643452</c:v>
                </c:pt>
                <c:pt idx="1186">
                  <c:v>1.5217381175911608</c:v>
                </c:pt>
                <c:pt idx="1187">
                  <c:v>1.8038581056839043</c:v>
                </c:pt>
                <c:pt idx="1188">
                  <c:v>1.7308022409987311</c:v>
                </c:pt>
                <c:pt idx="1189">
                  <c:v>1.5831361315287</c:v>
                </c:pt>
                <c:pt idx="1190">
                  <c:v>1.646865715615766</c:v>
                </c:pt>
                <c:pt idx="1191">
                  <c:v>2.1092937952719155</c:v>
                </c:pt>
                <c:pt idx="1192">
                  <c:v>1.6150009235722329</c:v>
                </c:pt>
                <c:pt idx="1193">
                  <c:v>1.5411678688372175</c:v>
                </c:pt>
                <c:pt idx="1194">
                  <c:v>1.6313219146189208</c:v>
                </c:pt>
                <c:pt idx="1195">
                  <c:v>1.6289903444693938</c:v>
                </c:pt>
                <c:pt idx="1196">
                  <c:v>1.4650032439526752</c:v>
                </c:pt>
                <c:pt idx="1197">
                  <c:v>1.6756217474599298</c:v>
                </c:pt>
                <c:pt idx="1198">
                  <c:v>1.5761414210801195</c:v>
                </c:pt>
                <c:pt idx="1199">
                  <c:v>1.559820430033432</c:v>
                </c:pt>
                <c:pt idx="1200">
                  <c:v>1.539613488737533</c:v>
                </c:pt>
                <c:pt idx="1201">
                  <c:v>1.8077440559331155</c:v>
                </c:pt>
                <c:pt idx="1202">
                  <c:v>1.3655229175728649</c:v>
                </c:pt>
                <c:pt idx="1203">
                  <c:v>1.5194065474416341</c:v>
                </c:pt>
                <c:pt idx="1204">
                  <c:v>1.7758792638895824</c:v>
                </c:pt>
                <c:pt idx="1205">
                  <c:v>1.7649986031917908</c:v>
                </c:pt>
                <c:pt idx="1206">
                  <c:v>1.6546376161141887</c:v>
                </c:pt>
                <c:pt idx="1207">
                  <c:v>1.6352078648681319</c:v>
                </c:pt>
                <c:pt idx="1208">
                  <c:v>1.6429797653665545</c:v>
                </c:pt>
                <c:pt idx="1209">
                  <c:v>2.096858754474439</c:v>
                </c:pt>
                <c:pt idx="1210">
                  <c:v>1.6608551365129267</c:v>
                </c:pt>
                <c:pt idx="1211">
                  <c:v>1.6103377832731793</c:v>
                </c:pt>
                <c:pt idx="1212">
                  <c:v>1.475883904650467</c:v>
                </c:pt>
                <c:pt idx="1213">
                  <c:v>1.5209609275413185</c:v>
                </c:pt>
                <c:pt idx="1214">
                  <c:v>1.6344306748182897</c:v>
                </c:pt>
                <c:pt idx="1215">
                  <c:v>1.8162931464813803</c:v>
                </c:pt>
                <c:pt idx="1216">
                  <c:v>1.7984177753350084</c:v>
                </c:pt>
                <c:pt idx="1217">
                  <c:v>1.6507516658649772</c:v>
                </c:pt>
                <c:pt idx="1218">
                  <c:v>1.3297721752801206</c:v>
                </c:pt>
                <c:pt idx="1219">
                  <c:v>1.8543754589236514</c:v>
                </c:pt>
                <c:pt idx="1220">
                  <c:v>1.6437569554163969</c:v>
                </c:pt>
                <c:pt idx="1221">
                  <c:v>1.6507516658649772</c:v>
                </c:pt>
                <c:pt idx="1222">
                  <c:v>1.4004964698157671</c:v>
                </c:pt>
                <c:pt idx="1223">
                  <c:v>1.5800273713293309</c:v>
                </c:pt>
                <c:pt idx="1224">
                  <c:v>1.8862402509671845</c:v>
                </c:pt>
                <c:pt idx="1225">
                  <c:v>1.4121543205634008</c:v>
                </c:pt>
                <c:pt idx="1226">
                  <c:v>1.4789926648498359</c:v>
                </c:pt>
                <c:pt idx="1227">
                  <c:v>1.4494594429558298</c:v>
                </c:pt>
                <c:pt idx="1228">
                  <c:v>1.5909080320271225</c:v>
                </c:pt>
                <c:pt idx="1229">
                  <c:v>1.8590385992227052</c:v>
                </c:pt>
                <c:pt idx="1230">
                  <c:v>1.5318415882391101</c:v>
                </c:pt>
                <c:pt idx="1231">
                  <c:v>1.4712207643514132</c:v>
                </c:pt>
                <c:pt idx="1232">
                  <c:v>1.6227728240706556</c:v>
                </c:pt>
                <c:pt idx="1233">
                  <c:v>1.4704435743015711</c:v>
                </c:pt>
                <c:pt idx="1234">
                  <c:v>1.5792501812794888</c:v>
                </c:pt>
                <c:pt idx="1235">
                  <c:v>1.6787305076592991</c:v>
                </c:pt>
                <c:pt idx="1236">
                  <c:v>1.6227728240706556</c:v>
                </c:pt>
                <c:pt idx="1237">
                  <c:v>1.4657804340025173</c:v>
                </c:pt>
                <c:pt idx="1238">
                  <c:v>1.6717357972107187</c:v>
                </c:pt>
                <c:pt idx="1239">
                  <c:v>1.5124118369930537</c:v>
                </c:pt>
                <c:pt idx="1240">
                  <c:v>1.5979027424757029</c:v>
                </c:pt>
                <c:pt idx="1241">
                  <c:v>1.6134465434725485</c:v>
                </c:pt>
                <c:pt idx="1242">
                  <c:v>1.7533407524441567</c:v>
                </c:pt>
                <c:pt idx="1243">
                  <c:v>1.6725129872605609</c:v>
                </c:pt>
                <c:pt idx="1244">
                  <c:v>1.4976452260460504</c:v>
                </c:pt>
                <c:pt idx="1245">
                  <c:v>1.4447963026567763</c:v>
                </c:pt>
                <c:pt idx="1246">
                  <c:v>1.6530832360145042</c:v>
                </c:pt>
                <c:pt idx="1247">
                  <c:v>1.6701814171110339</c:v>
                </c:pt>
                <c:pt idx="1248">
                  <c:v>1.4230349812611929</c:v>
                </c:pt>
                <c:pt idx="1249">
                  <c:v>1.5201837374914764</c:v>
                </c:pt>
                <c:pt idx="1250">
                  <c:v>1.6025658827747566</c:v>
                </c:pt>
                <c:pt idx="1251">
                  <c:v>1.8419404181261751</c:v>
                </c:pt>
                <c:pt idx="1252">
                  <c:v>1.6227728240706556</c:v>
                </c:pt>
                <c:pt idx="1253">
                  <c:v>1.8722508300700238</c:v>
                </c:pt>
                <c:pt idx="1254">
                  <c:v>1.5986799325255454</c:v>
                </c:pt>
                <c:pt idx="1255">
                  <c:v>1.4222577912113505</c:v>
                </c:pt>
                <c:pt idx="1256">
                  <c:v>1.6282131544195515</c:v>
                </c:pt>
                <c:pt idx="1257">
                  <c:v>1.7416829016965225</c:v>
                </c:pt>
                <c:pt idx="1258">
                  <c:v>1.6235500141204979</c:v>
                </c:pt>
                <c:pt idx="1259">
                  <c:v>1.5800273713293309</c:v>
                </c:pt>
                <c:pt idx="1260">
                  <c:v>1.5030855563949463</c:v>
                </c:pt>
                <c:pt idx="1261">
                  <c:v>1.539613488737533</c:v>
                </c:pt>
                <c:pt idx="1262">
                  <c:v>1.4634488638529908</c:v>
                </c:pt>
                <c:pt idx="1263">
                  <c:v>1.7082637295533052</c:v>
                </c:pt>
                <c:pt idx="1264">
                  <c:v>1.6569691862637153</c:v>
                </c:pt>
                <c:pt idx="1265">
                  <c:v>1.3289949852302785</c:v>
                </c:pt>
                <c:pt idx="1266">
                  <c:v>1.6600779464630846</c:v>
                </c:pt>
                <c:pt idx="1267">
                  <c:v>1.7385741414971536</c:v>
                </c:pt>
                <c:pt idx="1268">
                  <c:v>1.6593007564132423</c:v>
                </c:pt>
                <c:pt idx="1269">
                  <c:v>1.6258815842700247</c:v>
                </c:pt>
                <c:pt idx="1270">
                  <c:v>1.7743248837898979</c:v>
                </c:pt>
                <c:pt idx="1271">
                  <c:v>1.7004918290548825</c:v>
                </c:pt>
                <c:pt idx="1272">
                  <c:v>1.4821014250492051</c:v>
                </c:pt>
                <c:pt idx="1273">
                  <c:v>1.423812171311035</c:v>
                </c:pt>
                <c:pt idx="1274">
                  <c:v>1.6795076977091412</c:v>
                </c:pt>
                <c:pt idx="1275">
                  <c:v>1.8427176081760175</c:v>
                </c:pt>
                <c:pt idx="1276">
                  <c:v>1.6740673673602453</c:v>
                </c:pt>
                <c:pt idx="1277">
                  <c:v>1.5077486966940001</c:v>
                </c:pt>
                <c:pt idx="1278">
                  <c:v>1.611892163372864</c:v>
                </c:pt>
                <c:pt idx="1279">
                  <c:v>1.9826118171476259</c:v>
                </c:pt>
                <c:pt idx="1280">
                  <c:v>1.4494594429558298</c:v>
                </c:pt>
                <c:pt idx="1281">
                  <c:v>2.6797512918561401</c:v>
                </c:pt>
                <c:pt idx="1282">
                  <c:v>1.4502366330056722</c:v>
                </c:pt>
                <c:pt idx="1283">
                  <c:v>1.6865024081577218</c:v>
                </c:pt>
                <c:pt idx="1284">
                  <c:v>1.7059321594037784</c:v>
                </c:pt>
                <c:pt idx="1285">
                  <c:v>1.5660379504321702</c:v>
                </c:pt>
                <c:pt idx="1286">
                  <c:v>1.5691467106315391</c:v>
                </c:pt>
                <c:pt idx="1287">
                  <c:v>1.5341731583886371</c:v>
                </c:pt>
                <c:pt idx="1288">
                  <c:v>1.4471278728063033</c:v>
                </c:pt>
                <c:pt idx="1289">
                  <c:v>1.8582614091728629</c:v>
                </c:pt>
                <c:pt idx="1290">
                  <c:v>1.5769186111299618</c:v>
                </c:pt>
                <c:pt idx="1291">
                  <c:v>1.3771807683204988</c:v>
                </c:pt>
                <c:pt idx="1292">
                  <c:v>1.6981602589053557</c:v>
                </c:pt>
                <c:pt idx="1293">
                  <c:v>1.6422025753167124</c:v>
                </c:pt>
                <c:pt idx="1294">
                  <c:v>1.4937592757968392</c:v>
                </c:pt>
                <c:pt idx="1295">
                  <c:v>1.4883189454479433</c:v>
                </c:pt>
                <c:pt idx="1296">
                  <c:v>1.7020462091545669</c:v>
                </c:pt>
                <c:pt idx="1297">
                  <c:v>1.6880567882574062</c:v>
                </c:pt>
                <c:pt idx="1298">
                  <c:v>1.4665576240523599</c:v>
                </c:pt>
                <c:pt idx="1299">
                  <c:v>1.5714782807810659</c:v>
                </c:pt>
                <c:pt idx="1300">
                  <c:v>1.704377779304094</c:v>
                </c:pt>
                <c:pt idx="1301">
                  <c:v>1.4269209315104041</c:v>
                </c:pt>
                <c:pt idx="1302">
                  <c:v>1.6507516658649772</c:v>
                </c:pt>
                <c:pt idx="1303">
                  <c:v>1.574587040980435</c:v>
                </c:pt>
                <c:pt idx="1304">
                  <c:v>1.5559344797842205</c:v>
                </c:pt>
                <c:pt idx="1305">
                  <c:v>1.7036005892542514</c:v>
                </c:pt>
                <c:pt idx="1306">
                  <c:v>1.6802848877589835</c:v>
                </c:pt>
                <c:pt idx="1307">
                  <c:v>1.4160402708126123</c:v>
                </c:pt>
                <c:pt idx="1308">
                  <c:v>1.4922048956971545</c:v>
                </c:pt>
                <c:pt idx="1309">
                  <c:v>1.5030855563949463</c:v>
                </c:pt>
                <c:pt idx="1310">
                  <c:v>1.5007539862454196</c:v>
                </c:pt>
                <c:pt idx="1311">
                  <c:v>1.4191490310119814</c:v>
                </c:pt>
                <c:pt idx="1312">
                  <c:v>1.4774382847501515</c:v>
                </c:pt>
                <c:pt idx="1313">
                  <c:v>1.4650032439526752</c:v>
                </c:pt>
                <c:pt idx="1314">
                  <c:v>1.5232924976908453</c:v>
                </c:pt>
                <c:pt idx="1315">
                  <c:v>1.403605230015136</c:v>
                </c:pt>
                <c:pt idx="1316">
                  <c:v>3.2634210192876836</c:v>
                </c:pt>
                <c:pt idx="1317">
                  <c:v>1.4432419225570918</c:v>
                </c:pt>
                <c:pt idx="1318">
                  <c:v>1.5707010907312235</c:v>
                </c:pt>
                <c:pt idx="1319">
                  <c:v>1.3779579583703412</c:v>
                </c:pt>
                <c:pt idx="1320">
                  <c:v>1.696605878805671</c:v>
                </c:pt>
                <c:pt idx="1321">
                  <c:v>1.4354700220586691</c:v>
                </c:pt>
                <c:pt idx="1322">
                  <c:v>1.5232924976908453</c:v>
                </c:pt>
                <c:pt idx="1323">
                  <c:v>1.7370197613974689</c:v>
                </c:pt>
                <c:pt idx="1324">
                  <c:v>1.5901308419772804</c:v>
                </c:pt>
                <c:pt idx="1325">
                  <c:v>1.5458310091362713</c:v>
                </c:pt>
                <c:pt idx="1326">
                  <c:v>1.5194065474416341</c:v>
                </c:pt>
                <c:pt idx="1327">
                  <c:v>1.6694042270611917</c:v>
                </c:pt>
                <c:pt idx="1328">
                  <c:v>1.5839133215785421</c:v>
                </c:pt>
                <c:pt idx="1329">
                  <c:v>1.7308022409987311</c:v>
                </c:pt>
                <c:pt idx="1330">
                  <c:v>1.5264012578902144</c:v>
                </c:pt>
                <c:pt idx="1331">
                  <c:v>2.1605883385615052</c:v>
                </c:pt>
                <c:pt idx="1332">
                  <c:v>1.7867599245873742</c:v>
                </c:pt>
                <c:pt idx="1333">
                  <c:v>1.6227728240706556</c:v>
                </c:pt>
                <c:pt idx="1334">
                  <c:v>1.3764035782706567</c:v>
                </c:pt>
                <c:pt idx="1335">
                  <c:v>1.6344306748182897</c:v>
                </c:pt>
                <c:pt idx="1336">
                  <c:v>1.3694088678220764</c:v>
                </c:pt>
                <c:pt idx="1337">
                  <c:v>2.3509999007728606</c:v>
                </c:pt>
                <c:pt idx="1338">
                  <c:v>1.5714782807810659</c:v>
                </c:pt>
                <c:pt idx="1339">
                  <c:v>1.5318415882391101</c:v>
                </c:pt>
                <c:pt idx="1340">
                  <c:v>1.4152630807627702</c:v>
                </c:pt>
                <c:pt idx="1341">
                  <c:v>1.331326555379805</c:v>
                </c:pt>
                <c:pt idx="1342">
                  <c:v>1.5419450588870598</c:v>
                </c:pt>
                <c:pt idx="1343">
                  <c:v>1.6219956340208133</c:v>
                </c:pt>
                <c:pt idx="1344">
                  <c:v>1.6445341454662392</c:v>
                </c:pt>
                <c:pt idx="1345">
                  <c:v>1.6002343126252299</c:v>
                </c:pt>
                <c:pt idx="1346">
                  <c:v>1.5232924976908453</c:v>
                </c:pt>
                <c:pt idx="1347">
                  <c:v>1.5256240678403723</c:v>
                </c:pt>
                <c:pt idx="1348">
                  <c:v>1.5116346469432111</c:v>
                </c:pt>
                <c:pt idx="1349">
                  <c:v>1.6289903444693938</c:v>
                </c:pt>
                <c:pt idx="1350">
                  <c:v>1.4105999404637164</c:v>
                </c:pt>
                <c:pt idx="1351">
                  <c:v>1.6313219146189208</c:v>
                </c:pt>
                <c:pt idx="1352">
                  <c:v>1.5699239006813814</c:v>
                </c:pt>
                <c:pt idx="1353">
                  <c:v>1.4743295245507826</c:v>
                </c:pt>
                <c:pt idx="1354">
                  <c:v>1.4354700220586691</c:v>
                </c:pt>
                <c:pt idx="1355">
                  <c:v>1.5839133215785421</c:v>
                </c:pt>
                <c:pt idx="1356">
                  <c:v>1.6048974529242837</c:v>
                </c:pt>
                <c:pt idx="1357">
                  <c:v>1.7751020738397401</c:v>
                </c:pt>
                <c:pt idx="1358">
                  <c:v>1.5139662170927382</c:v>
                </c:pt>
                <c:pt idx="1359">
                  <c:v>1.5442766290365866</c:v>
                </c:pt>
                <c:pt idx="1360">
                  <c:v>1.5792501812794888</c:v>
                </c:pt>
                <c:pt idx="1361">
                  <c:v>1.5761414210801195</c:v>
                </c:pt>
                <c:pt idx="1362">
                  <c:v>1.5318415882391101</c:v>
                </c:pt>
                <c:pt idx="1363">
                  <c:v>1.6188868738214444</c:v>
                </c:pt>
                <c:pt idx="1364">
                  <c:v>1.8722508300700238</c:v>
                </c:pt>
                <c:pt idx="1365">
                  <c:v>1.4859873752984165</c:v>
                </c:pt>
                <c:pt idx="1366">
                  <c:v>1.8240650469798032</c:v>
                </c:pt>
                <c:pt idx="1367">
                  <c:v>1.4805470449495206</c:v>
                </c:pt>
                <c:pt idx="1368">
                  <c:v>1.3717404379716029</c:v>
                </c:pt>
                <c:pt idx="1369">
                  <c:v>1.8559298390233359</c:v>
                </c:pt>
                <c:pt idx="1370">
                  <c:v>1.5823589414788577</c:v>
                </c:pt>
                <c:pt idx="1371">
                  <c:v>1.4867645653482588</c:v>
                </c:pt>
                <c:pt idx="1372">
                  <c:v>1.4168174608624546</c:v>
                </c:pt>
                <c:pt idx="1373">
                  <c:v>1.7121496798025166</c:v>
                </c:pt>
                <c:pt idx="1374">
                  <c:v>1.7214759604006236</c:v>
                </c:pt>
                <c:pt idx="1375">
                  <c:v>1.681839267858668</c:v>
                </c:pt>
                <c:pt idx="1376">
                  <c:v>1.3220002747816979</c:v>
                </c:pt>
                <c:pt idx="1377">
                  <c:v>1.3569738270245999</c:v>
                </c:pt>
                <c:pt idx="1378">
                  <c:v>1.5792501812794888</c:v>
                </c:pt>
                <c:pt idx="1379">
                  <c:v>1.6484200957154505</c:v>
                </c:pt>
                <c:pt idx="1380">
                  <c:v>1.7129268698523588</c:v>
                </c:pt>
                <c:pt idx="1381">
                  <c:v>1.5823589414788577</c:v>
                </c:pt>
                <c:pt idx="1382">
                  <c:v>1.8660333096712856</c:v>
                </c:pt>
                <c:pt idx="1383">
                  <c:v>1.3530878767753884</c:v>
                </c:pt>
                <c:pt idx="1384">
                  <c:v>1.3935017593671868</c:v>
                </c:pt>
                <c:pt idx="1385">
                  <c:v>1.351533496675704</c:v>
                </c:pt>
                <c:pt idx="1386">
                  <c:v>1.3243318449312247</c:v>
                </c:pt>
                <c:pt idx="1387">
                  <c:v>1.704377779304094</c:v>
                </c:pt>
                <c:pt idx="1388">
                  <c:v>2.7434808759432059</c:v>
                </c:pt>
                <c:pt idx="1389">
                  <c:v>1.5823589414788577</c:v>
                </c:pt>
                <c:pt idx="1390">
                  <c:v>1.3460931663268081</c:v>
                </c:pt>
                <c:pt idx="1391">
                  <c:v>1.3305493653299629</c:v>
                </c:pt>
                <c:pt idx="1392">
                  <c:v>1.611892163372864</c:v>
                </c:pt>
                <c:pt idx="1393">
                  <c:v>1.5955711723261763</c:v>
                </c:pt>
                <c:pt idx="1394">
                  <c:v>1.5302872081394256</c:v>
                </c:pt>
                <c:pt idx="1395">
                  <c:v>1.537281918588006</c:v>
                </c:pt>
                <c:pt idx="1396">
                  <c:v>1.5403906787873753</c:v>
                </c:pt>
                <c:pt idx="1397">
                  <c:v>1.6336534847684474</c:v>
                </c:pt>
                <c:pt idx="1398">
                  <c:v>1.8668104997211279</c:v>
                </c:pt>
                <c:pt idx="1399">
                  <c:v>1.6134465434725485</c:v>
                </c:pt>
                <c:pt idx="1400">
                  <c:v>1.4735523345009403</c:v>
                </c:pt>
                <c:pt idx="1401">
                  <c:v>1.5264012578902144</c:v>
                </c:pt>
                <c:pt idx="1402">
                  <c:v>1.8372772778271218</c:v>
                </c:pt>
                <c:pt idx="1403">
                  <c:v>2.623016418217655</c:v>
                </c:pt>
                <c:pt idx="1404">
                  <c:v>1.4292525016599309</c:v>
                </c:pt>
                <c:pt idx="1405">
                  <c:v>1.4362472121085113</c:v>
                </c:pt>
                <c:pt idx="1406">
                  <c:v>1.7230303405003082</c:v>
                </c:pt>
                <c:pt idx="1407">
                  <c:v>1.531064398189268</c:v>
                </c:pt>
                <c:pt idx="1408">
                  <c:v>1.4121543205634008</c:v>
                </c:pt>
                <c:pt idx="1409">
                  <c:v>1.5901308419772804</c:v>
                </c:pt>
                <c:pt idx="1410">
                  <c:v>1.7463460419955763</c:v>
                </c:pt>
                <c:pt idx="1411">
                  <c:v>1.6266587743198671</c:v>
                </c:pt>
                <c:pt idx="1412">
                  <c:v>1.4315840718094577</c:v>
                </c:pt>
                <c:pt idx="1413">
                  <c:v>1.5341731583886371</c:v>
                </c:pt>
                <c:pt idx="1414">
                  <c:v>1.62432720417034</c:v>
                </c:pt>
                <c:pt idx="1415">
                  <c:v>1.6025658827747566</c:v>
                </c:pt>
                <c:pt idx="1416">
                  <c:v>1.4370244021583536</c:v>
                </c:pt>
                <c:pt idx="1417">
                  <c:v>1.6017886927249143</c:v>
                </c:pt>
                <c:pt idx="1418">
                  <c:v>1.3600825872239692</c:v>
                </c:pt>
                <c:pt idx="1419">
                  <c:v>1.6779533176094568</c:v>
                </c:pt>
                <c:pt idx="1420">
                  <c:v>1.5162977872422649</c:v>
                </c:pt>
                <c:pt idx="1421">
                  <c:v>1.4805470449495206</c:v>
                </c:pt>
                <c:pt idx="1422">
                  <c:v>1.4999767961955774</c:v>
                </c:pt>
                <c:pt idx="1423">
                  <c:v>1.533395968338795</c:v>
                </c:pt>
                <c:pt idx="1424">
                  <c:v>1.559820430033432</c:v>
                </c:pt>
                <c:pt idx="1425">
                  <c:v>1.5248468777905297</c:v>
                </c:pt>
                <c:pt idx="1426">
                  <c:v>1.3896158091179753</c:v>
                </c:pt>
                <c:pt idx="1427">
                  <c:v>1.4230349812611929</c:v>
                </c:pt>
                <c:pt idx="1428">
                  <c:v>1.5808045613791732</c:v>
                </c:pt>
                <c:pt idx="1429">
                  <c:v>1.6181096837716022</c:v>
                </c:pt>
                <c:pt idx="1430">
                  <c:v>1.6041202628744411</c:v>
                </c:pt>
                <c:pt idx="1431">
                  <c:v>1.4797698548996785</c:v>
                </c:pt>
                <c:pt idx="1432">
                  <c:v>1.6251043942201826</c:v>
                </c:pt>
                <c:pt idx="1433">
                  <c:v>1.6826164579085103</c:v>
                </c:pt>
                <c:pt idx="1434">
                  <c:v>1.6282131544195515</c:v>
                </c:pt>
                <c:pt idx="1435">
                  <c:v>1.632099104668763</c:v>
                </c:pt>
                <c:pt idx="1436">
                  <c:v>1.609560593223337</c:v>
                </c:pt>
                <c:pt idx="1437">
                  <c:v>1.4440191126069339</c:v>
                </c:pt>
                <c:pt idx="1438">
                  <c:v>1.5341731583886371</c:v>
                </c:pt>
                <c:pt idx="1439">
                  <c:v>1.7214759604006236</c:v>
                </c:pt>
                <c:pt idx="1440">
                  <c:v>1.5388362986876909</c:v>
                </c:pt>
                <c:pt idx="1441">
                  <c:v>1.4447963026567763</c:v>
                </c:pt>
                <c:pt idx="1442">
                  <c:v>1.6017886927249143</c:v>
                </c:pt>
                <c:pt idx="1443">
                  <c:v>1.6328762947186053</c:v>
                </c:pt>
                <c:pt idx="1444">
                  <c:v>1.5194065474416341</c:v>
                </c:pt>
                <c:pt idx="1445">
                  <c:v>1.5497169593854825</c:v>
                </c:pt>
                <c:pt idx="1446">
                  <c:v>1.7261391006996774</c:v>
                </c:pt>
                <c:pt idx="1447">
                  <c:v>1.7463460419955763</c:v>
                </c:pt>
                <c:pt idx="1448">
                  <c:v>1.4494594429558298</c:v>
                </c:pt>
                <c:pt idx="1449">
                  <c:v>1.4424647325072495</c:v>
                </c:pt>
                <c:pt idx="1450">
                  <c:v>1.4945364658466815</c:v>
                </c:pt>
                <c:pt idx="1451">
                  <c:v>1.557488859883905</c:v>
                </c:pt>
                <c:pt idx="1452">
                  <c:v>1.4906505155974701</c:v>
                </c:pt>
                <c:pt idx="1453">
                  <c:v>1.6927199285564598</c:v>
                </c:pt>
                <c:pt idx="1454">
                  <c:v>1.3802895285198682</c:v>
                </c:pt>
                <c:pt idx="1455">
                  <c:v>1.4727751444510981</c:v>
                </c:pt>
                <c:pt idx="1456">
                  <c:v>1.8302825673785414</c:v>
                </c:pt>
                <c:pt idx="1457">
                  <c:v>1.4735523345009403</c:v>
                </c:pt>
                <c:pt idx="1458">
                  <c:v>1.3212230847318558</c:v>
                </c:pt>
                <c:pt idx="1459">
                  <c:v>1.4346928320088268</c:v>
                </c:pt>
                <c:pt idx="1460">
                  <c:v>1.6460885255659237</c:v>
                </c:pt>
                <c:pt idx="1461">
                  <c:v>1.7471232320454186</c:v>
                </c:pt>
                <c:pt idx="1462">
                  <c:v>1.5054171265444731</c:v>
                </c:pt>
                <c:pt idx="1463">
                  <c:v>1.6126693534227063</c:v>
                </c:pt>
                <c:pt idx="1464">
                  <c:v>1.5699239006813814</c:v>
                </c:pt>
                <c:pt idx="1465">
                  <c:v>1.5434994389867442</c:v>
                </c:pt>
                <c:pt idx="1466">
                  <c:v>1.4401331623577227</c:v>
                </c:pt>
                <c:pt idx="1467">
                  <c:v>1.5730326608807506</c:v>
                </c:pt>
                <c:pt idx="1468">
                  <c:v>1.5932396021766495</c:v>
                </c:pt>
                <c:pt idx="1469">
                  <c:v>1.6305447245690783</c:v>
                </c:pt>
                <c:pt idx="1470">
                  <c:v>1.5652607603823279</c:v>
                </c:pt>
                <c:pt idx="1471">
                  <c:v>1.388838619068133</c:v>
                </c:pt>
                <c:pt idx="1472">
                  <c:v>1.6157781136220752</c:v>
                </c:pt>
                <c:pt idx="1473">
                  <c:v>1.3600825872239692</c:v>
                </c:pt>
                <c:pt idx="1474">
                  <c:v>1.6150009235722329</c:v>
                </c:pt>
                <c:pt idx="1475">
                  <c:v>1.4486822529059877</c:v>
                </c:pt>
                <c:pt idx="1476">
                  <c:v>1.5061943165943155</c:v>
                </c:pt>
                <c:pt idx="1477">
                  <c:v>1.4525682031551987</c:v>
                </c:pt>
                <c:pt idx="1478">
                  <c:v>1.7245847205999929</c:v>
                </c:pt>
                <c:pt idx="1479">
                  <c:v>1.6157781136220752</c:v>
                </c:pt>
                <c:pt idx="1480">
                  <c:v>1.6561919962138731</c:v>
                </c:pt>
                <c:pt idx="1481">
                  <c:v>1.6554148061640308</c:v>
                </c:pt>
                <c:pt idx="1482">
                  <c:v>1.4230349812611929</c:v>
                </c:pt>
                <c:pt idx="1483">
                  <c:v>1.5504941494353246</c:v>
                </c:pt>
                <c:pt idx="1484">
                  <c:v>1.6313219146189208</c:v>
                </c:pt>
                <c:pt idx="1485">
                  <c:v>1.5613748101331164</c:v>
                </c:pt>
                <c:pt idx="1486">
                  <c:v>1.4393559723078804</c:v>
                </c:pt>
                <c:pt idx="1487">
                  <c:v>1.2893582926883227</c:v>
                </c:pt>
                <c:pt idx="1488">
                  <c:v>1.6313219146189208</c:v>
                </c:pt>
                <c:pt idx="1489">
                  <c:v>1.4160402708126123</c:v>
                </c:pt>
                <c:pt idx="1490">
                  <c:v>1.6196640638712867</c:v>
                </c:pt>
                <c:pt idx="1491">
                  <c:v>1.6390938151173433</c:v>
                </c:pt>
                <c:pt idx="1492">
                  <c:v>1.5326187782889527</c:v>
                </c:pt>
                <c:pt idx="1493">
                  <c:v>2.4613608878504625</c:v>
                </c:pt>
                <c:pt idx="1494">
                  <c:v>1.3243318449312247</c:v>
                </c:pt>
                <c:pt idx="1495">
                  <c:v>1.4556769633545681</c:v>
                </c:pt>
                <c:pt idx="1496">
                  <c:v>1.6662954668618228</c:v>
                </c:pt>
                <c:pt idx="1497">
                  <c:v>1.4284753116100888</c:v>
                </c:pt>
                <c:pt idx="1498">
                  <c:v>1.681839267858668</c:v>
                </c:pt>
                <c:pt idx="1499">
                  <c:v>1.5015311762952619</c:v>
                </c:pt>
                <c:pt idx="1500">
                  <c:v>1.3694088678220764</c:v>
                </c:pt>
                <c:pt idx="1501">
                  <c:v>1.4836558051488897</c:v>
                </c:pt>
                <c:pt idx="1502">
                  <c:v>1.3569738270245999</c:v>
                </c:pt>
                <c:pt idx="1503">
                  <c:v>2.2320898231469939</c:v>
                </c:pt>
                <c:pt idx="1504">
                  <c:v>1.5380591086378483</c:v>
                </c:pt>
                <c:pt idx="1505">
                  <c:v>1.4929820857469971</c:v>
                </c:pt>
                <c:pt idx="1506">
                  <c:v>1.6981602589053557</c:v>
                </c:pt>
                <c:pt idx="1507">
                  <c:v>1.3841754787690794</c:v>
                </c:pt>
                <c:pt idx="1508">
                  <c:v>1.5761414210801195</c:v>
                </c:pt>
                <c:pt idx="1509">
                  <c:v>1.5901308419772804</c:v>
                </c:pt>
                <c:pt idx="1510">
                  <c:v>1.2504987901962092</c:v>
                </c:pt>
                <c:pt idx="1511">
                  <c:v>1.5318415882391101</c:v>
                </c:pt>
                <c:pt idx="1512">
                  <c:v>1.5668151404820125</c:v>
                </c:pt>
                <c:pt idx="1513">
                  <c:v>1.353865066825231</c:v>
                </c:pt>
                <c:pt idx="1514">
                  <c:v>1.5116346469432111</c:v>
                </c:pt>
                <c:pt idx="1515">
                  <c:v>1.2442812697974712</c:v>
                </c:pt>
                <c:pt idx="1516">
                  <c:v>1.5730326608807506</c:v>
                </c:pt>
                <c:pt idx="1517">
                  <c:v>1.5388362986876909</c:v>
                </c:pt>
                <c:pt idx="1518">
                  <c:v>1.6787305076592991</c:v>
                </c:pt>
                <c:pt idx="1519">
                  <c:v>1.5497169593854825</c:v>
                </c:pt>
                <c:pt idx="1520">
                  <c:v>2.5686131147286959</c:v>
                </c:pt>
                <c:pt idx="1521">
                  <c:v>1.6686270370113494</c:v>
                </c:pt>
                <c:pt idx="1522">
                  <c:v>1.6686270370113494</c:v>
                </c:pt>
                <c:pt idx="1523">
                  <c:v>1.609560593223337</c:v>
                </c:pt>
                <c:pt idx="1524">
                  <c:v>1.8318369474782259</c:v>
                </c:pt>
                <c:pt idx="1525">
                  <c:v>1.4067139902145052</c:v>
                </c:pt>
                <c:pt idx="1526">
                  <c:v>3.9325816522018764</c:v>
                </c:pt>
                <c:pt idx="1527">
                  <c:v>1.5707010907312235</c:v>
                </c:pt>
                <c:pt idx="1528">
                  <c:v>1.6181096837716022</c:v>
                </c:pt>
                <c:pt idx="1529">
                  <c:v>1.9375347942567742</c:v>
                </c:pt>
                <c:pt idx="1530">
                  <c:v>1.8637017395217588</c:v>
                </c:pt>
                <c:pt idx="1531">
                  <c:v>1.1914323464081968</c:v>
                </c:pt>
                <c:pt idx="1532">
                  <c:v>1.7308022409987311</c:v>
                </c:pt>
                <c:pt idx="1533">
                  <c:v>1.6150009235722329</c:v>
                </c:pt>
                <c:pt idx="1534">
                  <c:v>1.5380591086378483</c:v>
                </c:pt>
                <c:pt idx="1535">
                  <c:v>1.522515307641003</c:v>
                </c:pt>
                <c:pt idx="1536">
                  <c:v>2.8398524421236475</c:v>
                </c:pt>
                <c:pt idx="1537">
                  <c:v>1.5302872081394256</c:v>
                </c:pt>
                <c:pt idx="1538">
                  <c:v>1.6756217474599298</c:v>
                </c:pt>
                <c:pt idx="1539">
                  <c:v>1.4712207643514132</c:v>
                </c:pt>
                <c:pt idx="1540">
                  <c:v>1.5652607603823279</c:v>
                </c:pt>
                <c:pt idx="1541">
                  <c:v>1.5318415882391101</c:v>
                </c:pt>
                <c:pt idx="1542">
                  <c:v>1.5792501812794888</c:v>
                </c:pt>
                <c:pt idx="1543">
                  <c:v>1.5621520001829587</c:v>
                </c:pt>
                <c:pt idx="1544">
                  <c:v>1.568369520581697</c:v>
                </c:pt>
                <c:pt idx="1545">
                  <c:v>1.6048974529242837</c:v>
                </c:pt>
                <c:pt idx="1546">
                  <c:v>1.4253665514107194</c:v>
                </c:pt>
                <c:pt idx="1547">
                  <c:v>1.5854677016782268</c:v>
                </c:pt>
                <c:pt idx="1548">
                  <c:v>1.4370244021583536</c:v>
                </c:pt>
                <c:pt idx="1549">
                  <c:v>1.4797698548996785</c:v>
                </c:pt>
                <c:pt idx="1550">
                  <c:v>1.4580085335040947</c:v>
                </c:pt>
                <c:pt idx="1551">
                  <c:v>1.4004964698157671</c:v>
                </c:pt>
                <c:pt idx="1552">
                  <c:v>1.4805470449495206</c:v>
                </c:pt>
                <c:pt idx="1553">
                  <c:v>1.4945364658466815</c:v>
                </c:pt>
                <c:pt idx="1554">
                  <c:v>1.3468703563766506</c:v>
                </c:pt>
                <c:pt idx="1555">
                  <c:v>1.5792501812794888</c:v>
                </c:pt>
                <c:pt idx="1556">
                  <c:v>1.4782154747999936</c:v>
                </c:pt>
                <c:pt idx="1557">
                  <c:v>1.6530832360145042</c:v>
                </c:pt>
                <c:pt idx="1558">
                  <c:v>1.5909080320271225</c:v>
                </c:pt>
                <c:pt idx="1559">
                  <c:v>1.3849526688189215</c:v>
                </c:pt>
                <c:pt idx="1560">
                  <c:v>1.4144858907129279</c:v>
                </c:pt>
                <c:pt idx="1561">
                  <c:v>1.6787305076592991</c:v>
                </c:pt>
                <c:pt idx="1562">
                  <c:v>1.5940167922264918</c:v>
                </c:pt>
                <c:pt idx="1563">
                  <c:v>1.438578782258038</c:v>
                </c:pt>
                <c:pt idx="1564">
                  <c:v>1.5776958011798039</c:v>
                </c:pt>
                <c:pt idx="1565">
                  <c:v>1.9592961156523576</c:v>
                </c:pt>
                <c:pt idx="1566">
                  <c:v>1.5030855563949463</c:v>
                </c:pt>
                <c:pt idx="1567">
                  <c:v>2.8577278132700195</c:v>
                </c:pt>
                <c:pt idx="1568">
                  <c:v>1.4370244021583536</c:v>
                </c:pt>
                <c:pt idx="1569">
                  <c:v>1.4976452260460504</c:v>
                </c:pt>
                <c:pt idx="1570">
                  <c:v>1.5380591086378483</c:v>
                </c:pt>
                <c:pt idx="1571">
                  <c:v>1.71681282010157</c:v>
                </c:pt>
                <c:pt idx="1572">
                  <c:v>1.6577463763135576</c:v>
                </c:pt>
                <c:pt idx="1573">
                  <c:v>1.4471278728063033</c:v>
                </c:pt>
                <c:pt idx="1574">
                  <c:v>1.3966105195665557</c:v>
                </c:pt>
                <c:pt idx="1575">
                  <c:v>1.4890961354977856</c:v>
                </c:pt>
                <c:pt idx="1576">
                  <c:v>1.5986799325255454</c:v>
                </c:pt>
                <c:pt idx="1577">
                  <c:v>1.5497169593854825</c:v>
                </c:pt>
                <c:pt idx="1578">
                  <c:v>1.4370244021583536</c:v>
                </c:pt>
                <c:pt idx="1579">
                  <c:v>1.4199262210618238</c:v>
                </c:pt>
                <c:pt idx="1580">
                  <c:v>1.3499791165760195</c:v>
                </c:pt>
                <c:pt idx="1581">
                  <c:v>1.4525682031551987</c:v>
                </c:pt>
                <c:pt idx="1582">
                  <c:v>1.458785723553937</c:v>
                </c:pt>
                <c:pt idx="1583">
                  <c:v>1.5240696877406876</c:v>
                </c:pt>
                <c:pt idx="1584">
                  <c:v>1.7137040599022011</c:v>
                </c:pt>
                <c:pt idx="1585">
                  <c:v>1.4548997733047258</c:v>
                </c:pt>
                <c:pt idx="1586">
                  <c:v>1.5178521673419494</c:v>
                </c:pt>
                <c:pt idx="1587">
                  <c:v>1.8598157892725473</c:v>
                </c:pt>
                <c:pt idx="1588">
                  <c:v>1.539613488737533</c:v>
                </c:pt>
                <c:pt idx="1589">
                  <c:v>1.4043824200649784</c:v>
                </c:pt>
                <c:pt idx="1590">
                  <c:v>1.4999767961955774</c:v>
                </c:pt>
                <c:pt idx="1591">
                  <c:v>1.3631913474233381</c:v>
                </c:pt>
                <c:pt idx="1592">
                  <c:v>1.4922048956971545</c:v>
                </c:pt>
                <c:pt idx="1593">
                  <c:v>1.4782154747999936</c:v>
                </c:pt>
                <c:pt idx="1594">
                  <c:v>1.5170749772921071</c:v>
                </c:pt>
                <c:pt idx="1595">
                  <c:v>1.5030855563949463</c:v>
                </c:pt>
                <c:pt idx="1596">
                  <c:v>1.4828786150990474</c:v>
                </c:pt>
                <c:pt idx="1597">
                  <c:v>1.5434994389867442</c:v>
                </c:pt>
                <c:pt idx="1598">
                  <c:v>1.7292478608990463</c:v>
                </c:pt>
                <c:pt idx="1599">
                  <c:v>2.2134372619507792</c:v>
                </c:pt>
                <c:pt idx="1600">
                  <c:v>1.4945364658466815</c:v>
                </c:pt>
                <c:pt idx="1601">
                  <c:v>1.5139662170927382</c:v>
                </c:pt>
                <c:pt idx="1602">
                  <c:v>1.2979073832365875</c:v>
                </c:pt>
                <c:pt idx="1603">
                  <c:v>1.5170749772921071</c:v>
                </c:pt>
                <c:pt idx="1604">
                  <c:v>1.8411632280763328</c:v>
                </c:pt>
                <c:pt idx="1605">
                  <c:v>1.5792501812794888</c:v>
                </c:pt>
                <c:pt idx="1606">
                  <c:v>1.6833936479583524</c:v>
                </c:pt>
                <c:pt idx="1607">
                  <c:v>1.3841754787690794</c:v>
                </c:pt>
                <c:pt idx="1608">
                  <c:v>1.3911701892176598</c:v>
                </c:pt>
                <c:pt idx="1609">
                  <c:v>1.279254822040373</c:v>
                </c:pt>
                <c:pt idx="1610">
                  <c:v>1.5085258867438422</c:v>
                </c:pt>
                <c:pt idx="1611">
                  <c:v>1.7735476937400556</c:v>
                </c:pt>
                <c:pt idx="1612">
                  <c:v>1.806189675833431</c:v>
                </c:pt>
                <c:pt idx="1613">
                  <c:v>1.3865070489186062</c:v>
                </c:pt>
                <c:pt idx="1614">
                  <c:v>1.6087834031734949</c:v>
                </c:pt>
                <c:pt idx="1615">
                  <c:v>1.388838619068133</c:v>
                </c:pt>
                <c:pt idx="1616">
                  <c:v>1.5986799325255454</c:v>
                </c:pt>
                <c:pt idx="1617">
                  <c:v>1.4401331623577227</c:v>
                </c:pt>
                <c:pt idx="1618">
                  <c:v>1.4245893613608773</c:v>
                </c:pt>
                <c:pt idx="1619">
                  <c:v>1.7634442230921061</c:v>
                </c:pt>
                <c:pt idx="1620">
                  <c:v>1.5318415882391101</c:v>
                </c:pt>
                <c:pt idx="1621">
                  <c:v>1.2124164777539381</c:v>
                </c:pt>
                <c:pt idx="1622">
                  <c:v>1.4517910131053566</c:v>
                </c:pt>
                <c:pt idx="1623">
                  <c:v>1.403605230015136</c:v>
                </c:pt>
                <c:pt idx="1624">
                  <c:v>1.6181096837716022</c:v>
                </c:pt>
                <c:pt idx="1625">
                  <c:v>1.4207034111116661</c:v>
                </c:pt>
                <c:pt idx="1626">
                  <c:v>1.3935017593671868</c:v>
                </c:pt>
                <c:pt idx="1627">
                  <c:v>1.7393513315469959</c:v>
                </c:pt>
                <c:pt idx="1628">
                  <c:v>1.37407200812113</c:v>
                </c:pt>
                <c:pt idx="1629">
                  <c:v>1.5116346469432111</c:v>
                </c:pt>
                <c:pt idx="1630">
                  <c:v>1.795309015135639</c:v>
                </c:pt>
                <c:pt idx="1631">
                  <c:v>1.4479050628561454</c:v>
                </c:pt>
                <c:pt idx="1632">
                  <c:v>1.548162579285798</c:v>
                </c:pt>
                <c:pt idx="1633">
                  <c:v>1.6958286887558287</c:v>
                </c:pt>
                <c:pt idx="1634">
                  <c:v>1.6367622449678163</c:v>
                </c:pt>
                <c:pt idx="1635">
                  <c:v>1.3756263882208144</c:v>
                </c:pt>
                <c:pt idx="1636">
                  <c:v>1.2955758130870609</c:v>
                </c:pt>
                <c:pt idx="1637">
                  <c:v>1.4479050628561454</c:v>
                </c:pt>
                <c:pt idx="1638">
                  <c:v>1.5839133215785421</c:v>
                </c:pt>
                <c:pt idx="1639">
                  <c:v>1.5217381175911608</c:v>
                </c:pt>
                <c:pt idx="1640">
                  <c:v>1.4813242349993629</c:v>
                </c:pt>
                <c:pt idx="1641">
                  <c:v>1.6196640638712867</c:v>
                </c:pt>
                <c:pt idx="1642">
                  <c:v>1.5605976200832743</c:v>
                </c:pt>
                <c:pt idx="1643">
                  <c:v>1.1992042469066195</c:v>
                </c:pt>
                <c:pt idx="1644">
                  <c:v>1.6577463763135576</c:v>
                </c:pt>
                <c:pt idx="1645">
                  <c:v>2.2142144520006219</c:v>
                </c:pt>
                <c:pt idx="1646">
                  <c:v>1.6064518330239681</c:v>
                </c:pt>
                <c:pt idx="1647">
                  <c:v>1.7929774449861124</c:v>
                </c:pt>
                <c:pt idx="1648">
                  <c:v>1.5186293573917917</c:v>
                </c:pt>
                <c:pt idx="1649">
                  <c:v>1.3507563066258619</c:v>
                </c:pt>
                <c:pt idx="1650">
                  <c:v>1.4160402708126123</c:v>
                </c:pt>
                <c:pt idx="1651">
                  <c:v>1.275368871791162</c:v>
                </c:pt>
                <c:pt idx="1652">
                  <c:v>1.5660379504321702</c:v>
                </c:pt>
                <c:pt idx="1653">
                  <c:v>1.3507563066258619</c:v>
                </c:pt>
                <c:pt idx="1654">
                  <c:v>1.3903929991678174</c:v>
                </c:pt>
                <c:pt idx="1655">
                  <c:v>1.3297721752801206</c:v>
                </c:pt>
                <c:pt idx="1656">
                  <c:v>1.3748491981709723</c:v>
                </c:pt>
                <c:pt idx="1657">
                  <c:v>1.5994571225753877</c:v>
                </c:pt>
                <c:pt idx="1658">
                  <c:v>1.5559344797842205</c:v>
                </c:pt>
                <c:pt idx="1659">
                  <c:v>1.4168174608624546</c:v>
                </c:pt>
                <c:pt idx="1660">
                  <c:v>1.4471278728063033</c:v>
                </c:pt>
                <c:pt idx="1661">
                  <c:v>1.5287328280397412</c:v>
                </c:pt>
                <c:pt idx="1662">
                  <c:v>1.3903929991678174</c:v>
                </c:pt>
                <c:pt idx="1663">
                  <c:v>1.5162977872422649</c:v>
                </c:pt>
                <c:pt idx="1664">
                  <c:v>1.4704435743015711</c:v>
                </c:pt>
                <c:pt idx="1665">
                  <c:v>1.5885764618775959</c:v>
                </c:pt>
                <c:pt idx="1666">
                  <c:v>1.4183718409621391</c:v>
                </c:pt>
                <c:pt idx="1667">
                  <c:v>1.8357228977274369</c:v>
                </c:pt>
                <c:pt idx="1668">
                  <c:v>1.4199262210618238</c:v>
                </c:pt>
                <c:pt idx="1669">
                  <c:v>1.6795076977091412</c:v>
                </c:pt>
                <c:pt idx="1670">
                  <c:v>1.5722554708309084</c:v>
                </c:pt>
                <c:pt idx="1671">
                  <c:v>1.496090845946366</c:v>
                </c:pt>
                <c:pt idx="1672">
                  <c:v>1.4510138230555143</c:v>
                </c:pt>
                <c:pt idx="1673">
                  <c:v>1.6305447245690783</c:v>
                </c:pt>
                <c:pt idx="1674">
                  <c:v>1.3818439086195526</c:v>
                </c:pt>
                <c:pt idx="1675">
                  <c:v>1.5637063802826432</c:v>
                </c:pt>
                <c:pt idx="1676">
                  <c:v>1.5434994389867442</c:v>
                </c:pt>
                <c:pt idx="1677">
                  <c:v>1.4160402708126123</c:v>
                </c:pt>
                <c:pt idx="1678">
                  <c:v>1.3289949852302785</c:v>
                </c:pt>
                <c:pt idx="1679">
                  <c:v>1.603343072824599</c:v>
                </c:pt>
                <c:pt idx="1680">
                  <c:v>1.7377969514473115</c:v>
                </c:pt>
                <c:pt idx="1681">
                  <c:v>1.3631913474233381</c:v>
                </c:pt>
                <c:pt idx="1682">
                  <c:v>1.366300107622707</c:v>
                </c:pt>
                <c:pt idx="1683">
                  <c:v>1.3561966369747578</c:v>
                </c:pt>
                <c:pt idx="1684">
                  <c:v>1.4292525016599309</c:v>
                </c:pt>
                <c:pt idx="1685">
                  <c:v>1.698937448955198</c:v>
                </c:pt>
                <c:pt idx="1686">
                  <c:v>1.5637063802826432</c:v>
                </c:pt>
                <c:pt idx="1687">
                  <c:v>1.6499744758151349</c:v>
                </c:pt>
                <c:pt idx="1688">
                  <c:v>1.6849480280580371</c:v>
                </c:pt>
                <c:pt idx="1689">
                  <c:v>1.7074865395034629</c:v>
                </c:pt>
                <c:pt idx="1690">
                  <c:v>1.4028280399652937</c:v>
                </c:pt>
                <c:pt idx="1691">
                  <c:v>1.5590432399835898</c:v>
                </c:pt>
                <c:pt idx="1692">
                  <c:v>1.5038627464447887</c:v>
                </c:pt>
                <c:pt idx="1693">
                  <c:v>1.4626716738031484</c:v>
                </c:pt>
                <c:pt idx="1694">
                  <c:v>1.3935017593671868</c:v>
                </c:pt>
                <c:pt idx="1695">
                  <c:v>1.3903929991678174</c:v>
                </c:pt>
                <c:pt idx="1696">
                  <c:v>1.4028280399652937</c:v>
                </c:pt>
                <c:pt idx="1697">
                  <c:v>1.368631677772234</c:v>
                </c:pt>
                <c:pt idx="1698">
                  <c:v>1.368631677772234</c:v>
                </c:pt>
                <c:pt idx="1699">
                  <c:v>1.5139662170927382</c:v>
                </c:pt>
                <c:pt idx="1700">
                  <c:v>1.4447963026567763</c:v>
                </c:pt>
                <c:pt idx="1701">
                  <c:v>1.6662954668618228</c:v>
                </c:pt>
                <c:pt idx="1702">
                  <c:v>1.574587040980435</c:v>
                </c:pt>
                <c:pt idx="1703">
                  <c:v>1.440910352407565</c:v>
                </c:pt>
                <c:pt idx="1704">
                  <c:v>1.5870220817779115</c:v>
                </c:pt>
                <c:pt idx="1705">
                  <c:v>1.5069715066441578</c:v>
                </c:pt>
                <c:pt idx="1706">
                  <c:v>1.7409057116466804</c:v>
                </c:pt>
                <c:pt idx="1707">
                  <c:v>1.3989420897160825</c:v>
                </c:pt>
                <c:pt idx="1708">
                  <c:v>1.4191490310119814</c:v>
                </c:pt>
                <c:pt idx="1709">
                  <c:v>1.5660379504321702</c:v>
                </c:pt>
                <c:pt idx="1710">
                  <c:v>1.5536029096346939</c:v>
                </c:pt>
                <c:pt idx="1711">
                  <c:v>1.4393559723078804</c:v>
                </c:pt>
                <c:pt idx="1712">
                  <c:v>1.3857298588687639</c:v>
                </c:pt>
                <c:pt idx="1713">
                  <c:v>1.6157781136220752</c:v>
                </c:pt>
                <c:pt idx="1714">
                  <c:v>1.6997146390050402</c:v>
                </c:pt>
                <c:pt idx="1715">
                  <c:v>1.5264012578902144</c:v>
                </c:pt>
                <c:pt idx="1716">
                  <c:v>1.5644835703324855</c:v>
                </c:pt>
                <c:pt idx="1717">
                  <c:v>1.5365047285381639</c:v>
                </c:pt>
                <c:pt idx="1718">
                  <c:v>1.4479050628561454</c:v>
                </c:pt>
                <c:pt idx="1719">
                  <c:v>1.6662954668618228</c:v>
                </c:pt>
                <c:pt idx="1720">
                  <c:v>1.5473853892359557</c:v>
                </c:pt>
                <c:pt idx="1721">
                  <c:v>1.5629291902328011</c:v>
                </c:pt>
                <c:pt idx="1722">
                  <c:v>1.3523106867255463</c:v>
                </c:pt>
                <c:pt idx="1723">
                  <c:v>1.3243318449312247</c:v>
                </c:pt>
                <c:pt idx="1724">
                  <c:v>1.3701860578719185</c:v>
                </c:pt>
                <c:pt idx="1725">
                  <c:v>1.5792501812794888</c:v>
                </c:pt>
                <c:pt idx="1726">
                  <c:v>1.4463506827564609</c:v>
                </c:pt>
                <c:pt idx="1727">
                  <c:v>1.4883189454479433</c:v>
                </c:pt>
                <c:pt idx="1728">
                  <c:v>1.5823589414788577</c:v>
                </c:pt>
                <c:pt idx="1729">
                  <c:v>1.5093030767936846</c:v>
                </c:pt>
                <c:pt idx="1730">
                  <c:v>1.5621520001829587</c:v>
                </c:pt>
                <c:pt idx="1731">
                  <c:v>1.6056746429741258</c:v>
                </c:pt>
                <c:pt idx="1732">
                  <c:v>1.8489351285747555</c:v>
                </c:pt>
                <c:pt idx="1733">
                  <c:v>2.2833843664365836</c:v>
                </c:pt>
                <c:pt idx="1734">
                  <c:v>1.5341731583886371</c:v>
                </c:pt>
                <c:pt idx="1735">
                  <c:v>1.3973877096163978</c:v>
                </c:pt>
                <c:pt idx="1736">
                  <c:v>1.3989420897160825</c:v>
                </c:pt>
                <c:pt idx="1737">
                  <c:v>1.4906505155974701</c:v>
                </c:pt>
                <c:pt idx="1738">
                  <c:v>1.4370244021583536</c:v>
                </c:pt>
                <c:pt idx="1739">
                  <c:v>1.5870220817779115</c:v>
                </c:pt>
                <c:pt idx="1740">
                  <c:v>1.4191490310119814</c:v>
                </c:pt>
                <c:pt idx="1741">
                  <c:v>1.7067093494536207</c:v>
                </c:pt>
                <c:pt idx="1742">
                  <c:v>1.4012736598656093</c:v>
                </c:pt>
                <c:pt idx="1743">
                  <c:v>1.4953136558965237</c:v>
                </c:pt>
                <c:pt idx="1744">
                  <c:v>1.4199262210618238</c:v>
                </c:pt>
                <c:pt idx="1745">
                  <c:v>1.4968680359962081</c:v>
                </c:pt>
                <c:pt idx="1746">
                  <c:v>1.4533453932050413</c:v>
                </c:pt>
                <c:pt idx="1747">
                  <c:v>1.4447963026567763</c:v>
                </c:pt>
                <c:pt idx="1748">
                  <c:v>1.3880614290182909</c:v>
                </c:pt>
                <c:pt idx="1749">
                  <c:v>1.4346928320088268</c:v>
                </c:pt>
                <c:pt idx="1750">
                  <c:v>1.6313219146189208</c:v>
                </c:pt>
                <c:pt idx="1751">
                  <c:v>1.4681120041520443</c:v>
                </c:pt>
                <c:pt idx="1752">
                  <c:v>1.1525728439160834</c:v>
                </c:pt>
                <c:pt idx="1753">
                  <c:v>1.3429844061274392</c:v>
                </c:pt>
                <c:pt idx="1754">
                  <c:v>1.5699239006813814</c:v>
                </c:pt>
                <c:pt idx="1755">
                  <c:v>1.5629291902328011</c:v>
                </c:pt>
                <c:pt idx="1756">
                  <c:v>1.4774382847501515</c:v>
                </c:pt>
                <c:pt idx="1757">
                  <c:v>1.4976452260460504</c:v>
                </c:pt>
                <c:pt idx="1758">
                  <c:v>1.3919473792675019</c:v>
                </c:pt>
                <c:pt idx="1759">
                  <c:v>1.533395968338795</c:v>
                </c:pt>
                <c:pt idx="1760">
                  <c:v>1.4222577912113505</c:v>
                </c:pt>
                <c:pt idx="1761">
                  <c:v>1.3484247364763351</c:v>
                </c:pt>
                <c:pt idx="1762">
                  <c:v>1.4937592757968392</c:v>
                </c:pt>
                <c:pt idx="1763">
                  <c:v>1.5357275384883216</c:v>
                </c:pt>
                <c:pt idx="1764">
                  <c:v>1.7222531504504659</c:v>
                </c:pt>
                <c:pt idx="1765">
                  <c:v>1.3390984558782277</c:v>
                </c:pt>
                <c:pt idx="1766">
                  <c:v>1.6406481952170278</c:v>
                </c:pt>
                <c:pt idx="1767">
                  <c:v>1.4424647325072495</c:v>
                </c:pt>
                <c:pt idx="1768">
                  <c:v>1.522515307641003</c:v>
                </c:pt>
                <c:pt idx="1769">
                  <c:v>1.6437569554163969</c:v>
                </c:pt>
                <c:pt idx="1770">
                  <c:v>1.3655229175728649</c:v>
                </c:pt>
                <c:pt idx="1771">
                  <c:v>1.4782154747999936</c:v>
                </c:pt>
                <c:pt idx="1772">
                  <c:v>1.2940214329873765</c:v>
                </c:pt>
                <c:pt idx="1773">
                  <c:v>1.6748445574100876</c:v>
                </c:pt>
                <c:pt idx="1774">
                  <c:v>1.6375394350176586</c:v>
                </c:pt>
                <c:pt idx="1775">
                  <c:v>1.7782108340391094</c:v>
                </c:pt>
                <c:pt idx="1776">
                  <c:v>1.6826164579085103</c:v>
                </c:pt>
                <c:pt idx="1777">
                  <c:v>1.5473853892359557</c:v>
                </c:pt>
                <c:pt idx="1778">
                  <c:v>1.4805470449495206</c:v>
                </c:pt>
                <c:pt idx="1779">
                  <c:v>1.4230349812611929</c:v>
                </c:pt>
                <c:pt idx="1780">
                  <c:v>1.4548997733047258</c:v>
                </c:pt>
                <c:pt idx="1781">
                  <c:v>1.2660425911930546</c:v>
                </c:pt>
                <c:pt idx="1782">
                  <c:v>1.513189027042896</c:v>
                </c:pt>
                <c:pt idx="1783">
                  <c:v>1.815515956431538</c:v>
                </c:pt>
                <c:pt idx="1784">
                  <c:v>1.557488859883905</c:v>
                </c:pt>
                <c:pt idx="1785">
                  <c:v>1.3950561394668712</c:v>
                </c:pt>
                <c:pt idx="1786">
                  <c:v>1.4253665514107194</c:v>
                </c:pt>
                <c:pt idx="1787">
                  <c:v>1.539613488737533</c:v>
                </c:pt>
                <c:pt idx="1788">
                  <c:v>1.4789926648498359</c:v>
                </c:pt>
                <c:pt idx="1789">
                  <c:v>1.661632326562769</c:v>
                </c:pt>
                <c:pt idx="1790">
                  <c:v>1.4183718409621391</c:v>
                </c:pt>
                <c:pt idx="1791">
                  <c:v>1.4253665514107194</c:v>
                </c:pt>
                <c:pt idx="1792">
                  <c:v>1.533395968338795</c:v>
                </c:pt>
                <c:pt idx="1793">
                  <c:v>1.4416875424574072</c:v>
                </c:pt>
                <c:pt idx="1794">
                  <c:v>1.533395968338795</c:v>
                </c:pt>
                <c:pt idx="1795">
                  <c:v>1.7751020738397401</c:v>
                </c:pt>
                <c:pt idx="1796">
                  <c:v>1.3336581255293321</c:v>
                </c:pt>
                <c:pt idx="1797">
                  <c:v>2.079760573377909</c:v>
                </c:pt>
                <c:pt idx="1798">
                  <c:v>1.3429844061274392</c:v>
                </c:pt>
                <c:pt idx="1799">
                  <c:v>1.8333913275779103</c:v>
                </c:pt>
                <c:pt idx="1800">
                  <c:v>1.7121496798025166</c:v>
                </c:pt>
                <c:pt idx="1801">
                  <c:v>1.3010161434359568</c:v>
                </c:pt>
                <c:pt idx="1802">
                  <c:v>1.5699239006813814</c:v>
                </c:pt>
                <c:pt idx="1803">
                  <c:v>1.6390938151173433</c:v>
                </c:pt>
                <c:pt idx="1804">
                  <c:v>1.7230303405003082</c:v>
                </c:pt>
                <c:pt idx="1805">
                  <c:v>1.4175946509122967</c:v>
                </c:pt>
                <c:pt idx="1806">
                  <c:v>1.4618944837533061</c:v>
                </c:pt>
                <c:pt idx="1807">
                  <c:v>1.7339110011981</c:v>
                </c:pt>
                <c:pt idx="1808">
                  <c:v>1.4743295245507826</c:v>
                </c:pt>
                <c:pt idx="1809">
                  <c:v>1.7727705036902135</c:v>
                </c:pt>
                <c:pt idx="1810">
                  <c:v>1.366300107622707</c:v>
                </c:pt>
                <c:pt idx="1811">
                  <c:v>1.5644835703324855</c:v>
                </c:pt>
                <c:pt idx="1812">
                  <c:v>1.5388362986876909</c:v>
                </c:pt>
                <c:pt idx="1813">
                  <c:v>1.6561919962138731</c:v>
                </c:pt>
                <c:pt idx="1814">
                  <c:v>1.7665529832914753</c:v>
                </c:pt>
                <c:pt idx="1815">
                  <c:v>1.4883189454479433</c:v>
                </c:pt>
                <c:pt idx="1816">
                  <c:v>1.6297675345192359</c:v>
                </c:pt>
                <c:pt idx="1817">
                  <c:v>1.7836511643880053</c:v>
                </c:pt>
                <c:pt idx="1818">
                  <c:v>1.7704389335406867</c:v>
                </c:pt>
                <c:pt idx="1819">
                  <c:v>1.6725129872605609</c:v>
                </c:pt>
                <c:pt idx="1820">
                  <c:v>1.7331338111482577</c:v>
                </c:pt>
                <c:pt idx="1821">
                  <c:v>1.9017840519640299</c:v>
                </c:pt>
                <c:pt idx="1822">
                  <c:v>1.6398710051671856</c:v>
                </c:pt>
                <c:pt idx="1823">
                  <c:v>1.6484200957154505</c:v>
                </c:pt>
                <c:pt idx="1824">
                  <c:v>1.8147387663816958</c:v>
                </c:pt>
                <c:pt idx="1825">
                  <c:v>1.9927152877955752</c:v>
                </c:pt>
                <c:pt idx="1826">
                  <c:v>1.8637017395217588</c:v>
                </c:pt>
                <c:pt idx="1827">
                  <c:v>2.5756078251772765</c:v>
                </c:pt>
                <c:pt idx="1828">
                  <c:v>1.8318369474782259</c:v>
                </c:pt>
                <c:pt idx="1829">
                  <c:v>1.8598157892725473</c:v>
                </c:pt>
                <c:pt idx="1830">
                  <c:v>1.771216123590529</c:v>
                </c:pt>
                <c:pt idx="1831">
                  <c:v>1.7292478608990463</c:v>
                </c:pt>
                <c:pt idx="1832">
                  <c:v>1.9111103325621372</c:v>
                </c:pt>
                <c:pt idx="1833">
                  <c:v>1.6624095166126114</c:v>
                </c:pt>
                <c:pt idx="1834">
                  <c:v>1.7440144718460495</c:v>
                </c:pt>
                <c:pt idx="1835">
                  <c:v>1.9468610748548814</c:v>
                </c:pt>
                <c:pt idx="1836">
                  <c:v>1.8504895086744404</c:v>
                </c:pt>
                <c:pt idx="1837">
                  <c:v>1.8722508300700238</c:v>
                </c:pt>
                <c:pt idx="1838">
                  <c:v>1.86758768977097</c:v>
                </c:pt>
                <c:pt idx="1839">
                  <c:v>1.7331338111482577</c:v>
                </c:pt>
                <c:pt idx="1840">
                  <c:v>1.8769139703690774</c:v>
                </c:pt>
                <c:pt idx="1841">
                  <c:v>1.9911609076958907</c:v>
                </c:pt>
                <c:pt idx="1842">
                  <c:v>1.9966012380447866</c:v>
                </c:pt>
                <c:pt idx="1843">
                  <c:v>1.9142190927615061</c:v>
                </c:pt>
                <c:pt idx="1844">
                  <c:v>1.9320944639078783</c:v>
                </c:pt>
                <c:pt idx="1845">
                  <c:v>1.9779486768485721</c:v>
                </c:pt>
                <c:pt idx="1846">
                  <c:v>1.9476382649047237</c:v>
                </c:pt>
                <c:pt idx="1847">
                  <c:v>2.1248375962687609</c:v>
                </c:pt>
                <c:pt idx="1848">
                  <c:v>1.9880521474965216</c:v>
                </c:pt>
                <c:pt idx="1849">
                  <c:v>2.1458217276145022</c:v>
                </c:pt>
                <c:pt idx="1850">
                  <c:v>1.8846858708675001</c:v>
                </c:pt>
                <c:pt idx="1851">
                  <c:v>2.2569599047419464</c:v>
                </c:pt>
                <c:pt idx="1852">
                  <c:v>2.2942650271343754</c:v>
                </c:pt>
                <c:pt idx="1853">
                  <c:v>1.8955665315652916</c:v>
                </c:pt>
                <c:pt idx="1854">
                  <c:v>2.2748352758883188</c:v>
                </c:pt>
                <c:pt idx="1855">
                  <c:v>2.0160309892908432</c:v>
                </c:pt>
                <c:pt idx="1856">
                  <c:v>2.3121403982807474</c:v>
                </c:pt>
                <c:pt idx="1857">
                  <c:v>2.3517770908227029</c:v>
                </c:pt>
                <c:pt idx="1858">
                  <c:v>2.3105860181810627</c:v>
                </c:pt>
                <c:pt idx="1859">
                  <c:v>2.194007510704723</c:v>
                </c:pt>
                <c:pt idx="1860">
                  <c:v>2.3774243624674978</c:v>
                </c:pt>
                <c:pt idx="1861">
                  <c:v>2.4419311366044059</c:v>
                </c:pt>
                <c:pt idx="1862">
                  <c:v>2.311363208230905</c:v>
                </c:pt>
                <c:pt idx="1863">
                  <c:v>2.0579992519823258</c:v>
                </c:pt>
                <c:pt idx="1864">
                  <c:v>2.3517770908227029</c:v>
                </c:pt>
                <c:pt idx="1865">
                  <c:v>2.2095513117015679</c:v>
                </c:pt>
                <c:pt idx="1866">
                  <c:v>2.0300204101880044</c:v>
                </c:pt>
                <c:pt idx="1867">
                  <c:v>2.3875278331154473</c:v>
                </c:pt>
                <c:pt idx="1868">
                  <c:v>2.2429704838447857</c:v>
                </c:pt>
                <c:pt idx="1869">
                  <c:v>2.9370011983539306</c:v>
                </c:pt>
                <c:pt idx="1870">
                  <c:v>2.5561780739312199</c:v>
                </c:pt>
                <c:pt idx="1871">
                  <c:v>2.3634349415703371</c:v>
                </c:pt>
                <c:pt idx="1872">
                  <c:v>2.8973645058119755</c:v>
                </c:pt>
                <c:pt idx="1873">
                  <c:v>2.6805284819059825</c:v>
                </c:pt>
                <c:pt idx="1874">
                  <c:v>2.7193879843980957</c:v>
                </c:pt>
                <c:pt idx="1875">
                  <c:v>2.515764191339422</c:v>
                </c:pt>
                <c:pt idx="1876">
                  <c:v>2.6121357575198632</c:v>
                </c:pt>
                <c:pt idx="1877">
                  <c:v>2.9727519406466754</c:v>
                </c:pt>
                <c:pt idx="1878">
                  <c:v>2.8639453336687577</c:v>
                </c:pt>
                <c:pt idx="1879">
                  <c:v>3.1103145794687568</c:v>
                </c:pt>
                <c:pt idx="1880">
                  <c:v>2.9704203704971484</c:v>
                </c:pt>
                <c:pt idx="1881">
                  <c:v>3.7786980223331068</c:v>
                </c:pt>
                <c:pt idx="1882">
                  <c:v>2.9867413615438361</c:v>
                </c:pt>
                <c:pt idx="1883">
                  <c:v>3.0434762351823217</c:v>
                </c:pt>
                <c:pt idx="1884">
                  <c:v>3.2035773854498286</c:v>
                </c:pt>
                <c:pt idx="1885">
                  <c:v>3.2035773854498286</c:v>
                </c:pt>
                <c:pt idx="1886">
                  <c:v>3.114200529717968</c:v>
                </c:pt>
                <c:pt idx="1887">
                  <c:v>3.184147634203772</c:v>
                </c:pt>
                <c:pt idx="1888">
                  <c:v>3.2230071366958857</c:v>
                </c:pt>
                <c:pt idx="1889">
                  <c:v>3.2991717615804279</c:v>
                </c:pt>
                <c:pt idx="1890">
                  <c:v>3.1794844939047189</c:v>
                </c:pt>
                <c:pt idx="1891">
                  <c:v>2.8110964102794838</c:v>
                </c:pt>
                <c:pt idx="1892">
                  <c:v>3.0963251585715961</c:v>
                </c:pt>
                <c:pt idx="1893">
                  <c:v>4.7929310373772669</c:v>
                </c:pt>
                <c:pt idx="1894">
                  <c:v>2.852287482921124</c:v>
                </c:pt>
                <c:pt idx="1895">
                  <c:v>3.097102348621438</c:v>
                </c:pt>
                <c:pt idx="1896">
                  <c:v>2.9960676421419432</c:v>
                </c:pt>
                <c:pt idx="1897">
                  <c:v>3.3271506033747493</c:v>
                </c:pt>
                <c:pt idx="1898">
                  <c:v>3.5393234869816883</c:v>
                </c:pt>
                <c:pt idx="1899">
                  <c:v>3.5517585277791648</c:v>
                </c:pt>
                <c:pt idx="1900">
                  <c:v>3.3092752322283774</c:v>
                </c:pt>
                <c:pt idx="1901">
                  <c:v>3.1748213536056649</c:v>
                </c:pt>
                <c:pt idx="1902">
                  <c:v>3.5898408402214361</c:v>
                </c:pt>
                <c:pt idx="1903">
                  <c:v>3.4064239884586609</c:v>
                </c:pt>
                <c:pt idx="1904">
                  <c:v>3.6364722432119718</c:v>
                </c:pt>
                <c:pt idx="1905">
                  <c:v>3.6123793516668621</c:v>
                </c:pt>
                <c:pt idx="1906">
                  <c:v>3.9761042949930432</c:v>
                </c:pt>
                <c:pt idx="1907">
                  <c:v>3.7685945516851578</c:v>
                </c:pt>
                <c:pt idx="1908">
                  <c:v>4.2714365139331054</c:v>
                </c:pt>
                <c:pt idx="1909">
                  <c:v>4.0911284223696986</c:v>
                </c:pt>
                <c:pt idx="1910">
                  <c:v>4.7004454214460374</c:v>
                </c:pt>
                <c:pt idx="1911">
                  <c:v>4.4260973338517164</c:v>
                </c:pt>
                <c:pt idx="1912">
                  <c:v>4.9841197896384655</c:v>
                </c:pt>
                <c:pt idx="1913">
                  <c:v>4.5286864204308959</c:v>
                </c:pt>
                <c:pt idx="1914">
                  <c:v>4.9336024363987168</c:v>
                </c:pt>
                <c:pt idx="1915">
                  <c:v>5.1947382931457193</c:v>
                </c:pt>
                <c:pt idx="1916">
                  <c:v>4.7517399647356271</c:v>
                </c:pt>
                <c:pt idx="1917">
                  <c:v>5.2351521757375181</c:v>
                </c:pt>
                <c:pt idx="1918">
                  <c:v>5.2786748185286845</c:v>
                </c:pt>
                <c:pt idx="1919">
                  <c:v>5.9664880126390925</c:v>
                </c:pt>
                <c:pt idx="1920">
                  <c:v>5.6128665399608604</c:v>
                </c:pt>
                <c:pt idx="1921">
                  <c:v>5.1030298672643317</c:v>
                </c:pt>
                <c:pt idx="1922">
                  <c:v>6.178660896246031</c:v>
                </c:pt>
                <c:pt idx="1923">
                  <c:v>6.0123422255797854</c:v>
                </c:pt>
                <c:pt idx="1924">
                  <c:v>5.8755567768075467</c:v>
                </c:pt>
                <c:pt idx="1925">
                  <c:v>6.0115650355299435</c:v>
                </c:pt>
                <c:pt idx="1926">
                  <c:v>6.826837397814483</c:v>
                </c:pt>
                <c:pt idx="1927">
                  <c:v>7.3335653103116414</c:v>
                </c:pt>
                <c:pt idx="1928">
                  <c:v>6.5089666674289948</c:v>
                </c:pt>
                <c:pt idx="1929">
                  <c:v>6.8159567371166911</c:v>
                </c:pt>
                <c:pt idx="1930">
                  <c:v>8.4822522039785131</c:v>
                </c:pt>
                <c:pt idx="1931">
                  <c:v>6.4149266713980806</c:v>
                </c:pt>
                <c:pt idx="1932">
                  <c:v>7.7159428148340368</c:v>
                </c:pt>
                <c:pt idx="1933">
                  <c:v>8.7628178119715727</c:v>
                </c:pt>
                <c:pt idx="1934">
                  <c:v>7.7073937242857715</c:v>
                </c:pt>
                <c:pt idx="1935">
                  <c:v>7.9794102417305659</c:v>
                </c:pt>
                <c:pt idx="1936">
                  <c:v>8.5755150099595845</c:v>
                </c:pt>
                <c:pt idx="1937">
                  <c:v>9.225245891627722</c:v>
                </c:pt>
                <c:pt idx="1938">
                  <c:v>9.7117668628289824</c:v>
                </c:pt>
                <c:pt idx="1939">
                  <c:v>9.9993271812706208</c:v>
                </c:pt>
                <c:pt idx="1940">
                  <c:v>9.2594422538207812</c:v>
                </c:pt>
                <c:pt idx="1941">
                  <c:v>9.7902630578630507</c:v>
                </c:pt>
                <c:pt idx="1942">
                  <c:v>10.167200232036549</c:v>
                </c:pt>
                <c:pt idx="1943">
                  <c:v>9.6736845503867102</c:v>
                </c:pt>
                <c:pt idx="1944">
                  <c:v>10.394916916640335</c:v>
                </c:pt>
                <c:pt idx="1945">
                  <c:v>10.313311961406898</c:v>
                </c:pt>
                <c:pt idx="1946">
                  <c:v>10.812267973405632</c:v>
                </c:pt>
                <c:pt idx="1947">
                  <c:v>11.720025951621402</c:v>
                </c:pt>
                <c:pt idx="1948">
                  <c:v>10.310203201207528</c:v>
                </c:pt>
                <c:pt idx="1949">
                  <c:v>11.566919511802475</c:v>
                </c:pt>
                <c:pt idx="1950">
                  <c:v>10.987135734620143</c:v>
                </c:pt>
                <c:pt idx="1951">
                  <c:v>12.213541633271243</c:v>
                </c:pt>
                <c:pt idx="1952">
                  <c:v>12.913012678129283</c:v>
                </c:pt>
                <c:pt idx="1953">
                  <c:v>12.271830887009413</c:v>
                </c:pt>
                <c:pt idx="1954">
                  <c:v>12.276494027308464</c:v>
                </c:pt>
                <c:pt idx="1955">
                  <c:v>12.933219619425183</c:v>
                </c:pt>
                <c:pt idx="1956">
                  <c:v>16.589898803933053</c:v>
                </c:pt>
                <c:pt idx="1957">
                  <c:v>15.120232419681324</c:v>
                </c:pt>
                <c:pt idx="1958">
                  <c:v>19.041933411185411</c:v>
                </c:pt>
                <c:pt idx="1959">
                  <c:v>22.300691290174036</c:v>
                </c:pt>
                <c:pt idx="1960">
                  <c:v>18.087544029979103</c:v>
                </c:pt>
                <c:pt idx="1961">
                  <c:v>17.452579759257972</c:v>
                </c:pt>
                <c:pt idx="1962">
                  <c:v>17.662421072715382</c:v>
                </c:pt>
                <c:pt idx="1963">
                  <c:v>18.668882187261122</c:v>
                </c:pt>
                <c:pt idx="1964">
                  <c:v>24.214910382935546</c:v>
                </c:pt>
                <c:pt idx="1965">
                  <c:v>22.264940547881295</c:v>
                </c:pt>
                <c:pt idx="1966">
                  <c:v>22.77710879072735</c:v>
                </c:pt>
                <c:pt idx="1967">
                  <c:v>27.116160838996731</c:v>
                </c:pt>
                <c:pt idx="1968">
                  <c:v>21.959504858293286</c:v>
                </c:pt>
                <c:pt idx="1969">
                  <c:v>26.86823721309705</c:v>
                </c:pt>
                <c:pt idx="1970">
                  <c:v>24.182268400842169</c:v>
                </c:pt>
                <c:pt idx="1971">
                  <c:v>26.620313587197366</c:v>
                </c:pt>
                <c:pt idx="1972">
                  <c:v>34.115534427876199</c:v>
                </c:pt>
                <c:pt idx="1973">
                  <c:v>28.707846061073695</c:v>
                </c:pt>
                <c:pt idx="1974">
                  <c:v>29.457057269121645</c:v>
                </c:pt>
                <c:pt idx="1975">
                  <c:v>31.320759008643403</c:v>
                </c:pt>
                <c:pt idx="1976">
                  <c:v>37.262376939687542</c:v>
                </c:pt>
                <c:pt idx="1977">
                  <c:v>36.042188561435182</c:v>
                </c:pt>
                <c:pt idx="1978">
                  <c:v>40.997552319229484</c:v>
                </c:pt>
                <c:pt idx="1979">
                  <c:v>62.889441643186487</c:v>
                </c:pt>
                <c:pt idx="1980">
                  <c:v>30.338390785642773</c:v>
                </c:pt>
                <c:pt idx="1981">
                  <c:v>44.379883416143038</c:v>
                </c:pt>
                <c:pt idx="1982">
                  <c:v>37.681282376552524</c:v>
                </c:pt>
                <c:pt idx="1983">
                  <c:v>35.209040828004269</c:v>
                </c:pt>
                <c:pt idx="1984">
                  <c:v>45.237901231168891</c:v>
                </c:pt>
                <c:pt idx="1985">
                  <c:v>31.455212887266114</c:v>
                </c:pt>
                <c:pt idx="1986">
                  <c:v>45.361474449093812</c:v>
                </c:pt>
                <c:pt idx="1987">
                  <c:v>62.988921969566299</c:v>
                </c:pt>
                <c:pt idx="1988">
                  <c:v>77.7190049842268</c:v>
                </c:pt>
                <c:pt idx="1989">
                  <c:v>69.108516422024309</c:v>
                </c:pt>
                <c:pt idx="1990">
                  <c:v>53.296584857983376</c:v>
                </c:pt>
                <c:pt idx="1991">
                  <c:v>77.7190049842268</c:v>
                </c:pt>
                <c:pt idx="1992">
                  <c:v>57.281238243524676</c:v>
                </c:pt>
                <c:pt idx="1993">
                  <c:v>77.7190049842268</c:v>
                </c:pt>
                <c:pt idx="1994">
                  <c:v>77.7190049842268</c:v>
                </c:pt>
                <c:pt idx="1995">
                  <c:v>77.7190049842268</c:v>
                </c:pt>
                <c:pt idx="1996">
                  <c:v>0</c:v>
                </c:pt>
                <c:pt idx="1997">
                  <c:v>77.7190049842268</c:v>
                </c:pt>
                <c:pt idx="1998">
                  <c:v>77.7190049842268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AE-41D9-AB12-5B40656B3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848384"/>
        <c:axId val="691850024"/>
      </c:scatterChart>
      <c:valAx>
        <c:axId val="69184838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50024"/>
        <c:crosses val="autoZero"/>
        <c:crossBetween val="midCat"/>
      </c:valAx>
      <c:valAx>
        <c:axId val="69185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848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520700</xdr:colOff>
      <xdr:row>5</xdr:row>
      <xdr:rowOff>260350</xdr:rowOff>
    </xdr:to>
    <xdr:pic>
      <xdr:nvPicPr>
        <xdr:cNvPr id="2" name="Picture 1" descr="https://lh4.googleusercontent.com/zBiuqzD0nnBMU9Cwmc2YDlJ_ZboAyK8Q58i9Cg9veQZfMaiefZkVEURRQybTA_eYBizXRDDJ1hSAi1zQRmVPf84eFgHAdq6TjKkfONpduOLBEmskkPfJh7GAezjbEbC5gshJuhQx">
          <a:extLst>
            <a:ext uri="{FF2B5EF4-FFF2-40B4-BE49-F238E27FC236}">
              <a16:creationId xmlns:a16="http://schemas.microsoft.com/office/drawing/2014/main" id="{BCB6CC85-A0CF-40B7-B199-009720008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715000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536575</xdr:colOff>
      <xdr:row>13</xdr:row>
      <xdr:rowOff>165100</xdr:rowOff>
    </xdr:from>
    <xdr:to>
      <xdr:col>20</xdr:col>
      <xdr:colOff>231775</xdr:colOff>
      <xdr:row>28</xdr:row>
      <xdr:rowOff>146050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581D3D-AEA3-42E9-9732-8461372BD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403225</xdr:colOff>
      <xdr:row>8</xdr:row>
      <xdr:rowOff>101600</xdr:rowOff>
    </xdr:from>
    <xdr:to>
      <xdr:col>31</xdr:col>
      <xdr:colOff>98425</xdr:colOff>
      <xdr:row>23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5C280D-DF40-42A1-A000-424640FD6D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171450</xdr:colOff>
      <xdr:row>24</xdr:row>
      <xdr:rowOff>146050</xdr:rowOff>
    </xdr:from>
    <xdr:to>
      <xdr:col>30</xdr:col>
      <xdr:colOff>469900</xdr:colOff>
      <xdr:row>39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AD36045-EAFC-41CD-A7DE-EDA029523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261938</xdr:colOff>
      <xdr:row>42</xdr:row>
      <xdr:rowOff>80963</xdr:rowOff>
    </xdr:from>
    <xdr:to>
      <xdr:col>31</xdr:col>
      <xdr:colOff>7938</xdr:colOff>
      <xdr:row>56</xdr:row>
      <xdr:rowOff>157163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4CC897-EAF8-46BC-B7A2-154BAF6E96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508000</xdr:colOff>
      <xdr:row>12</xdr:row>
      <xdr:rowOff>77355</xdr:rowOff>
    </xdr:from>
    <xdr:to>
      <xdr:col>22</xdr:col>
      <xdr:colOff>184727</xdr:colOff>
      <xdr:row>27</xdr:row>
      <xdr:rowOff>49646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02C2602-8C81-48AC-9DEE-85E860474F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404770</xdr:colOff>
      <xdr:row>2</xdr:row>
      <xdr:rowOff>45436</xdr:rowOff>
    </xdr:from>
    <xdr:to>
      <xdr:col>51</xdr:col>
      <xdr:colOff>89647</xdr:colOff>
      <xdr:row>18</xdr:row>
      <xdr:rowOff>156882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D4B08B-A12B-4C2F-8B7E-1376D8E0BF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53</xdr:col>
      <xdr:colOff>536575</xdr:colOff>
      <xdr:row>3</xdr:row>
      <xdr:rowOff>50800</xdr:rowOff>
    </xdr:from>
    <xdr:to>
      <xdr:col>61</xdr:col>
      <xdr:colOff>231775</xdr:colOff>
      <xdr:row>18</xdr:row>
      <xdr:rowOff>31750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A5C5A63-37AD-4393-BE69-682FF356A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68</xdr:col>
      <xdr:colOff>365125</xdr:colOff>
      <xdr:row>2</xdr:row>
      <xdr:rowOff>146050</xdr:rowOff>
    </xdr:from>
    <xdr:to>
      <xdr:col>76</xdr:col>
      <xdr:colOff>60325</xdr:colOff>
      <xdr:row>17</xdr:row>
      <xdr:rowOff>127000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A0666FC-992A-4987-AF02-411E39D3E5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76</xdr:col>
      <xdr:colOff>298823</xdr:colOff>
      <xdr:row>2</xdr:row>
      <xdr:rowOff>92635</xdr:rowOff>
    </xdr:from>
    <xdr:to>
      <xdr:col>83</xdr:col>
      <xdr:colOff>582705</xdr:colOff>
      <xdr:row>17</xdr:row>
      <xdr:rowOff>34364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5C2E7D6-A11A-4B5A-9576-C3A45562E8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93</xdr:col>
      <xdr:colOff>306294</xdr:colOff>
      <xdr:row>3</xdr:row>
      <xdr:rowOff>70223</xdr:rowOff>
    </xdr:from>
    <xdr:to>
      <xdr:col>101</xdr:col>
      <xdr:colOff>141941</xdr:colOff>
      <xdr:row>18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59EB566-7597-4F27-BD39-738FE68FB8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F4C58-9667-439C-BBC5-CE88D1112B92}">
  <dimension ref="B6:O69"/>
  <sheetViews>
    <sheetView topLeftCell="C1" workbookViewId="0">
      <selection activeCell="L11" sqref="L11"/>
    </sheetView>
  </sheetViews>
  <sheetFormatPr defaultRowHeight="14.5" x14ac:dyDescent="0.35"/>
  <cols>
    <col min="2" max="2" width="10.1796875" bestFit="1" customWidth="1"/>
    <col min="3" max="3" width="11.81640625" bestFit="1" customWidth="1"/>
    <col min="11" max="12" width="11.36328125" bestFit="1" customWidth="1"/>
  </cols>
  <sheetData>
    <row r="6" spans="2:15" ht="31.5" thickBot="1" x14ac:dyDescent="0.4">
      <c r="J6" t="s">
        <v>11</v>
      </c>
      <c r="K6" s="6">
        <v>5.6499999999999996E-3</v>
      </c>
      <c r="L6" s="7" t="s">
        <v>10</v>
      </c>
    </row>
    <row r="7" spans="2:15" ht="16" thickBot="1" x14ac:dyDescent="0.4">
      <c r="J7" t="s">
        <v>1</v>
      </c>
      <c r="K7">
        <v>0.151</v>
      </c>
      <c r="L7" s="7" t="s">
        <v>10</v>
      </c>
      <c r="N7" t="s">
        <v>14</v>
      </c>
    </row>
    <row r="8" spans="2:15" x14ac:dyDescent="0.35">
      <c r="K8">
        <f>K7/K6</f>
        <v>26.725663716814161</v>
      </c>
      <c r="N8">
        <f>4/56*14100000</f>
        <v>1007142.857142857</v>
      </c>
      <c r="O8" t="s">
        <v>13</v>
      </c>
    </row>
    <row r="9" spans="2:15" x14ac:dyDescent="0.35">
      <c r="K9" s="1">
        <v>1000000</v>
      </c>
    </row>
    <row r="10" spans="2:15" x14ac:dyDescent="0.35">
      <c r="C10" t="s">
        <v>8</v>
      </c>
      <c r="D10" t="s">
        <v>4</v>
      </c>
      <c r="E10" t="s">
        <v>2</v>
      </c>
      <c r="F10" t="s">
        <v>5</v>
      </c>
      <c r="G10" t="s">
        <v>6</v>
      </c>
      <c r="K10" s="2">
        <f>1/K9*(56000^2/4/35+56000/2/35*(K9-56000))</f>
        <v>777.59999999999991</v>
      </c>
      <c r="L10" s="2">
        <f>1.17*K10</f>
        <v>909.7919999999998</v>
      </c>
    </row>
    <row r="11" spans="2:15" x14ac:dyDescent="0.35">
      <c r="C11">
        <f>10.97/270*6.022E+23*1000000</f>
        <v>2.4467162962962964E+28</v>
      </c>
      <c r="D11">
        <v>0.25</v>
      </c>
      <c r="E11" s="1">
        <v>1.3800000000000001E-23</v>
      </c>
      <c r="F11">
        <v>1273</v>
      </c>
      <c r="G11">
        <v>1</v>
      </c>
      <c r="K11" s="2">
        <f>L10*1E-24*31100000000000</f>
        <v>2.8294531199999989E-8</v>
      </c>
      <c r="L11" t="s">
        <v>12</v>
      </c>
    </row>
    <row r="12" spans="2:15" x14ac:dyDescent="0.35">
      <c r="C12" t="s">
        <v>7</v>
      </c>
    </row>
    <row r="13" spans="2:15" x14ac:dyDescent="0.35">
      <c r="C13" s="1">
        <v>1E+17</v>
      </c>
      <c r="D13" s="1">
        <v>1E+16</v>
      </c>
      <c r="E13" s="1">
        <v>1000000000000000</v>
      </c>
      <c r="F13" s="1">
        <v>1E+18</v>
      </c>
      <c r="G13" s="1">
        <v>1E+19</v>
      </c>
      <c r="J13" s="1">
        <v>1</v>
      </c>
      <c r="K13" s="1">
        <f>J13*86400*365.25</f>
        <v>31557600</v>
      </c>
      <c r="L13" s="3">
        <f>$K$11*K13</f>
        <v>0.89290749779711964</v>
      </c>
    </row>
    <row r="14" spans="2:15" x14ac:dyDescent="0.35">
      <c r="C14" s="1">
        <f>C13*1000000</f>
        <v>9.9999999999999992E+22</v>
      </c>
      <c r="D14" s="1">
        <f t="shared" ref="D14:G14" si="0">D13*1000000</f>
        <v>1E+22</v>
      </c>
      <c r="E14" s="1">
        <f t="shared" si="0"/>
        <v>1E+21</v>
      </c>
      <c r="F14" s="1">
        <f t="shared" si="0"/>
        <v>9.9999999999999998E+23</v>
      </c>
      <c r="G14" s="1">
        <f t="shared" si="0"/>
        <v>1.0000000000000001E+25</v>
      </c>
      <c r="J14">
        <v>5</v>
      </c>
      <c r="K14" s="1">
        <f t="shared" ref="K14:K17" si="1">J14*86400*365.25</f>
        <v>157788000</v>
      </c>
      <c r="L14" s="3">
        <f t="shared" ref="L14:L17" si="2">$K$11*K14</f>
        <v>4.4645374889855987</v>
      </c>
    </row>
    <row r="15" spans="2:15" x14ac:dyDescent="0.35">
      <c r="B15" t="s">
        <v>9</v>
      </c>
      <c r="C15" t="s">
        <v>3</v>
      </c>
      <c r="D15" t="s">
        <v>3</v>
      </c>
      <c r="E15" t="s">
        <v>3</v>
      </c>
      <c r="F15" t="s">
        <v>3</v>
      </c>
      <c r="G15" t="s">
        <v>3</v>
      </c>
      <c r="J15">
        <v>10</v>
      </c>
      <c r="K15" s="1">
        <f t="shared" si="1"/>
        <v>315576000</v>
      </c>
      <c r="L15" s="3">
        <f t="shared" si="2"/>
        <v>8.9290749779711973</v>
      </c>
    </row>
    <row r="16" spans="2:15" x14ac:dyDescent="0.35">
      <c r="B16">
        <v>0</v>
      </c>
      <c r="C16" s="4">
        <f>(3/4/PI())^(0.5)*($E$11*$F$11/2/$G$11*PRODUCT($C$11:$D$11))^(1.5)*$B16^(1.5)/SQRT(C$14)</f>
        <v>0</v>
      </c>
      <c r="D16" s="4">
        <f>(3/4/PI())^(0.5)*($E$11*$F$11/2/$G$11*PRODUCT($C$11:$D$11))^(1.5)*$B16^(1.5)/SQRT(D$14)</f>
        <v>0</v>
      </c>
      <c r="E16" s="4">
        <f>(3/4/PI())^(0.5)*($E$11*$F$11/2/$G$11*PRODUCT($C$11:$D$11))^(1.5)*$B16^(1.5)/SQRT(E$14)</f>
        <v>0</v>
      </c>
      <c r="F16" s="4">
        <f>(3/4/PI())^(0.5)*($E$11*$F$11/2/$G$11*PRODUCT($C$11:$D$11))^(1.5)*$B16^(1.5)/SQRT(F$14)</f>
        <v>0</v>
      </c>
      <c r="G16" s="4">
        <f>(3/4/PI())^(0.5)*($E$11*$F$11/2/$G$11*PRODUCT($C$11:$D$11))^(1.5)*$B16^(1.5)/SQRT(G$14)</f>
        <v>0</v>
      </c>
      <c r="J16">
        <v>20</v>
      </c>
      <c r="K16" s="1">
        <f t="shared" si="1"/>
        <v>631152000</v>
      </c>
      <c r="L16" s="3">
        <f t="shared" si="2"/>
        <v>17.858149955942395</v>
      </c>
    </row>
    <row r="17" spans="2:12" x14ac:dyDescent="0.35">
      <c r="B17">
        <v>1E-3</v>
      </c>
      <c r="C17" s="4">
        <f t="shared" ref="C17:G69" si="3">(3/4/PI())^(0.5)*($E$11*$F$11/2/$G$11*PRODUCT($C$11:$D$11))^(1.5)*$B17^(1.5)/SQRT(C$14)</f>
        <v>1.9242317303364976E-5</v>
      </c>
      <c r="D17" s="4">
        <f t="shared" si="3"/>
        <v>6.0849550138302514E-5</v>
      </c>
      <c r="E17" s="4">
        <f t="shared" si="3"/>
        <v>1.9242317303364974E-4</v>
      </c>
      <c r="F17" s="4">
        <f t="shared" si="3"/>
        <v>6.0849550138302511E-6</v>
      </c>
      <c r="G17" s="4">
        <f t="shared" si="3"/>
        <v>1.9242317303364972E-6</v>
      </c>
      <c r="J17">
        <v>30</v>
      </c>
      <c r="K17" s="1">
        <f t="shared" si="1"/>
        <v>946728000</v>
      </c>
      <c r="L17" s="3">
        <f t="shared" si="2"/>
        <v>26.787224933913588</v>
      </c>
    </row>
    <row r="18" spans="2:12" x14ac:dyDescent="0.35">
      <c r="B18">
        <v>2E-3</v>
      </c>
      <c r="C18" s="4">
        <f t="shared" si="3"/>
        <v>5.4425492203810419E-5</v>
      </c>
      <c r="D18" s="4">
        <f t="shared" si="3"/>
        <v>1.7210851813977796E-4</v>
      </c>
      <c r="E18" s="4">
        <f t="shared" si="3"/>
        <v>5.4425492203810416E-4</v>
      </c>
      <c r="F18" s="4">
        <f t="shared" si="3"/>
        <v>1.7210851813977796E-5</v>
      </c>
      <c r="G18" s="4">
        <f t="shared" si="3"/>
        <v>5.4425492203810414E-6</v>
      </c>
    </row>
    <row r="19" spans="2:12" x14ac:dyDescent="0.35">
      <c r="B19">
        <v>3.0000000000000001E-3</v>
      </c>
      <c r="C19" s="4">
        <f t="shared" si="3"/>
        <v>9.9986013674369689E-5</v>
      </c>
      <c r="D19" s="4">
        <f t="shared" si="3"/>
        <v>3.161835373717493E-4</v>
      </c>
      <c r="E19" s="4">
        <f t="shared" si="3"/>
        <v>9.9986013674369686E-4</v>
      </c>
      <c r="F19" s="4">
        <f t="shared" si="3"/>
        <v>3.1618353737174929E-5</v>
      </c>
      <c r="G19" s="4">
        <f t="shared" si="3"/>
        <v>9.9986013674369672E-6</v>
      </c>
    </row>
    <row r="20" spans="2:12" x14ac:dyDescent="0.35">
      <c r="B20">
        <v>4.0000000000000001E-3</v>
      </c>
      <c r="C20" s="4">
        <f t="shared" si="3"/>
        <v>1.5393853842691989E-4</v>
      </c>
      <c r="D20" s="4">
        <f t="shared" si="3"/>
        <v>4.8679640110642033E-4</v>
      </c>
      <c r="E20" s="4">
        <f t="shared" si="3"/>
        <v>1.5393853842691988E-3</v>
      </c>
      <c r="F20" s="4">
        <f t="shared" si="3"/>
        <v>4.8679640110642029E-5</v>
      </c>
      <c r="G20" s="4">
        <f t="shared" si="3"/>
        <v>1.5393853842691988E-5</v>
      </c>
    </row>
    <row r="21" spans="2:12" x14ac:dyDescent="0.35">
      <c r="B21">
        <v>5.0000000000000001E-3</v>
      </c>
      <c r="C21" s="4">
        <f t="shared" si="3"/>
        <v>2.1513564767472283E-4</v>
      </c>
      <c r="D21" s="4">
        <f t="shared" si="3"/>
        <v>6.8031865254763123E-4</v>
      </c>
      <c r="E21" s="4">
        <f t="shared" si="3"/>
        <v>2.1513564767472282E-3</v>
      </c>
      <c r="F21" s="4">
        <f t="shared" si="3"/>
        <v>6.8031865254763129E-5</v>
      </c>
      <c r="G21" s="4">
        <f t="shared" si="3"/>
        <v>2.1513564767472279E-5</v>
      </c>
    </row>
    <row r="22" spans="2:12" x14ac:dyDescent="0.35">
      <c r="B22">
        <v>6.0000000000000001E-3</v>
      </c>
      <c r="C22" s="4">
        <f t="shared" si="3"/>
        <v>2.8280315317183045E-4</v>
      </c>
      <c r="D22" s="4">
        <f t="shared" si="3"/>
        <v>8.9430209350045556E-4</v>
      </c>
      <c r="E22" s="4">
        <f t="shared" si="3"/>
        <v>2.8280315317183039E-3</v>
      </c>
      <c r="F22" s="4">
        <f t="shared" si="3"/>
        <v>8.9430209350045562E-5</v>
      </c>
      <c r="G22" s="4">
        <f t="shared" si="3"/>
        <v>2.8280315317183039E-5</v>
      </c>
    </row>
    <row r="23" spans="2:12" x14ac:dyDescent="0.35">
      <c r="B23">
        <v>7.0000000000000001E-3</v>
      </c>
      <c r="C23" s="4">
        <f t="shared" si="3"/>
        <v>3.5637270363309134E-4</v>
      </c>
      <c r="D23" s="4">
        <f t="shared" si="3"/>
        <v>1.1269494393927311E-3</v>
      </c>
      <c r="E23" s="4">
        <f t="shared" si="3"/>
        <v>3.5637270363309131E-3</v>
      </c>
      <c r="F23" s="4">
        <f t="shared" si="3"/>
        <v>1.1269494393927312E-4</v>
      </c>
      <c r="G23" s="4">
        <f t="shared" si="3"/>
        <v>3.5637270363309124E-5</v>
      </c>
    </row>
    <row r="24" spans="2:12" x14ac:dyDescent="0.35">
      <c r="B24">
        <v>8.0000000000000002E-3</v>
      </c>
      <c r="C24" s="4">
        <f t="shared" si="3"/>
        <v>4.3540393763048357E-4</v>
      </c>
      <c r="D24" s="4">
        <f t="shared" si="3"/>
        <v>1.3768681451182244E-3</v>
      </c>
      <c r="E24" s="4">
        <f t="shared" si="3"/>
        <v>4.354039376304835E-3</v>
      </c>
      <c r="F24" s="4">
        <f t="shared" si="3"/>
        <v>1.3768681451182242E-4</v>
      </c>
      <c r="G24" s="4">
        <f t="shared" si="3"/>
        <v>4.3540393763048351E-5</v>
      </c>
    </row>
    <row r="25" spans="2:12" x14ac:dyDescent="0.35">
      <c r="B25">
        <v>8.9999999999999993E-3</v>
      </c>
      <c r="C25" s="4">
        <f t="shared" si="3"/>
        <v>5.1954256719085451E-4</v>
      </c>
      <c r="D25" s="4">
        <f t="shared" si="3"/>
        <v>1.6429378537341681E-3</v>
      </c>
      <c r="E25" s="4">
        <f t="shared" si="3"/>
        <v>5.1954256719085445E-3</v>
      </c>
      <c r="F25" s="4">
        <f t="shared" si="3"/>
        <v>1.6429378537341681E-4</v>
      </c>
      <c r="G25" s="4">
        <f t="shared" si="3"/>
        <v>5.195425671908544E-5</v>
      </c>
    </row>
    <row r="26" spans="2:12" x14ac:dyDescent="0.35">
      <c r="B26">
        <v>0.01</v>
      </c>
      <c r="C26" s="4">
        <f t="shared" si="3"/>
        <v>6.0849550138302518E-4</v>
      </c>
      <c r="D26" s="4">
        <f t="shared" si="3"/>
        <v>1.9242317303364974E-3</v>
      </c>
      <c r="E26" s="4">
        <f t="shared" si="3"/>
        <v>6.0849550138302516E-3</v>
      </c>
      <c r="F26" s="4">
        <f t="shared" si="3"/>
        <v>1.9242317303364974E-4</v>
      </c>
      <c r="G26" s="4">
        <f t="shared" si="3"/>
        <v>6.0849550138302507E-5</v>
      </c>
    </row>
    <row r="27" spans="2:12" x14ac:dyDescent="0.35">
      <c r="B27">
        <v>1.0999999999999999E-2</v>
      </c>
      <c r="C27" s="4">
        <f t="shared" si="3"/>
        <v>7.0201501251447465E-4</v>
      </c>
      <c r="D27" s="4">
        <f t="shared" si="3"/>
        <v>2.2199663911773482E-3</v>
      </c>
      <c r="E27" s="4">
        <f t="shared" si="3"/>
        <v>7.0201501251447463E-3</v>
      </c>
      <c r="F27" s="4">
        <f t="shared" si="3"/>
        <v>2.2199663911773483E-4</v>
      </c>
      <c r="G27" s="4">
        <f t="shared" si="3"/>
        <v>7.0201501251447454E-5</v>
      </c>
    </row>
    <row r="28" spans="2:12" x14ac:dyDescent="0.35">
      <c r="B28">
        <v>1.2E-2</v>
      </c>
      <c r="C28" s="4">
        <f t="shared" si="3"/>
        <v>7.9988810939495697E-4</v>
      </c>
      <c r="D28" s="4">
        <f t="shared" si="3"/>
        <v>2.5294682989739927E-3</v>
      </c>
      <c r="E28" s="4">
        <f t="shared" si="3"/>
        <v>7.998881093949568E-3</v>
      </c>
      <c r="F28" s="4">
        <f t="shared" si="3"/>
        <v>2.5294682989739927E-4</v>
      </c>
      <c r="G28" s="4">
        <f t="shared" si="3"/>
        <v>7.9988810939495683E-5</v>
      </c>
    </row>
    <row r="29" spans="2:12" x14ac:dyDescent="0.35">
      <c r="B29">
        <v>1.2999999999999999E-2</v>
      </c>
      <c r="C29" s="4">
        <f t="shared" si="3"/>
        <v>9.0192910204839436E-4</v>
      </c>
      <c r="D29" s="4">
        <f t="shared" si="3"/>
        <v>2.8521502504633635E-3</v>
      </c>
      <c r="E29" s="4">
        <f t="shared" si="3"/>
        <v>9.0192910204839431E-3</v>
      </c>
      <c r="F29" s="4">
        <f t="shared" si="3"/>
        <v>2.8521502504633633E-4</v>
      </c>
      <c r="G29" s="4">
        <f t="shared" si="3"/>
        <v>9.0192910204839417E-5</v>
      </c>
    </row>
    <row r="30" spans="2:12" x14ac:dyDescent="0.35">
      <c r="B30">
        <v>1.4E-2</v>
      </c>
      <c r="C30" s="4">
        <f t="shared" si="3"/>
        <v>1.0079742214749688E-3</v>
      </c>
      <c r="D30" s="4">
        <f t="shared" si="3"/>
        <v>3.1874943625959081E-3</v>
      </c>
      <c r="E30" s="4">
        <f t="shared" si="3"/>
        <v>1.0079742214749688E-2</v>
      </c>
      <c r="F30" s="4">
        <f t="shared" si="3"/>
        <v>3.187494362595908E-4</v>
      </c>
      <c r="G30" s="4">
        <f t="shared" si="3"/>
        <v>1.0079742214749688E-4</v>
      </c>
    </row>
    <row r="31" spans="2:12" x14ac:dyDescent="0.35">
      <c r="B31">
        <v>1.4999999999999999E-2</v>
      </c>
      <c r="C31" s="4">
        <f t="shared" si="3"/>
        <v>1.1178776168755693E-3</v>
      </c>
      <c r="D31" s="4">
        <f t="shared" si="3"/>
        <v>3.5350394146478792E-3</v>
      </c>
      <c r="E31" s="4">
        <f t="shared" si="3"/>
        <v>1.1178776168755693E-2</v>
      </c>
      <c r="F31" s="4">
        <f t="shared" si="3"/>
        <v>3.5350394146478788E-4</v>
      </c>
      <c r="G31" s="4">
        <f t="shared" si="3"/>
        <v>1.1178776168755692E-4</v>
      </c>
    </row>
    <row r="32" spans="2:12" x14ac:dyDescent="0.35">
      <c r="B32">
        <v>1.6E-2</v>
      </c>
      <c r="C32" s="4">
        <f t="shared" si="3"/>
        <v>1.2315083074153571E-3</v>
      </c>
      <c r="D32" s="4">
        <f t="shared" si="3"/>
        <v>3.8943712088513566E-3</v>
      </c>
      <c r="E32" s="4">
        <f t="shared" si="3"/>
        <v>1.2315083074153571E-2</v>
      </c>
      <c r="F32" s="4">
        <f t="shared" si="3"/>
        <v>3.8943712088513563E-4</v>
      </c>
      <c r="G32" s="4">
        <f t="shared" si="3"/>
        <v>1.2315083074153571E-4</v>
      </c>
    </row>
    <row r="33" spans="2:7" x14ac:dyDescent="0.35">
      <c r="B33">
        <v>1.7000000000000001E-2</v>
      </c>
      <c r="C33" s="4">
        <f t="shared" si="3"/>
        <v>1.3487478142982122E-3</v>
      </c>
      <c r="D33" s="4">
        <f t="shared" si="3"/>
        <v>4.265115082356166E-3</v>
      </c>
      <c r="E33" s="4">
        <f t="shared" si="3"/>
        <v>1.348747814298212E-2</v>
      </c>
      <c r="F33" s="4">
        <f t="shared" si="3"/>
        <v>4.2651150823561654E-4</v>
      </c>
      <c r="G33" s="4">
        <f t="shared" si="3"/>
        <v>1.3487478142982121E-4</v>
      </c>
    </row>
    <row r="34" spans="2:7" x14ac:dyDescent="0.35">
      <c r="B34">
        <v>1.7999999999999999E-2</v>
      </c>
      <c r="C34" s="4">
        <f t="shared" si="3"/>
        <v>1.4694882895028814E-3</v>
      </c>
      <c r="D34" s="4">
        <f t="shared" si="3"/>
        <v>4.6469299897740051E-3</v>
      </c>
      <c r="E34" s="4">
        <f t="shared" si="3"/>
        <v>1.4694882895028813E-2</v>
      </c>
      <c r="F34" s="4">
        <f t="shared" si="3"/>
        <v>4.6469299897740053E-4</v>
      </c>
      <c r="G34" s="4">
        <f t="shared" si="3"/>
        <v>1.4694882895028812E-4</v>
      </c>
    </row>
    <row r="35" spans="2:7" x14ac:dyDescent="0.35">
      <c r="B35">
        <v>1.9E-2</v>
      </c>
      <c r="C35" s="4">
        <f t="shared" si="3"/>
        <v>1.5936310147333281E-3</v>
      </c>
      <c r="D35" s="4">
        <f t="shared" si="3"/>
        <v>5.0395037564426688E-3</v>
      </c>
      <c r="E35" s="4">
        <f t="shared" si="3"/>
        <v>1.593631014733328E-2</v>
      </c>
      <c r="F35" s="4">
        <f t="shared" si="3"/>
        <v>5.0395037564426686E-4</v>
      </c>
      <c r="G35" s="4">
        <f t="shared" si="3"/>
        <v>1.5936310147333279E-4</v>
      </c>
    </row>
    <row r="36" spans="2:7" x14ac:dyDescent="0.35">
      <c r="B36">
        <v>0.02</v>
      </c>
      <c r="C36" s="4">
        <f t="shared" si="3"/>
        <v>1.7210851813977816E-3</v>
      </c>
      <c r="D36" s="4">
        <f t="shared" si="3"/>
        <v>5.4425492203810464E-3</v>
      </c>
      <c r="E36" s="4">
        <f t="shared" si="3"/>
        <v>1.7210851813977815E-2</v>
      </c>
      <c r="F36" s="4">
        <f t="shared" si="3"/>
        <v>5.442549220381047E-4</v>
      </c>
      <c r="G36" s="4">
        <f t="shared" si="3"/>
        <v>1.7210851813977813E-4</v>
      </c>
    </row>
    <row r="37" spans="2:7" x14ac:dyDescent="0.35">
      <c r="B37">
        <v>2.1000000000000001E-2</v>
      </c>
      <c r="C37" s="4">
        <f t="shared" si="3"/>
        <v>1.8517668873695998E-3</v>
      </c>
      <c r="D37" s="4">
        <f t="shared" si="3"/>
        <v>5.8558010597684201E-3</v>
      </c>
      <c r="E37" s="4">
        <f t="shared" si="3"/>
        <v>1.8517668873695999E-2</v>
      </c>
      <c r="F37" s="4">
        <f t="shared" si="3"/>
        <v>5.8558010597684204E-4</v>
      </c>
      <c r="G37" s="4">
        <f t="shared" si="3"/>
        <v>1.8517668873695996E-4</v>
      </c>
    </row>
    <row r="38" spans="2:7" x14ac:dyDescent="0.35">
      <c r="B38">
        <v>2.1999999999999999E-2</v>
      </c>
      <c r="C38" s="4">
        <f t="shared" si="3"/>
        <v>1.9855983033749748E-3</v>
      </c>
      <c r="D38" s="4">
        <f t="shared" si="3"/>
        <v>6.279013156830918E-3</v>
      </c>
      <c r="E38" s="4">
        <f t="shared" si="3"/>
        <v>1.9855983033749743E-2</v>
      </c>
      <c r="F38" s="4">
        <f t="shared" si="3"/>
        <v>6.279013156830918E-4</v>
      </c>
      <c r="G38" s="4">
        <f t="shared" si="3"/>
        <v>1.9855983033749742E-4</v>
      </c>
    </row>
    <row r="39" spans="2:7" x14ac:dyDescent="0.35">
      <c r="B39">
        <v>2.3E-2</v>
      </c>
      <c r="C39" s="4">
        <f t="shared" si="3"/>
        <v>2.1225069738164603E-3</v>
      </c>
      <c r="D39" s="4">
        <f t="shared" si="3"/>
        <v>6.7119563868513824E-3</v>
      </c>
      <c r="E39" s="4">
        <f t="shared" si="3"/>
        <v>2.1225069738164598E-2</v>
      </c>
      <c r="F39" s="4">
        <f t="shared" si="3"/>
        <v>6.7119563868513828E-4</v>
      </c>
      <c r="G39" s="4">
        <f t="shared" si="3"/>
        <v>2.1225069738164598E-4</v>
      </c>
    </row>
    <row r="40" spans="2:7" x14ac:dyDescent="0.35">
      <c r="B40">
        <v>2.4E-2</v>
      </c>
      <c r="C40" s="4">
        <f t="shared" si="3"/>
        <v>2.2624252253746441E-3</v>
      </c>
      <c r="D40" s="4">
        <f t="shared" si="3"/>
        <v>7.1544167480036471E-3</v>
      </c>
      <c r="E40" s="4">
        <f t="shared" si="3"/>
        <v>2.2624252253746441E-2</v>
      </c>
      <c r="F40" s="4">
        <f t="shared" si="3"/>
        <v>7.1544167480036471E-4</v>
      </c>
      <c r="G40" s="4">
        <f t="shared" si="3"/>
        <v>2.262425225374644E-4</v>
      </c>
    </row>
    <row r="41" spans="2:7" x14ac:dyDescent="0.35">
      <c r="B41">
        <v>2.5000000000000001E-2</v>
      </c>
      <c r="C41" s="4">
        <f t="shared" si="3"/>
        <v>2.4052896629206213E-3</v>
      </c>
      <c r="D41" s="4">
        <f t="shared" si="3"/>
        <v>7.6061937672878112E-3</v>
      </c>
      <c r="E41" s="4">
        <f t="shared" si="3"/>
        <v>2.4052896629206209E-2</v>
      </c>
      <c r="F41" s="4">
        <f t="shared" si="3"/>
        <v>7.6061937672878112E-4</v>
      </c>
      <c r="G41" s="4">
        <f t="shared" si="3"/>
        <v>2.405289662920621E-4</v>
      </c>
    </row>
    <row r="42" spans="2:7" x14ac:dyDescent="0.35">
      <c r="B42">
        <v>2.5999999999999999E-2</v>
      </c>
      <c r="C42" s="4">
        <f t="shared" si="3"/>
        <v>2.5510407368316539E-3</v>
      </c>
      <c r="D42" s="4">
        <f t="shared" si="3"/>
        <v>8.0670991322622197E-3</v>
      </c>
      <c r="E42" s="4">
        <f t="shared" si="3"/>
        <v>2.5510407368316539E-2</v>
      </c>
      <c r="F42" s="4">
        <f t="shared" si="3"/>
        <v>8.0670991322622204E-4</v>
      </c>
      <c r="G42" s="4">
        <f t="shared" si="3"/>
        <v>2.5510407368316539E-4</v>
      </c>
    </row>
    <row r="43" spans="2:7" x14ac:dyDescent="0.35">
      <c r="B43">
        <v>2.7E-2</v>
      </c>
      <c r="C43" s="4">
        <f t="shared" si="3"/>
        <v>2.6996223692079789E-3</v>
      </c>
      <c r="D43" s="4">
        <f t="shared" si="3"/>
        <v>8.5369555090372227E-3</v>
      </c>
      <c r="E43" s="4">
        <f t="shared" si="3"/>
        <v>2.6996223692079786E-2</v>
      </c>
      <c r="F43" s="4">
        <f t="shared" si="3"/>
        <v>8.5369555090372229E-4</v>
      </c>
      <c r="G43" s="4">
        <f t="shared" si="3"/>
        <v>2.6996223692079787E-4</v>
      </c>
    </row>
    <row r="44" spans="2:7" x14ac:dyDescent="0.35">
      <c r="B44">
        <v>2.8000000000000001E-2</v>
      </c>
      <c r="C44" s="4">
        <f t="shared" si="3"/>
        <v>2.850981629064729E-3</v>
      </c>
      <c r="D44" s="4">
        <f t="shared" si="3"/>
        <v>9.0155955151418436E-3</v>
      </c>
      <c r="E44" s="4">
        <f t="shared" si="3"/>
        <v>2.8509816290647284E-2</v>
      </c>
      <c r="F44" s="4">
        <f t="shared" si="3"/>
        <v>9.0155955151418438E-4</v>
      </c>
      <c r="G44" s="4">
        <f t="shared" si="3"/>
        <v>2.8509816290647283E-4</v>
      </c>
    </row>
    <row r="45" spans="2:7" x14ac:dyDescent="0.35">
      <c r="B45">
        <v>2.9000000000000001E-2</v>
      </c>
      <c r="C45" s="4">
        <f t="shared" si="3"/>
        <v>3.0050684485440921E-3</v>
      </c>
      <c r="D45" s="4">
        <f t="shared" si="3"/>
        <v>9.5028608221078316E-3</v>
      </c>
      <c r="E45" s="4">
        <f t="shared" si="3"/>
        <v>3.0050684485440918E-2</v>
      </c>
      <c r="F45" s="4">
        <f t="shared" si="3"/>
        <v>9.5028608221078327E-4</v>
      </c>
      <c r="G45" s="4">
        <f t="shared" si="3"/>
        <v>3.0050684485440917E-4</v>
      </c>
    </row>
    <row r="46" spans="2:7" x14ac:dyDescent="0.35">
      <c r="B46">
        <v>0.03</v>
      </c>
      <c r="C46" s="4">
        <f t="shared" si="3"/>
        <v>3.1618353737174931E-3</v>
      </c>
      <c r="D46" s="4">
        <f t="shared" si="3"/>
        <v>9.9986013674369656E-3</v>
      </c>
      <c r="E46" s="4">
        <f t="shared" si="3"/>
        <v>3.1618353737174927E-2</v>
      </c>
      <c r="F46" s="4">
        <f t="shared" si="3"/>
        <v>9.9986013674369665E-4</v>
      </c>
      <c r="G46" s="4">
        <f t="shared" si="3"/>
        <v>3.1618353737174925E-4</v>
      </c>
    </row>
    <row r="47" spans="2:7" x14ac:dyDescent="0.35">
      <c r="B47">
        <v>3.1E-2</v>
      </c>
      <c r="C47" s="4">
        <f t="shared" si="3"/>
        <v>3.3212373447382318E-3</v>
      </c>
      <c r="D47" s="4">
        <f t="shared" si="3"/>
        <v>1.0502674659382656E-2</v>
      </c>
      <c r="E47" s="4">
        <f t="shared" si="3"/>
        <v>3.3212373447382315E-2</v>
      </c>
      <c r="F47" s="4">
        <f t="shared" si="3"/>
        <v>1.0502674659382655E-3</v>
      </c>
      <c r="G47" s="4">
        <f t="shared" si="3"/>
        <v>3.3212373447382316E-4</v>
      </c>
    </row>
    <row r="48" spans="2:7" x14ac:dyDescent="0.35">
      <c r="B48">
        <v>3.2000000000000001E-2</v>
      </c>
      <c r="C48" s="4">
        <f t="shared" si="3"/>
        <v>3.4832315010438694E-3</v>
      </c>
      <c r="D48" s="4">
        <f t="shared" si="3"/>
        <v>1.1014945160945797E-2</v>
      </c>
      <c r="E48" s="4">
        <f t="shared" si="3"/>
        <v>3.4832315010438687E-2</v>
      </c>
      <c r="F48" s="4">
        <f t="shared" si="3"/>
        <v>1.1014945160945798E-3</v>
      </c>
      <c r="G48" s="4">
        <f t="shared" si="3"/>
        <v>3.4832315010438687E-4</v>
      </c>
    </row>
    <row r="49" spans="2:7" x14ac:dyDescent="0.35">
      <c r="B49">
        <v>3.3000000000000002E-2</v>
      </c>
      <c r="C49" s="4">
        <f t="shared" si="3"/>
        <v>3.6477770080535132E-3</v>
      </c>
      <c r="D49" s="4">
        <f t="shared" si="3"/>
        <v>1.1535283741843474E-2</v>
      </c>
      <c r="E49" s="4">
        <f t="shared" si="3"/>
        <v>3.6477770080535127E-2</v>
      </c>
      <c r="F49" s="4">
        <f t="shared" si="3"/>
        <v>1.1535283741843474E-3</v>
      </c>
      <c r="G49" s="4">
        <f t="shared" si="3"/>
        <v>3.647777008053513E-4</v>
      </c>
    </row>
    <row r="50" spans="2:7" x14ac:dyDescent="0.35">
      <c r="B50">
        <v>3.4000000000000002E-2</v>
      </c>
      <c r="C50" s="4">
        <f t="shared" si="3"/>
        <v>3.8148349024031973E-3</v>
      </c>
      <c r="D50" s="4">
        <f t="shared" si="3"/>
        <v>1.2063567189100248E-2</v>
      </c>
      <c r="E50" s="4">
        <f t="shared" si="3"/>
        <v>3.8148349024031969E-2</v>
      </c>
      <c r="F50" s="4">
        <f t="shared" si="3"/>
        <v>1.2063567189100248E-3</v>
      </c>
      <c r="G50" s="4">
        <f t="shared" si="3"/>
        <v>3.8148349024031965E-4</v>
      </c>
    </row>
    <row r="51" spans="2:7" x14ac:dyDescent="0.35">
      <c r="B51">
        <v>3.5000000000000003E-2</v>
      </c>
      <c r="C51" s="4">
        <f t="shared" si="3"/>
        <v>3.9843679532448918E-3</v>
      </c>
      <c r="D51" s="4">
        <f t="shared" si="3"/>
        <v>1.2599677768437128E-2</v>
      </c>
      <c r="E51" s="4">
        <f t="shared" si="3"/>
        <v>3.9843679532448911E-2</v>
      </c>
      <c r="F51" s="4">
        <f t="shared" si="3"/>
        <v>1.2599677768437129E-3</v>
      </c>
      <c r="G51" s="4">
        <f t="shared" si="3"/>
        <v>3.9843679532448905E-4</v>
      </c>
    </row>
    <row r="52" spans="2:7" x14ac:dyDescent="0.35">
      <c r="B52">
        <v>3.5999999999999997E-2</v>
      </c>
      <c r="C52" s="4">
        <f t="shared" si="3"/>
        <v>4.1563405375268326E-3</v>
      </c>
      <c r="D52" s="4">
        <f t="shared" si="3"/>
        <v>1.3143502829873335E-2</v>
      </c>
      <c r="E52" s="4">
        <f t="shared" si="3"/>
        <v>4.1563405375268328E-2</v>
      </c>
      <c r="F52" s="4">
        <f t="shared" si="3"/>
        <v>1.3143502829873336E-3</v>
      </c>
      <c r="G52" s="4">
        <f t="shared" si="3"/>
        <v>4.156340537526832E-4</v>
      </c>
    </row>
    <row r="53" spans="2:7" x14ac:dyDescent="0.35">
      <c r="B53">
        <v>3.6999999999999998E-2</v>
      </c>
      <c r="C53" s="4">
        <f t="shared" si="3"/>
        <v>4.3307185274936502E-3</v>
      </c>
      <c r="D53" s="4">
        <f t="shared" si="3"/>
        <v>1.3694934451970467E-2</v>
      </c>
      <c r="E53" s="4">
        <f t="shared" si="3"/>
        <v>4.3307185274936495E-2</v>
      </c>
      <c r="F53" s="4">
        <f t="shared" si="3"/>
        <v>1.3694934451970468E-3</v>
      </c>
      <c r="G53" s="4">
        <f t="shared" si="3"/>
        <v>4.3307185274936498E-4</v>
      </c>
    </row>
    <row r="54" spans="2:7" x14ac:dyDescent="0.35">
      <c r="B54">
        <v>3.7999999999999999E-2</v>
      </c>
      <c r="C54" s="4">
        <f t="shared" si="3"/>
        <v>4.5074691889085408E-3</v>
      </c>
      <c r="D54" s="4">
        <f t="shared" si="3"/>
        <v>1.4253869119982762E-2</v>
      </c>
      <c r="E54" s="4">
        <f t="shared" si="3"/>
        <v>4.507469188908541E-2</v>
      </c>
      <c r="F54" s="4">
        <f t="shared" si="3"/>
        <v>1.4253869119982762E-3</v>
      </c>
      <c r="G54" s="4">
        <f t="shared" si="3"/>
        <v>4.5074691889085406E-4</v>
      </c>
    </row>
    <row r="55" spans="2:7" x14ac:dyDescent="0.35">
      <c r="B55">
        <v>3.9E-2</v>
      </c>
      <c r="C55" s="4">
        <f t="shared" si="3"/>
        <v>4.6865610887183821E-3</v>
      </c>
      <c r="D55" s="4">
        <f t="shared" si="3"/>
        <v>1.4820207433868535E-2</v>
      </c>
      <c r="E55" s="4">
        <f t="shared" si="3"/>
        <v>4.6865610887183815E-2</v>
      </c>
      <c r="F55" s="4">
        <f t="shared" si="3"/>
        <v>1.4820207433868535E-3</v>
      </c>
      <c r="G55" s="4">
        <f t="shared" si="3"/>
        <v>4.6865610887183811E-4</v>
      </c>
    </row>
    <row r="56" spans="2:7" x14ac:dyDescent="0.35">
      <c r="B56">
        <v>0.04</v>
      </c>
      <c r="C56" s="4">
        <f t="shared" si="3"/>
        <v>4.8679640110642023E-3</v>
      </c>
      <c r="D56" s="4">
        <f t="shared" si="3"/>
        <v>1.5393853842691981E-2</v>
      </c>
      <c r="E56" s="4">
        <f t="shared" si="3"/>
        <v>4.867964011064202E-2</v>
      </c>
      <c r="F56" s="4">
        <f t="shared" si="3"/>
        <v>1.5393853842691982E-3</v>
      </c>
      <c r="G56" s="4">
        <f t="shared" si="3"/>
        <v>4.8679640110642017E-4</v>
      </c>
    </row>
    <row r="57" spans="2:7" x14ac:dyDescent="0.35">
      <c r="B57">
        <v>4.1000000000000002E-2</v>
      </c>
      <c r="C57" s="4">
        <f t="shared" si="3"/>
        <v>5.0516488806915403E-3</v>
      </c>
      <c r="D57" s="4">
        <f t="shared" si="3"/>
        <v>1.5974716402425454E-2</v>
      </c>
      <c r="E57" s="4">
        <f t="shared" si="3"/>
        <v>5.0516488806915394E-2</v>
      </c>
      <c r="F57" s="4">
        <f t="shared" si="3"/>
        <v>1.5974716402425454E-3</v>
      </c>
      <c r="G57" s="4">
        <f t="shared" si="3"/>
        <v>5.0516488806915392E-4</v>
      </c>
    </row>
    <row r="58" spans="2:7" x14ac:dyDescent="0.35">
      <c r="B58">
        <v>4.2000000000000003E-2</v>
      </c>
      <c r="C58" s="4">
        <f t="shared" si="3"/>
        <v>5.2375876929429957E-3</v>
      </c>
      <c r="D58" s="4">
        <f t="shared" si="3"/>
        <v>1.6562706554566473E-2</v>
      </c>
      <c r="E58" s="4">
        <f t="shared" si="3"/>
        <v>5.2375876929429951E-2</v>
      </c>
      <c r="F58" s="4">
        <f t="shared" si="3"/>
        <v>1.6562706554566473E-3</v>
      </c>
      <c r="G58" s="4">
        <f t="shared" si="3"/>
        <v>5.2375876929429952E-4</v>
      </c>
    </row>
    <row r="59" spans="2:7" x14ac:dyDescent="0.35">
      <c r="B59">
        <v>4.2999999999999997E-2</v>
      </c>
      <c r="C59" s="4">
        <f t="shared" si="3"/>
        <v>5.4257534496229215E-3</v>
      </c>
      <c r="D59" s="4">
        <f t="shared" si="3"/>
        <v>1.7157738923324083E-2</v>
      </c>
      <c r="E59" s="4">
        <f t="shared" si="3"/>
        <v>5.4257534496229207E-2</v>
      </c>
      <c r="F59" s="4">
        <f t="shared" si="3"/>
        <v>1.7157738923324081E-3</v>
      </c>
      <c r="G59" s="4">
        <f t="shared" si="3"/>
        <v>5.4257534496229202E-4</v>
      </c>
    </row>
    <row r="60" spans="2:7" x14ac:dyDescent="0.35">
      <c r="B60">
        <v>4.3999999999999997E-2</v>
      </c>
      <c r="C60" s="4">
        <f t="shared" si="3"/>
        <v>5.6161201001157937E-3</v>
      </c>
      <c r="D60" s="4">
        <f t="shared" si="3"/>
        <v>1.7759731129418775E-2</v>
      </c>
      <c r="E60" s="4">
        <f t="shared" si="3"/>
        <v>5.6161201001157929E-2</v>
      </c>
      <c r="F60" s="4">
        <f t="shared" si="3"/>
        <v>1.7759731129418773E-3</v>
      </c>
      <c r="G60" s="4">
        <f t="shared" ref="G60:G69" si="4">(3/4/PI())^(0.5)*($E$11*$F$11/2/$G$11*PRODUCT($C$11:$D$11))^(1.5)*$B60^(1.5)/SQRT(G$14)</f>
        <v>5.6161201001157931E-4</v>
      </c>
    </row>
    <row r="61" spans="2:7" x14ac:dyDescent="0.35">
      <c r="B61">
        <v>4.4999999999999998E-2</v>
      </c>
      <c r="C61" s="4">
        <f t="shared" si="3"/>
        <v>5.8086624872175103E-3</v>
      </c>
      <c r="D61" s="4">
        <f t="shared" si="3"/>
        <v>1.8368603618786027E-2</v>
      </c>
      <c r="E61" s="4">
        <f t="shared" si="3"/>
        <v>5.8086624872175099E-2</v>
      </c>
      <c r="F61" s="4">
        <f t="shared" si="3"/>
        <v>1.8368603618786024E-3</v>
      </c>
      <c r="G61" s="4">
        <f t="shared" si="4"/>
        <v>5.8086624872175096E-4</v>
      </c>
    </row>
    <row r="62" spans="2:7" x14ac:dyDescent="0.35">
      <c r="B62">
        <v>4.5999999999999999E-2</v>
      </c>
      <c r="C62" s="4">
        <f t="shared" si="3"/>
        <v>6.0033562972054274E-3</v>
      </c>
      <c r="D62" s="4">
        <f t="shared" si="3"/>
        <v>1.8984279504683885E-2</v>
      </c>
      <c r="E62" s="4">
        <f t="shared" si="3"/>
        <v>6.0033562972054269E-2</v>
      </c>
      <c r="F62" s="4">
        <f t="shared" si="3"/>
        <v>1.8984279504683883E-3</v>
      </c>
      <c r="G62" s="4">
        <f t="shared" si="4"/>
        <v>6.0033562972054266E-4</v>
      </c>
    </row>
    <row r="63" spans="2:7" x14ac:dyDescent="0.35">
      <c r="B63">
        <v>4.7E-2</v>
      </c>
      <c r="C63" s="4">
        <f t="shared" si="3"/>
        <v>6.2001780137299596E-3</v>
      </c>
      <c r="D63" s="4">
        <f t="shared" si="3"/>
        <v>1.9606684421885404E-2</v>
      </c>
      <c r="E63" s="4">
        <f t="shared" si="3"/>
        <v>6.2001780137299595E-2</v>
      </c>
      <c r="F63" s="4">
        <f t="shared" si="3"/>
        <v>1.9606684421885406E-3</v>
      </c>
      <c r="G63" s="4">
        <f t="shared" si="4"/>
        <v>6.200178013729959E-4</v>
      </c>
    </row>
    <row r="64" spans="2:7" x14ac:dyDescent="0.35">
      <c r="B64">
        <v>4.8000000000000001E-2</v>
      </c>
      <c r="C64" s="4">
        <f t="shared" si="3"/>
        <v>6.3991048751596566E-3</v>
      </c>
      <c r="D64" s="4">
        <f t="shared" si="3"/>
        <v>2.0235746391791945E-2</v>
      </c>
      <c r="E64" s="4">
        <f t="shared" si="3"/>
        <v>6.3991048751596558E-2</v>
      </c>
      <c r="F64" s="4">
        <f t="shared" si="3"/>
        <v>2.0235746391791946E-3</v>
      </c>
      <c r="G64" s="4">
        <f t="shared" si="4"/>
        <v>6.3991048751596558E-4</v>
      </c>
    </row>
    <row r="65" spans="2:7" x14ac:dyDescent="0.35">
      <c r="B65">
        <v>4.9000000000000002E-2</v>
      </c>
      <c r="C65" s="4">
        <f t="shared" si="3"/>
        <v>6.6001148350541845E-3</v>
      </c>
      <c r="D65" s="4">
        <f t="shared" si="3"/>
        <v>2.0871395697437751E-2</v>
      </c>
      <c r="E65" s="4">
        <f t="shared" si="3"/>
        <v>6.6001148350541841E-2</v>
      </c>
      <c r="F65" s="4">
        <f t="shared" si="3"/>
        <v>2.0871395697437752E-3</v>
      </c>
      <c r="G65" s="4">
        <f t="shared" si="4"/>
        <v>6.6001148350541827E-4</v>
      </c>
    </row>
    <row r="66" spans="2:7" x14ac:dyDescent="0.35">
      <c r="B66">
        <v>0.05</v>
      </c>
      <c r="C66" s="4">
        <f t="shared" si="3"/>
        <v>6.8031865254763067E-3</v>
      </c>
      <c r="D66" s="4">
        <f t="shared" si="3"/>
        <v>2.1513564767472258E-2</v>
      </c>
      <c r="E66" s="4">
        <f t="shared" si="3"/>
        <v>6.8031865254763055E-2</v>
      </c>
      <c r="F66" s="4">
        <f t="shared" si="3"/>
        <v>2.1513564767472256E-3</v>
      </c>
      <c r="G66" s="4">
        <f t="shared" si="4"/>
        <v>6.8031865254763058E-4</v>
      </c>
    </row>
    <row r="67" spans="2:7" x14ac:dyDescent="0.35">
      <c r="B67">
        <v>5.0999999999999997E-2</v>
      </c>
      <c r="C67" s="4">
        <f t="shared" si="3"/>
        <v>7.0082992228859163E-3</v>
      </c>
      <c r="D67" s="4">
        <f t="shared" si="3"/>
        <v>2.2162188068307543E-2</v>
      </c>
      <c r="E67" s="4">
        <f t="shared" si="3"/>
        <v>7.0082992228859151E-2</v>
      </c>
      <c r="F67" s="4">
        <f t="shared" si="3"/>
        <v>2.2162188068307544E-3</v>
      </c>
      <c r="G67" s="4">
        <f t="shared" si="4"/>
        <v>7.0082992228859145E-4</v>
      </c>
    </row>
    <row r="68" spans="2:7" x14ac:dyDescent="0.35">
      <c r="B68">
        <v>5.1999999999999998E-2</v>
      </c>
      <c r="C68" s="4">
        <f t="shared" si="3"/>
        <v>7.2154328163871575E-3</v>
      </c>
      <c r="D68" s="4">
        <f t="shared" si="3"/>
        <v>2.2817202003706918E-2</v>
      </c>
      <c r="E68" s="4">
        <f t="shared" si="3"/>
        <v>7.2154328163871573E-2</v>
      </c>
      <c r="F68" s="4">
        <f t="shared" si="3"/>
        <v>2.2817202003706919E-3</v>
      </c>
      <c r="G68" s="4">
        <f t="shared" si="4"/>
        <v>7.2154328163871566E-4</v>
      </c>
    </row>
    <row r="69" spans="2:7" x14ac:dyDescent="0.35">
      <c r="B69">
        <v>5.2999999999999999E-2</v>
      </c>
      <c r="C69" s="4">
        <f t="shared" si="3"/>
        <v>7.4245677781237538E-3</v>
      </c>
      <c r="D69" s="4">
        <f t="shared" si="3"/>
        <v>2.3478544821166725E-2</v>
      </c>
      <c r="E69" s="4">
        <f t="shared" si="3"/>
        <v>7.4245677781237529E-2</v>
      </c>
      <c r="F69" s="4">
        <f t="shared" si="3"/>
        <v>2.3478544821166725E-3</v>
      </c>
      <c r="G69" s="4">
        <f t="shared" si="4"/>
        <v>7.4245677781237533E-4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99DE5-811B-4E2B-8087-096341D1B68C}">
  <dimension ref="A2:X55"/>
  <sheetViews>
    <sheetView topLeftCell="K35" workbookViewId="0">
      <selection activeCell="M35" sqref="M35:R54"/>
    </sheetView>
  </sheetViews>
  <sheetFormatPr defaultRowHeight="14.5" x14ac:dyDescent="0.35"/>
  <cols>
    <col min="8" max="8" width="17.36328125" bestFit="1" customWidth="1"/>
    <col min="12" max="12" width="13.1796875" bestFit="1" customWidth="1"/>
  </cols>
  <sheetData>
    <row r="2" spans="1:14" x14ac:dyDescent="0.35">
      <c r="A2" t="s">
        <v>21</v>
      </c>
      <c r="K2" t="s">
        <v>29</v>
      </c>
    </row>
    <row r="3" spans="1:14" x14ac:dyDescent="0.35">
      <c r="A3" s="8" t="s">
        <v>27</v>
      </c>
      <c r="K3" s="8" t="s">
        <v>28</v>
      </c>
    </row>
    <row r="4" spans="1:14" x14ac:dyDescent="0.35">
      <c r="A4" s="5" t="s">
        <v>17</v>
      </c>
      <c r="B4">
        <v>241</v>
      </c>
      <c r="C4">
        <v>242</v>
      </c>
      <c r="D4">
        <v>243</v>
      </c>
      <c r="K4" s="5" t="s">
        <v>17</v>
      </c>
      <c r="L4">
        <v>241</v>
      </c>
      <c r="M4">
        <v>242</v>
      </c>
      <c r="N4">
        <v>243</v>
      </c>
    </row>
    <row r="5" spans="1:14" x14ac:dyDescent="0.35">
      <c r="A5" t="s">
        <v>18</v>
      </c>
      <c r="B5">
        <v>1.15462E-4</v>
      </c>
      <c r="C5">
        <v>6.0853199999999995E-4</v>
      </c>
      <c r="D5">
        <v>3.19162E-4</v>
      </c>
      <c r="K5" t="s">
        <v>18</v>
      </c>
      <c r="L5" s="1">
        <v>9.7955900000000002E-5</v>
      </c>
      <c r="M5">
        <v>5.1139600000000001E-4</v>
      </c>
      <c r="N5">
        <v>2.70506E-4</v>
      </c>
    </row>
    <row r="6" spans="1:14" x14ac:dyDescent="0.35">
      <c r="A6" t="s">
        <v>19</v>
      </c>
      <c r="B6">
        <v>0.24638599999999999</v>
      </c>
      <c r="C6">
        <v>2.60791</v>
      </c>
      <c r="D6">
        <v>0.17860999999999999</v>
      </c>
      <c r="K6" t="s">
        <v>19</v>
      </c>
      <c r="L6">
        <v>0.24343100000000001</v>
      </c>
      <c r="M6">
        <v>2.5423900000000001</v>
      </c>
      <c r="N6">
        <v>0.17412</v>
      </c>
    </row>
    <row r="7" spans="1:14" x14ac:dyDescent="0.35">
      <c r="A7" t="s">
        <v>20</v>
      </c>
      <c r="B7">
        <v>1.3225100000000001</v>
      </c>
      <c r="C7">
        <v>0.26227099999999998</v>
      </c>
      <c r="D7">
        <v>1.02799</v>
      </c>
      <c r="K7" t="s">
        <v>20</v>
      </c>
      <c r="L7">
        <v>1.2496100000000001</v>
      </c>
      <c r="M7">
        <v>0.24241299999999999</v>
      </c>
      <c r="N7">
        <v>0.96117399999999997</v>
      </c>
    </row>
    <row r="9" spans="1:14" x14ac:dyDescent="0.35">
      <c r="A9" s="5" t="s">
        <v>22</v>
      </c>
      <c r="B9">
        <v>242</v>
      </c>
      <c r="C9">
        <v>244</v>
      </c>
      <c r="H9">
        <v>0.15811700000000001</v>
      </c>
      <c r="I9" t="s">
        <v>0</v>
      </c>
      <c r="K9" s="5" t="s">
        <v>22</v>
      </c>
      <c r="L9">
        <v>242</v>
      </c>
      <c r="M9">
        <v>244</v>
      </c>
    </row>
    <row r="10" spans="1:14" x14ac:dyDescent="0.35">
      <c r="A10" t="s">
        <v>18</v>
      </c>
      <c r="B10" s="1">
        <v>1.8950800000000002E-5</v>
      </c>
      <c r="C10">
        <v>1.34318E-4</v>
      </c>
      <c r="H10">
        <v>0.47775899999999999</v>
      </c>
      <c r="I10">
        <v>0.40249699999999999</v>
      </c>
      <c r="K10" t="s">
        <v>18</v>
      </c>
      <c r="L10" s="1">
        <v>1.6074800000000001E-5</v>
      </c>
      <c r="M10">
        <v>1.1406E-4</v>
      </c>
    </row>
    <row r="11" spans="1:14" x14ac:dyDescent="0.35">
      <c r="A11" t="s">
        <v>19</v>
      </c>
      <c r="B11" t="s">
        <v>0</v>
      </c>
      <c r="C11">
        <v>0.40249699999999999</v>
      </c>
      <c r="K11" t="s">
        <v>19</v>
      </c>
      <c r="L11" t="s">
        <v>0</v>
      </c>
      <c r="M11">
        <v>0.41198800000000002</v>
      </c>
    </row>
    <row r="12" spans="1:14" x14ac:dyDescent="0.35">
      <c r="A12" t="s">
        <v>20</v>
      </c>
      <c r="B12">
        <v>0.15811700000000001</v>
      </c>
      <c r="C12">
        <v>0.47775899999999999</v>
      </c>
      <c r="K12" t="s">
        <v>20</v>
      </c>
      <c r="L12">
        <v>0.13947999999999999</v>
      </c>
      <c r="M12">
        <v>0.44873800000000003</v>
      </c>
    </row>
    <row r="14" spans="1:14" x14ac:dyDescent="0.35">
      <c r="A14" s="5" t="s">
        <v>23</v>
      </c>
      <c r="B14">
        <v>237</v>
      </c>
      <c r="K14" s="5" t="s">
        <v>23</v>
      </c>
      <c r="L14">
        <v>237</v>
      </c>
    </row>
    <row r="15" spans="1:14" x14ac:dyDescent="0.35">
      <c r="A15" t="s">
        <v>18</v>
      </c>
      <c r="B15">
        <v>3.3129999999999998E-4</v>
      </c>
      <c r="K15" t="s">
        <v>18</v>
      </c>
      <c r="L15">
        <v>2.8056000000000001E-4</v>
      </c>
    </row>
    <row r="16" spans="1:14" x14ac:dyDescent="0.35">
      <c r="A16" t="s">
        <v>19</v>
      </c>
      <c r="B16">
        <v>0.325463</v>
      </c>
      <c r="K16" t="s">
        <v>19</v>
      </c>
      <c r="L16">
        <v>0.33449099999999998</v>
      </c>
    </row>
    <row r="17" spans="1:16" x14ac:dyDescent="0.35">
      <c r="A17" t="s">
        <v>20</v>
      </c>
      <c r="B17">
        <v>1.0840799999999999</v>
      </c>
      <c r="K17" t="s">
        <v>20</v>
      </c>
      <c r="L17">
        <v>1.0119899999999999</v>
      </c>
    </row>
    <row r="19" spans="1:16" x14ac:dyDescent="0.35">
      <c r="A19" s="5" t="s">
        <v>24</v>
      </c>
      <c r="B19">
        <v>238</v>
      </c>
      <c r="C19">
        <v>239</v>
      </c>
      <c r="D19">
        <v>240</v>
      </c>
      <c r="E19">
        <v>241</v>
      </c>
      <c r="F19">
        <v>242</v>
      </c>
      <c r="K19" s="5" t="s">
        <v>24</v>
      </c>
      <c r="L19">
        <v>238</v>
      </c>
      <c r="M19">
        <v>239</v>
      </c>
      <c r="N19">
        <v>240</v>
      </c>
      <c r="O19">
        <v>241</v>
      </c>
      <c r="P19">
        <v>242</v>
      </c>
    </row>
    <row r="20" spans="1:16" x14ac:dyDescent="0.35">
      <c r="A20" t="s">
        <v>18</v>
      </c>
      <c r="B20">
        <v>4.7831099999999998E-4</v>
      </c>
      <c r="C20">
        <v>3.6465599999999999E-4</v>
      </c>
      <c r="D20">
        <v>2.51804E-4</v>
      </c>
      <c r="E20">
        <v>2.1024699999999999E-3</v>
      </c>
      <c r="F20">
        <v>6.5772599999999997E-4</v>
      </c>
      <c r="K20" t="s">
        <v>18</v>
      </c>
      <c r="L20">
        <v>4.0351500000000002E-4</v>
      </c>
      <c r="M20">
        <v>3.0696500000000003E-4</v>
      </c>
      <c r="N20">
        <v>2.1326299999999999E-4</v>
      </c>
      <c r="O20">
        <v>1.75786E-3</v>
      </c>
      <c r="P20">
        <v>5.5843799999999997E-4</v>
      </c>
    </row>
    <row r="21" spans="1:16" x14ac:dyDescent="0.35">
      <c r="A21" t="s">
        <v>19</v>
      </c>
      <c r="B21" t="s">
        <v>0</v>
      </c>
      <c r="C21">
        <v>1.6164099999999999</v>
      </c>
      <c r="D21" t="s">
        <v>0</v>
      </c>
      <c r="E21">
        <v>2.0578599999999998</v>
      </c>
      <c r="F21">
        <v>0.25118699999999999</v>
      </c>
      <c r="K21" t="s">
        <v>19</v>
      </c>
      <c r="L21" t="s">
        <v>0</v>
      </c>
      <c r="M21">
        <v>1.6029899999999999</v>
      </c>
      <c r="N21" t="s">
        <v>0</v>
      </c>
      <c r="O21">
        <v>2.0021800000000001</v>
      </c>
      <c r="P21">
        <v>0.25529099999999999</v>
      </c>
    </row>
    <row r="22" spans="1:16" x14ac:dyDescent="0.35">
      <c r="A22" t="s">
        <v>20</v>
      </c>
      <c r="B22">
        <v>0.50646400000000003</v>
      </c>
      <c r="C22">
        <v>0.27236399999999999</v>
      </c>
      <c r="D22">
        <v>0.338893</v>
      </c>
      <c r="E22">
        <v>0.298238</v>
      </c>
      <c r="F22">
        <v>0.28825699999999999</v>
      </c>
      <c r="K22" t="s">
        <v>20</v>
      </c>
      <c r="L22">
        <v>0.47955700000000001</v>
      </c>
      <c r="M22">
        <v>0.248172</v>
      </c>
      <c r="N22">
        <v>0.31570500000000001</v>
      </c>
      <c r="O22">
        <v>0.279783</v>
      </c>
      <c r="P22">
        <v>0.26823799999999998</v>
      </c>
    </row>
    <row r="24" spans="1:16" x14ac:dyDescent="0.35">
      <c r="A24" s="5" t="s">
        <v>25</v>
      </c>
      <c r="B24">
        <v>235</v>
      </c>
      <c r="C24">
        <v>238</v>
      </c>
      <c r="K24" s="5" t="s">
        <v>25</v>
      </c>
      <c r="L24">
        <v>235</v>
      </c>
      <c r="M24">
        <v>238</v>
      </c>
    </row>
    <row r="25" spans="1:16" x14ac:dyDescent="0.35">
      <c r="A25" t="s">
        <v>18</v>
      </c>
      <c r="B25">
        <v>1.20678E-3</v>
      </c>
      <c r="C25">
        <v>1.5598299999999999E-3</v>
      </c>
      <c r="K25" t="s">
        <v>18</v>
      </c>
      <c r="L25">
        <v>1.0140500000000001E-3</v>
      </c>
      <c r="M25">
        <v>1.32423E-3</v>
      </c>
    </row>
    <row r="26" spans="1:16" x14ac:dyDescent="0.35">
      <c r="A26" t="s">
        <v>19</v>
      </c>
      <c r="B26">
        <v>1.54213</v>
      </c>
      <c r="C26">
        <v>3.5474800000000001E-2</v>
      </c>
      <c r="K26" t="s">
        <v>19</v>
      </c>
      <c r="L26">
        <v>1.4972399999999999</v>
      </c>
      <c r="M26">
        <v>3.26421E-2</v>
      </c>
    </row>
    <row r="27" spans="1:16" x14ac:dyDescent="0.35">
      <c r="A27" t="s">
        <v>20</v>
      </c>
      <c r="B27">
        <v>0.372643</v>
      </c>
      <c r="C27">
        <v>0.20038300000000001</v>
      </c>
      <c r="K27" t="s">
        <v>20</v>
      </c>
      <c r="L27">
        <v>0.34780699999999998</v>
      </c>
      <c r="M27">
        <v>0.19114500000000001</v>
      </c>
    </row>
    <row r="28" spans="1:16" x14ac:dyDescent="0.35">
      <c r="H28">
        <v>0.50646400000000003</v>
      </c>
      <c r="I28" t="s">
        <v>0</v>
      </c>
    </row>
    <row r="29" spans="1:16" x14ac:dyDescent="0.35">
      <c r="A29" s="5" t="s">
        <v>26</v>
      </c>
      <c r="B29">
        <v>90</v>
      </c>
      <c r="C29">
        <v>91</v>
      </c>
      <c r="D29">
        <v>92</v>
      </c>
      <c r="E29">
        <v>94</v>
      </c>
      <c r="H29">
        <v>0.27236399999999999</v>
      </c>
      <c r="I29">
        <v>1.6164099999999999</v>
      </c>
      <c r="K29" s="5" t="s">
        <v>26</v>
      </c>
      <c r="L29">
        <v>90</v>
      </c>
      <c r="M29">
        <v>91</v>
      </c>
      <c r="N29">
        <v>92</v>
      </c>
      <c r="O29">
        <v>94</v>
      </c>
    </row>
    <row r="30" spans="1:16" x14ac:dyDescent="0.35">
      <c r="A30" t="s">
        <v>20</v>
      </c>
      <c r="B30">
        <v>9.4735700000000006E-3</v>
      </c>
      <c r="C30">
        <v>3.2755699999999999E-2</v>
      </c>
      <c r="D30">
        <v>2.88729E-2</v>
      </c>
      <c r="E30">
        <v>1.8935500000000001E-2</v>
      </c>
      <c r="H30">
        <v>0.338893</v>
      </c>
      <c r="I30" t="s">
        <v>0</v>
      </c>
      <c r="K30" t="s">
        <v>20</v>
      </c>
      <c r="L30">
        <v>9.1271900000000003E-3</v>
      </c>
      <c r="M30">
        <v>2.8998400000000001E-2</v>
      </c>
      <c r="N30">
        <v>2.8311800000000002E-2</v>
      </c>
      <c r="O30">
        <v>1.8454100000000001E-2</v>
      </c>
    </row>
    <row r="31" spans="1:16" x14ac:dyDescent="0.35">
      <c r="H31">
        <v>0.298238</v>
      </c>
      <c r="I31">
        <v>2.0578599999999998</v>
      </c>
    </row>
    <row r="32" spans="1:16" x14ac:dyDescent="0.35">
      <c r="H32">
        <v>0.28825699999999999</v>
      </c>
      <c r="I32">
        <v>0.25118699999999999</v>
      </c>
    </row>
    <row r="35" spans="1:24" x14ac:dyDescent="0.35">
      <c r="M35" s="5" t="s">
        <v>55</v>
      </c>
      <c r="S35" s="5" t="s">
        <v>54</v>
      </c>
    </row>
    <row r="36" spans="1:24" x14ac:dyDescent="0.35">
      <c r="A36" t="s">
        <v>30</v>
      </c>
      <c r="B36" t="s">
        <v>31</v>
      </c>
      <c r="C36" t="s">
        <v>32</v>
      </c>
      <c r="M36" t="s">
        <v>52</v>
      </c>
      <c r="O36" t="s">
        <v>53</v>
      </c>
      <c r="S36" t="s">
        <v>52</v>
      </c>
      <c r="U36" t="s">
        <v>53</v>
      </c>
    </row>
    <row r="37" spans="1:24" x14ac:dyDescent="0.35">
      <c r="A37" t="s">
        <v>33</v>
      </c>
      <c r="B37" t="s">
        <v>34</v>
      </c>
      <c r="C37">
        <v>-11.8</v>
      </c>
      <c r="G37" t="s">
        <v>56</v>
      </c>
      <c r="H37" t="s">
        <v>48</v>
      </c>
      <c r="I37" t="s">
        <v>49</v>
      </c>
      <c r="J37" t="s">
        <v>49</v>
      </c>
      <c r="K37" t="s">
        <v>50</v>
      </c>
      <c r="L37" t="s">
        <v>51</v>
      </c>
      <c r="M37" t="s">
        <v>15</v>
      </c>
      <c r="N37" t="s">
        <v>16</v>
      </c>
      <c r="O37" t="s">
        <v>15</v>
      </c>
      <c r="P37" t="s">
        <v>16</v>
      </c>
      <c r="Q37" t="s">
        <v>58</v>
      </c>
      <c r="R37" t="s">
        <v>59</v>
      </c>
      <c r="S37" t="s">
        <v>15</v>
      </c>
      <c r="T37" t="s">
        <v>16</v>
      </c>
      <c r="U37" t="s">
        <v>15</v>
      </c>
      <c r="V37" t="s">
        <v>16</v>
      </c>
      <c r="W37" t="s">
        <v>58</v>
      </c>
      <c r="X37" t="s">
        <v>59</v>
      </c>
    </row>
    <row r="38" spans="1:24" x14ac:dyDescent="0.35">
      <c r="B38" t="s">
        <v>35</v>
      </c>
      <c r="C38">
        <v>-0.1</v>
      </c>
      <c r="G38">
        <v>40</v>
      </c>
      <c r="H38">
        <f>0.1*51.45/100</f>
        <v>5.1450000000000003E-2</v>
      </c>
      <c r="I38">
        <v>90</v>
      </c>
      <c r="J38">
        <v>90</v>
      </c>
      <c r="K38" s="1">
        <v>6.0220000000000003E+23</v>
      </c>
      <c r="L38" s="1">
        <f t="shared" ref="L38:L41" si="0">H38/J38*K38</f>
        <v>3.4425766666666672E+20</v>
      </c>
      <c r="M38">
        <v>9.4735700000000006E-3</v>
      </c>
      <c r="O38" s="9">
        <f t="shared" ref="O38:O41" si="1">M38*$L38</f>
        <v>3.2613491032033341E+18</v>
      </c>
      <c r="P38" s="9">
        <f t="shared" ref="P38:P41" si="2">N38*$L38</f>
        <v>0</v>
      </c>
      <c r="Q38" s="3">
        <f t="shared" ref="Q38:Q41" si="3">O38/SUM($O$38:$O$54)*100</f>
        <v>0.66016201490228354</v>
      </c>
      <c r="R38" s="3">
        <f>P38/SUM($P$38:$P$54)*100</f>
        <v>0</v>
      </c>
      <c r="S38">
        <v>9.4735700000000006E-3</v>
      </c>
      <c r="U38" s="9">
        <f t="shared" ref="U38:U41" si="4">S38*$L38</f>
        <v>3.2613491032033341E+18</v>
      </c>
      <c r="V38" s="9">
        <f t="shared" ref="V38:V41" si="5">T38*$L38</f>
        <v>0</v>
      </c>
      <c r="W38" s="3">
        <f t="shared" ref="W38:W41" si="6">U38/SUM($U$38:$U$54)*100</f>
        <v>0.69615358577953557</v>
      </c>
      <c r="X38" s="3">
        <f>V38/SUM($V$38:$V$54)*100</f>
        <v>0</v>
      </c>
    </row>
    <row r="39" spans="1:24" x14ac:dyDescent="0.35">
      <c r="B39" t="s">
        <v>36</v>
      </c>
      <c r="C39">
        <v>-1.24E-3</v>
      </c>
      <c r="G39">
        <v>40</v>
      </c>
      <c r="H39">
        <f>0.1*11.22/100</f>
        <v>1.1220000000000001E-2</v>
      </c>
      <c r="I39">
        <v>91</v>
      </c>
      <c r="J39">
        <v>91</v>
      </c>
      <c r="K39" s="1">
        <v>6.0220000000000003E+23</v>
      </c>
      <c r="L39" s="1">
        <f t="shared" si="0"/>
        <v>7.424927472527473E+19</v>
      </c>
      <c r="M39">
        <v>3.2755699999999999E-2</v>
      </c>
      <c r="O39" s="9">
        <f t="shared" si="1"/>
        <v>2.4320869681186816E+18</v>
      </c>
      <c r="P39" s="9">
        <f t="shared" si="2"/>
        <v>0</v>
      </c>
      <c r="Q39" s="3">
        <f t="shared" si="3"/>
        <v>0.49230284231571658</v>
      </c>
      <c r="R39" s="3">
        <f t="shared" ref="R39:R54" si="7">P39/SUM($P$38:$P$54)*100</f>
        <v>0</v>
      </c>
      <c r="S39">
        <v>3.2755699999999999E-2</v>
      </c>
      <c r="U39" s="9">
        <f t="shared" si="4"/>
        <v>2.4320869681186816E+18</v>
      </c>
      <c r="V39" s="9">
        <f t="shared" si="5"/>
        <v>0</v>
      </c>
      <c r="W39" s="3">
        <f t="shared" si="6"/>
        <v>0.51914284862068616</v>
      </c>
      <c r="X39" s="3">
        <f t="shared" ref="X39:X54" si="8">V39/SUM($V$38:$V$54)*100</f>
        <v>0</v>
      </c>
    </row>
    <row r="40" spans="1:24" x14ac:dyDescent="0.35">
      <c r="B40" t="s">
        <v>37</v>
      </c>
      <c r="C40">
        <v>-0.78269</v>
      </c>
      <c r="G40">
        <v>40</v>
      </c>
      <c r="H40">
        <f>0.1*17.15/100</f>
        <v>1.7149999999999999E-2</v>
      </c>
      <c r="I40">
        <v>92</v>
      </c>
      <c r="J40">
        <v>92</v>
      </c>
      <c r="K40" s="1">
        <v>6.0220000000000003E+23</v>
      </c>
      <c r="L40" s="1">
        <f t="shared" si="0"/>
        <v>1.1225793478260869E+20</v>
      </c>
      <c r="M40">
        <v>2.88729E-2</v>
      </c>
      <c r="O40" s="9">
        <f t="shared" si="1"/>
        <v>3.2412121251847823E+18</v>
      </c>
      <c r="P40" s="9">
        <f t="shared" si="2"/>
        <v>0</v>
      </c>
      <c r="Q40" s="3">
        <f t="shared" si="3"/>
        <v>0.65608588948237279</v>
      </c>
      <c r="R40" s="3">
        <f t="shared" si="7"/>
        <v>0</v>
      </c>
      <c r="S40">
        <v>2.88729E-2</v>
      </c>
      <c r="U40" s="9">
        <f t="shared" si="4"/>
        <v>3.2412121251847823E+18</v>
      </c>
      <c r="V40" s="9">
        <f t="shared" si="5"/>
        <v>0</v>
      </c>
      <c r="W40" s="3">
        <f t="shared" si="6"/>
        <v>0.69185523285540063</v>
      </c>
      <c r="X40" s="3">
        <f t="shared" si="8"/>
        <v>0</v>
      </c>
    </row>
    <row r="41" spans="1:24" x14ac:dyDescent="0.35">
      <c r="B41" t="s">
        <v>38</v>
      </c>
      <c r="C41">
        <v>-5.6999999999999998E-4</v>
      </c>
      <c r="G41">
        <v>40</v>
      </c>
      <c r="H41">
        <f>0.1*17.38/100</f>
        <v>1.738E-2</v>
      </c>
      <c r="I41">
        <v>94</v>
      </c>
      <c r="J41">
        <v>94</v>
      </c>
      <c r="K41" s="1">
        <v>6.0220000000000003E+23</v>
      </c>
      <c r="L41" s="1">
        <f t="shared" si="0"/>
        <v>1.1134293617021277E+20</v>
      </c>
      <c r="M41">
        <v>1.8935500000000001E-2</v>
      </c>
      <c r="O41" s="9">
        <f t="shared" si="1"/>
        <v>2.1083341678510641E+18</v>
      </c>
      <c r="P41" s="9">
        <f t="shared" si="2"/>
        <v>0</v>
      </c>
      <c r="Q41" s="3">
        <f t="shared" si="3"/>
        <v>0.42676882734473431</v>
      </c>
      <c r="R41" s="3">
        <f t="shared" si="7"/>
        <v>0</v>
      </c>
      <c r="S41">
        <v>1.8935500000000001E-2</v>
      </c>
      <c r="U41" s="9">
        <f t="shared" si="4"/>
        <v>2.1083341678510641E+18</v>
      </c>
      <c r="V41" s="9">
        <f t="shared" si="5"/>
        <v>0</v>
      </c>
      <c r="W41" s="3">
        <f t="shared" si="6"/>
        <v>0.45003596503343224</v>
      </c>
      <c r="X41" s="3">
        <f t="shared" si="8"/>
        <v>0</v>
      </c>
    </row>
    <row r="42" spans="1:24" x14ac:dyDescent="0.35">
      <c r="B42" t="s">
        <v>39</v>
      </c>
      <c r="C42">
        <v>-2.5000000000000001E-4</v>
      </c>
      <c r="G42" t="str">
        <f t="shared" ref="G42:G54" si="9">LEFT(B39,2)</f>
        <v>92</v>
      </c>
      <c r="H42">
        <v>1.24E-3</v>
      </c>
      <c r="I42" t="str">
        <f t="shared" ref="I42:I54" si="10">RIGHT(LEFT(B39,5),3)</f>
        <v>235</v>
      </c>
      <c r="J42">
        <f t="shared" ref="J42:J54" si="11">_xlfn.NUMBERVALUE(I42)</f>
        <v>235</v>
      </c>
      <c r="K42" s="1">
        <v>6.0220000000000003E+23</v>
      </c>
      <c r="L42" s="1">
        <f>H42/J42*K42</f>
        <v>3.1775659574468086E+18</v>
      </c>
      <c r="M42">
        <v>0.372643</v>
      </c>
      <c r="N42">
        <v>1.54213</v>
      </c>
      <c r="O42" s="9">
        <f t="shared" ref="O42:O54" si="12">M42*$L42</f>
        <v>1.1840977110808512E+18</v>
      </c>
      <c r="P42" s="9">
        <f t="shared" ref="P42:P54" si="13">N42*$L42</f>
        <v>4.9002197899574467E+18</v>
      </c>
      <c r="Q42" s="3">
        <f>O42/SUM($O$38:$O$54)*100</f>
        <v>0.23968496044183854</v>
      </c>
      <c r="R42" s="3">
        <f t="shared" si="7"/>
        <v>1.0001511821769968</v>
      </c>
      <c r="S42" s="10">
        <v>0.34780699999999998</v>
      </c>
      <c r="T42" s="10">
        <v>1.4972399999999999</v>
      </c>
      <c r="U42" s="9">
        <f t="shared" ref="U42:V44" si="14">S42*$L42</f>
        <v>1.105179682961702E+18</v>
      </c>
      <c r="V42" s="9">
        <f t="shared" si="14"/>
        <v>4.757578854127659E+18</v>
      </c>
      <c r="W42" s="3">
        <f>U42/SUM($U$38:$U$54)*100</f>
        <v>0.23590691302221842</v>
      </c>
      <c r="X42" s="3">
        <f t="shared" si="8"/>
        <v>0.98984470162837201</v>
      </c>
    </row>
    <row r="43" spans="1:24" x14ac:dyDescent="0.35">
      <c r="B43" t="s">
        <v>40</v>
      </c>
      <c r="C43">
        <v>-9.9709999999999993E-2</v>
      </c>
      <c r="G43" t="str">
        <f t="shared" si="9"/>
        <v>92</v>
      </c>
      <c r="H43">
        <v>0.78269</v>
      </c>
      <c r="I43" t="str">
        <f t="shared" si="10"/>
        <v>238</v>
      </c>
      <c r="J43">
        <f t="shared" si="11"/>
        <v>238</v>
      </c>
      <c r="K43" s="1">
        <v>6.0220000000000003E+23</v>
      </c>
      <c r="L43" s="1">
        <f t="shared" ref="L43:L54" si="15">H43/J43*K43</f>
        <v>1.9804030168067227E+21</v>
      </c>
      <c r="M43">
        <v>0.20038300000000001</v>
      </c>
      <c r="N43">
        <v>3.5474800000000001E-2</v>
      </c>
      <c r="O43" s="9">
        <f t="shared" si="12"/>
        <v>3.9683909771678155E+20</v>
      </c>
      <c r="P43" s="9">
        <f t="shared" si="13"/>
        <v>7.0254400940615131E+19</v>
      </c>
      <c r="Q43" s="3">
        <f t="shared" ref="Q43:Q54" si="16">O43/SUM($O$38:$O$54)*100</f>
        <v>80.328137237254609</v>
      </c>
      <c r="R43" s="3">
        <f t="shared" si="7"/>
        <v>14.339157255332649</v>
      </c>
      <c r="S43" s="10">
        <v>0.19114500000000001</v>
      </c>
      <c r="T43" s="10">
        <v>3.26421E-2</v>
      </c>
      <c r="U43" s="9">
        <f t="shared" si="14"/>
        <v>3.7854413464752102E+20</v>
      </c>
      <c r="V43" s="9">
        <f t="shared" si="14"/>
        <v>6.4644513314906726E+19</v>
      </c>
      <c r="W43" s="3">
        <f t="shared" ref="W43:W54" si="17">U43/SUM($U$38:$U$54)*100</f>
        <v>80.802406725439468</v>
      </c>
      <c r="X43" s="3">
        <f t="shared" si="8"/>
        <v>13.449704346695038</v>
      </c>
    </row>
    <row r="44" spans="1:24" x14ac:dyDescent="0.35">
      <c r="B44" t="s">
        <v>41</v>
      </c>
      <c r="C44">
        <v>-1.272E-2</v>
      </c>
      <c r="G44" t="str">
        <f t="shared" si="9"/>
        <v>93</v>
      </c>
      <c r="H44">
        <v>5.6999999999999998E-4</v>
      </c>
      <c r="I44" t="str">
        <f t="shared" si="10"/>
        <v>237</v>
      </c>
      <c r="J44">
        <f t="shared" si="11"/>
        <v>237</v>
      </c>
      <c r="K44" s="1">
        <v>6.0220000000000003E+23</v>
      </c>
      <c r="L44" s="1">
        <f t="shared" si="15"/>
        <v>1.4483291139240507E+18</v>
      </c>
      <c r="M44">
        <v>1.0840799999999999</v>
      </c>
      <c r="N44">
        <v>0.325463</v>
      </c>
      <c r="O44" s="9">
        <f t="shared" si="12"/>
        <v>1.5701046258227848E+18</v>
      </c>
      <c r="P44" s="9">
        <f t="shared" si="13"/>
        <v>4.713775384050633E+17</v>
      </c>
      <c r="Q44" s="3">
        <f t="shared" si="16"/>
        <v>0.31782044809998428</v>
      </c>
      <c r="R44" s="3">
        <f t="shared" si="7"/>
        <v>9.6209725786932682E-2</v>
      </c>
      <c r="S44" s="10">
        <v>1.0119899999999999</v>
      </c>
      <c r="T44" s="10">
        <v>0.33449099999999998</v>
      </c>
      <c r="U44" s="9">
        <f t="shared" si="14"/>
        <v>1.46569458E+18</v>
      </c>
      <c r="V44" s="9">
        <f t="shared" si="14"/>
        <v>4.844530536455696E+17</v>
      </c>
      <c r="W44" s="3">
        <f t="shared" si="17"/>
        <v>0.31286087604741003</v>
      </c>
      <c r="X44" s="3">
        <f t="shared" si="8"/>
        <v>0.10079355551252947</v>
      </c>
    </row>
    <row r="45" spans="1:24" x14ac:dyDescent="0.35">
      <c r="B45" t="s">
        <v>42</v>
      </c>
      <c r="C45">
        <v>-1.41E-3</v>
      </c>
      <c r="G45" t="str">
        <f t="shared" si="9"/>
        <v>94</v>
      </c>
      <c r="H45">
        <v>2.5000000000000001E-4</v>
      </c>
      <c r="I45" t="str">
        <f t="shared" si="10"/>
        <v>238</v>
      </c>
      <c r="J45">
        <f t="shared" si="11"/>
        <v>238</v>
      </c>
      <c r="K45" s="1">
        <v>6.0220000000000003E+23</v>
      </c>
      <c r="L45" s="1">
        <f t="shared" si="15"/>
        <v>6.325630252100841E+17</v>
      </c>
      <c r="M45">
        <v>0.50646400000000003</v>
      </c>
      <c r="O45" s="9">
        <f t="shared" si="12"/>
        <v>3.2037040000000006E+17</v>
      </c>
      <c r="P45" s="9">
        <f t="shared" si="13"/>
        <v>0</v>
      </c>
      <c r="Q45" s="3">
        <f t="shared" si="16"/>
        <v>6.4849349789421945E-2</v>
      </c>
      <c r="R45" s="3">
        <f t="shared" si="7"/>
        <v>0</v>
      </c>
      <c r="S45" s="10">
        <v>0.47955700000000001</v>
      </c>
      <c r="T45" s="10" t="s">
        <v>0</v>
      </c>
      <c r="U45" s="9">
        <f t="shared" ref="U45:U54" si="18">S45*$L45</f>
        <v>3.0335002668067232E+17</v>
      </c>
      <c r="V45" s="9"/>
      <c r="W45" s="3">
        <f t="shared" si="17"/>
        <v>6.4751795081564922E-2</v>
      </c>
      <c r="X45" s="3">
        <f t="shared" si="8"/>
        <v>0</v>
      </c>
    </row>
    <row r="46" spans="1:24" x14ac:dyDescent="0.35">
      <c r="B46" t="s">
        <v>43</v>
      </c>
      <c r="C46">
        <v>-6.3000000000000003E-4</v>
      </c>
      <c r="G46" t="str">
        <f t="shared" si="9"/>
        <v>94</v>
      </c>
      <c r="H46">
        <v>9.9709999999999993E-2</v>
      </c>
      <c r="I46" t="str">
        <f t="shared" si="10"/>
        <v>239</v>
      </c>
      <c r="J46">
        <f t="shared" si="11"/>
        <v>239</v>
      </c>
      <c r="K46" s="1">
        <v>6.0220000000000003E+23</v>
      </c>
      <c r="L46" s="1">
        <f t="shared" si="15"/>
        <v>2.5123582426778242E+20</v>
      </c>
      <c r="M46">
        <v>0.27236399999999999</v>
      </c>
      <c r="N46">
        <v>1.6164099999999999</v>
      </c>
      <c r="O46" s="9">
        <f t="shared" si="12"/>
        <v>6.8427594040870289E+19</v>
      </c>
      <c r="P46" s="9">
        <f t="shared" si="13"/>
        <v>4.0610009870468619E+20</v>
      </c>
      <c r="Q46" s="3">
        <f t="shared" si="16"/>
        <v>13.851107908860996</v>
      </c>
      <c r="R46" s="3">
        <f t="shared" si="7"/>
        <v>82.886382899411572</v>
      </c>
      <c r="S46" s="10">
        <v>0.248172</v>
      </c>
      <c r="T46" s="10">
        <v>1.6029899999999999</v>
      </c>
      <c r="U46" s="9">
        <f t="shared" si="18"/>
        <v>6.2349696980184097E+19</v>
      </c>
      <c r="V46" s="9">
        <f>T46*$L46</f>
        <v>4.0272851394301251E+20</v>
      </c>
      <c r="W46" s="3">
        <f t="shared" si="17"/>
        <v>13.30889878743425</v>
      </c>
      <c r="X46" s="3">
        <f t="shared" si="8"/>
        <v>83.790242462361135</v>
      </c>
    </row>
    <row r="47" spans="1:24" x14ac:dyDescent="0.35">
      <c r="B47" t="s">
        <v>44</v>
      </c>
      <c r="C47">
        <v>-5.9999999999999995E-4</v>
      </c>
      <c r="G47" t="str">
        <f t="shared" si="9"/>
        <v>94</v>
      </c>
      <c r="H47">
        <v>1.272E-2</v>
      </c>
      <c r="I47" t="str">
        <f t="shared" si="10"/>
        <v>240</v>
      </c>
      <c r="J47">
        <f t="shared" si="11"/>
        <v>240</v>
      </c>
      <c r="K47" s="1">
        <v>6.0220000000000003E+23</v>
      </c>
      <c r="L47" s="1">
        <f t="shared" si="15"/>
        <v>3.19166E+19</v>
      </c>
      <c r="M47">
        <v>0.338893</v>
      </c>
      <c r="O47" s="9">
        <f t="shared" si="12"/>
        <v>1.0816312323800001E+19</v>
      </c>
      <c r="P47" s="9">
        <f t="shared" si="13"/>
        <v>0</v>
      </c>
      <c r="Q47" s="3">
        <f t="shared" si="16"/>
        <v>2.1894370432403911</v>
      </c>
      <c r="R47" s="3">
        <f t="shared" si="7"/>
        <v>0</v>
      </c>
      <c r="S47" s="10">
        <v>0.31570500000000001</v>
      </c>
      <c r="T47" s="10" t="s">
        <v>0</v>
      </c>
      <c r="U47" s="9">
        <f t="shared" si="18"/>
        <v>1.0076230203000001E+19</v>
      </c>
      <c r="V47" s="9"/>
      <c r="W47" s="3">
        <f t="shared" si="17"/>
        <v>2.1508288640638575</v>
      </c>
      <c r="X47" s="3">
        <f t="shared" si="8"/>
        <v>0</v>
      </c>
    </row>
    <row r="48" spans="1:24" x14ac:dyDescent="0.35">
      <c r="B48" t="s">
        <v>57</v>
      </c>
      <c r="C48">
        <v>-2.0000000000000002E-5</v>
      </c>
      <c r="G48" t="str">
        <f t="shared" si="9"/>
        <v>94</v>
      </c>
      <c r="H48">
        <v>1.41E-3</v>
      </c>
      <c r="I48" t="str">
        <f t="shared" si="10"/>
        <v>241</v>
      </c>
      <c r="J48">
        <f t="shared" si="11"/>
        <v>241</v>
      </c>
      <c r="K48" s="1">
        <v>6.0220000000000003E+23</v>
      </c>
      <c r="L48" s="1">
        <f t="shared" si="15"/>
        <v>3.5232448132780083E+18</v>
      </c>
      <c r="M48">
        <v>0.298238</v>
      </c>
      <c r="N48">
        <v>2.0578599999999998</v>
      </c>
      <c r="O48" s="9">
        <f t="shared" si="12"/>
        <v>1.0507654866224067E+18</v>
      </c>
      <c r="P48" s="9">
        <f t="shared" si="13"/>
        <v>7.2503445714522819E+18</v>
      </c>
      <c r="Q48" s="3">
        <f t="shared" si="16"/>
        <v>0.21269586262847193</v>
      </c>
      <c r="R48" s="3">
        <f t="shared" si="7"/>
        <v>1.479819478544562</v>
      </c>
      <c r="S48" s="10">
        <v>0.279783</v>
      </c>
      <c r="T48" s="10">
        <v>2.0021800000000001</v>
      </c>
      <c r="U48" s="9">
        <f t="shared" si="18"/>
        <v>9.8574400359336102E+17</v>
      </c>
      <c r="V48" s="9">
        <f>T48*$L48</f>
        <v>7.0541703002489631E+18</v>
      </c>
      <c r="W48" s="3">
        <f t="shared" si="17"/>
        <v>0.21041268537862795</v>
      </c>
      <c r="X48" s="3">
        <f t="shared" si="8"/>
        <v>1.4676652369151246</v>
      </c>
    </row>
    <row r="49" spans="2:24" x14ac:dyDescent="0.35">
      <c r="B49" t="s">
        <v>45</v>
      </c>
      <c r="C49">
        <v>-1.1E-4</v>
      </c>
      <c r="G49" t="str">
        <f t="shared" si="9"/>
        <v>94</v>
      </c>
      <c r="H49">
        <v>6.3000000000000003E-4</v>
      </c>
      <c r="I49" t="str">
        <f t="shared" si="10"/>
        <v>242</v>
      </c>
      <c r="J49">
        <f t="shared" si="11"/>
        <v>242</v>
      </c>
      <c r="K49" s="1">
        <v>6.0220000000000003E+23</v>
      </c>
      <c r="L49" s="1">
        <f t="shared" si="15"/>
        <v>1.567710743801653E+18</v>
      </c>
      <c r="M49">
        <v>0.28825699999999999</v>
      </c>
      <c r="N49">
        <v>0.25118699999999999</v>
      </c>
      <c r="O49" s="9">
        <f t="shared" si="12"/>
        <v>4.5190359587603309E+17</v>
      </c>
      <c r="P49" s="9">
        <f t="shared" si="13"/>
        <v>3.9378855860330579E+17</v>
      </c>
      <c r="Q49" s="3">
        <f t="shared" si="16"/>
        <v>9.1474288386387881E-2</v>
      </c>
      <c r="R49" s="3">
        <f t="shared" si="7"/>
        <v>8.0373556553938186E-2</v>
      </c>
      <c r="S49" s="10">
        <v>0.26823799999999998</v>
      </c>
      <c r="T49" s="10">
        <v>0.25529099999999999</v>
      </c>
      <c r="U49" s="9">
        <f t="shared" si="18"/>
        <v>4.2051959449586778E+17</v>
      </c>
      <c r="V49" s="9">
        <f>T49*$L49</f>
        <v>4.0022244349586778E+17</v>
      </c>
      <c r="W49" s="3">
        <f t="shared" si="17"/>
        <v>8.9762308276447905E-2</v>
      </c>
      <c r="X49" s="3">
        <f t="shared" si="8"/>
        <v>8.3268838481455706E-2</v>
      </c>
    </row>
    <row r="50" spans="2:24" x14ac:dyDescent="0.35">
      <c r="B50" t="s">
        <v>46</v>
      </c>
      <c r="C50">
        <v>-2.0000000000000002E-5</v>
      </c>
      <c r="G50" t="str">
        <f t="shared" si="9"/>
        <v>95</v>
      </c>
      <c r="H50">
        <v>5.9999999999999995E-4</v>
      </c>
      <c r="I50" t="str">
        <f t="shared" si="10"/>
        <v>241</v>
      </c>
      <c r="J50">
        <f t="shared" si="11"/>
        <v>241</v>
      </c>
      <c r="K50" s="1">
        <v>6.0220000000000003E+23</v>
      </c>
      <c r="L50" s="1">
        <f t="shared" si="15"/>
        <v>1.499253112033195E+18</v>
      </c>
      <c r="M50">
        <v>1.3225100000000001</v>
      </c>
      <c r="N50">
        <v>0.24638599999999999</v>
      </c>
      <c r="O50" s="9">
        <f t="shared" si="12"/>
        <v>1.9827772331950208E+18</v>
      </c>
      <c r="P50" s="9">
        <f t="shared" si="13"/>
        <v>3.6939497726141075E+17</v>
      </c>
      <c r="Q50" s="3">
        <f t="shared" si="16"/>
        <v>0.4013536030481159</v>
      </c>
      <c r="R50" s="3">
        <f t="shared" si="7"/>
        <v>7.5394745344974243E-2</v>
      </c>
      <c r="S50" s="10">
        <v>1.2496100000000001</v>
      </c>
      <c r="T50" s="10">
        <v>0.24343100000000001</v>
      </c>
      <c r="U50" s="9">
        <f t="shared" si="18"/>
        <v>1.8734816813278011E+18</v>
      </c>
      <c r="V50" s="9">
        <f>T50*$L50</f>
        <v>3.649646843153527E+17</v>
      </c>
      <c r="W50" s="3">
        <f t="shared" si="17"/>
        <v>0.39990536096475882</v>
      </c>
      <c r="X50" s="3">
        <f t="shared" si="8"/>
        <v>7.5933236237923155E-2</v>
      </c>
    </row>
    <row r="51" spans="2:24" x14ac:dyDescent="0.35">
      <c r="B51" t="s">
        <v>47</v>
      </c>
      <c r="C51">
        <v>-3.0000000000000001E-5</v>
      </c>
      <c r="G51" t="str">
        <f t="shared" si="9"/>
        <v>95</v>
      </c>
      <c r="H51">
        <v>2.0000000000000002E-5</v>
      </c>
      <c r="I51" t="str">
        <f t="shared" si="10"/>
        <v>242</v>
      </c>
      <c r="J51">
        <f t="shared" si="11"/>
        <v>242</v>
      </c>
      <c r="K51" s="1">
        <v>6.0220000000000003E+23</v>
      </c>
      <c r="L51" s="1">
        <f t="shared" si="15"/>
        <v>4.976859504132232E+16</v>
      </c>
      <c r="M51">
        <v>0.26227099999999998</v>
      </c>
      <c r="N51">
        <v>2.60791</v>
      </c>
      <c r="O51" s="9">
        <f t="shared" si="12"/>
        <v>1.3052859190082646E+16</v>
      </c>
      <c r="P51" s="9">
        <f t="shared" si="13"/>
        <v>1.297920166942149E+17</v>
      </c>
      <c r="Q51" s="3">
        <f t="shared" si="16"/>
        <v>2.6421586743648607E-3</v>
      </c>
      <c r="R51" s="3">
        <f t="shared" si="7"/>
        <v>2.6490982955477357E-2</v>
      </c>
      <c r="S51" s="10">
        <v>0.24241299999999999</v>
      </c>
      <c r="T51" s="10">
        <v>2.5423900000000001</v>
      </c>
      <c r="U51" s="9">
        <f t="shared" si="18"/>
        <v>1.2064554429752068E+16</v>
      </c>
      <c r="V51" s="9">
        <f>T51*$L51</f>
        <v>1.2653117834710746E+17</v>
      </c>
      <c r="W51" s="3">
        <f t="shared" si="17"/>
        <v>2.5752480220087148E-3</v>
      </c>
      <c r="X51" s="3">
        <f t="shared" si="8"/>
        <v>2.6325620723872126E-2</v>
      </c>
    </row>
    <row r="52" spans="2:24" x14ac:dyDescent="0.35">
      <c r="G52" t="str">
        <f t="shared" si="9"/>
        <v>95</v>
      </c>
      <c r="H52">
        <v>1.1E-4</v>
      </c>
      <c r="I52" t="str">
        <f t="shared" si="10"/>
        <v>243</v>
      </c>
      <c r="J52">
        <f t="shared" si="11"/>
        <v>243</v>
      </c>
      <c r="K52" s="1">
        <v>6.0220000000000003E+23</v>
      </c>
      <c r="L52" s="1">
        <f t="shared" si="15"/>
        <v>2.7260082304526749E+17</v>
      </c>
      <c r="M52">
        <v>1.02799</v>
      </c>
      <c r="N52">
        <v>0.17860999999999999</v>
      </c>
      <c r="O52" s="9">
        <f t="shared" si="12"/>
        <v>2.8023092008230451E+17</v>
      </c>
      <c r="P52" s="9">
        <f t="shared" si="13"/>
        <v>4.8689233004115224E+16</v>
      </c>
      <c r="Q52" s="3">
        <f t="shared" si="16"/>
        <v>5.6724319594534667E-2</v>
      </c>
      <c r="R52" s="3">
        <f t="shared" si="7"/>
        <v>9.9376346440941937E-3</v>
      </c>
      <c r="S52" s="10">
        <v>0.96117399999999997</v>
      </c>
      <c r="T52" s="10">
        <v>0.17412</v>
      </c>
      <c r="U52" s="9">
        <f t="shared" si="18"/>
        <v>2.6201682348971194E+17</v>
      </c>
      <c r="V52" s="9">
        <f>T52*$L52</f>
        <v>4.7465255308641976E+16</v>
      </c>
      <c r="W52" s="3">
        <f t="shared" si="17"/>
        <v>5.5928986880848588E-2</v>
      </c>
      <c r="X52" s="3">
        <f t="shared" si="8"/>
        <v>9.8754498704597873E-3</v>
      </c>
    </row>
    <row r="53" spans="2:24" x14ac:dyDescent="0.35">
      <c r="G53" t="str">
        <f t="shared" si="9"/>
        <v>96</v>
      </c>
      <c r="H53">
        <v>2.0000000000000002E-5</v>
      </c>
      <c r="I53" t="str">
        <f t="shared" si="10"/>
        <v>242</v>
      </c>
      <c r="J53">
        <f t="shared" si="11"/>
        <v>242</v>
      </c>
      <c r="K53" s="1">
        <v>6.0220000000000003E+23</v>
      </c>
      <c r="L53" s="1">
        <f t="shared" si="15"/>
        <v>4.976859504132232E+16</v>
      </c>
      <c r="M53">
        <v>0.15811700000000001</v>
      </c>
      <c r="O53" s="9">
        <f t="shared" si="12"/>
        <v>7869260942148762</v>
      </c>
      <c r="P53" s="9">
        <f t="shared" si="13"/>
        <v>0</v>
      </c>
      <c r="Q53" s="3">
        <f t="shared" si="16"/>
        <v>1.5928951470599066E-3</v>
      </c>
      <c r="R53" s="3">
        <f t="shared" si="7"/>
        <v>0</v>
      </c>
      <c r="S53" s="10">
        <v>0.13947999999999999</v>
      </c>
      <c r="T53" s="10" t="s">
        <v>0</v>
      </c>
      <c r="U53" s="9">
        <f t="shared" si="18"/>
        <v>6941723636363637</v>
      </c>
      <c r="V53" s="9"/>
      <c r="W53" s="3">
        <f t="shared" si="17"/>
        <v>1.4817505418842037E-3</v>
      </c>
      <c r="X53" s="3">
        <f t="shared" si="8"/>
        <v>0</v>
      </c>
    </row>
    <row r="54" spans="2:24" x14ac:dyDescent="0.35">
      <c r="G54" t="str">
        <f t="shared" si="9"/>
        <v>96</v>
      </c>
      <c r="H54">
        <v>3.0000000000000001E-5</v>
      </c>
      <c r="I54" t="str">
        <f t="shared" si="10"/>
        <v>244</v>
      </c>
      <c r="J54">
        <f t="shared" si="11"/>
        <v>244</v>
      </c>
      <c r="K54" s="1">
        <v>6.0220000000000003E+23</v>
      </c>
      <c r="L54" s="1">
        <f t="shared" si="15"/>
        <v>7.4040983606557392E+16</v>
      </c>
      <c r="M54">
        <v>0.47775899999999999</v>
      </c>
      <c r="N54">
        <v>0.40249699999999999</v>
      </c>
      <c r="O54" s="9">
        <f t="shared" si="12"/>
        <v>3.5373746286885252E+16</v>
      </c>
      <c r="P54" s="9">
        <f t="shared" si="13"/>
        <v>2.9801273778688532E+16</v>
      </c>
      <c r="Q54" s="3">
        <f t="shared" si="16"/>
        <v>7.160350788713586E-3</v>
      </c>
      <c r="R54" s="3">
        <f t="shared" si="7"/>
        <v>6.0825392487944933E-3</v>
      </c>
      <c r="S54" s="10">
        <v>0.44873800000000003</v>
      </c>
      <c r="T54" s="10">
        <v>0.41198800000000002</v>
      </c>
      <c r="U54" s="9">
        <f t="shared" si="18"/>
        <v>3.3225002901639352E+16</v>
      </c>
      <c r="V54" s="9">
        <f>T54*$L54</f>
        <v>3.0503996754098368E+16</v>
      </c>
      <c r="W54" s="3">
        <f t="shared" si="17"/>
        <v>7.0920665576075393E-3</v>
      </c>
      <c r="X54" s="3">
        <f t="shared" si="8"/>
        <v>6.3465515740925502E-3</v>
      </c>
    </row>
    <row r="55" spans="2:24" x14ac:dyDescent="0.35">
      <c r="Q55" s="3"/>
      <c r="R55" s="3"/>
      <c r="W55" s="3"/>
      <c r="X55" s="3"/>
    </row>
  </sheetData>
  <conditionalFormatting sqref="Q38:R5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8:X5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D7A5-E5A2-412C-B9FB-90D848B477FB}">
  <dimension ref="C1:DI2008"/>
  <sheetViews>
    <sheetView topLeftCell="CP1" zoomScale="85" zoomScaleNormal="85" workbookViewId="0">
      <selection activeCell="DE16" sqref="DE16:DF19"/>
    </sheetView>
  </sheetViews>
  <sheetFormatPr defaultRowHeight="14.5" x14ac:dyDescent="0.35"/>
  <cols>
    <col min="38" max="38" width="9.90625" bestFit="1" customWidth="1"/>
    <col min="48" max="48" width="11.81640625" bestFit="1" customWidth="1"/>
    <col min="66" max="66" width="11.81640625" bestFit="1" customWidth="1"/>
    <col min="67" max="67" width="16.6328125" bestFit="1" customWidth="1"/>
    <col min="68" max="68" width="11.81640625" bestFit="1" customWidth="1"/>
    <col min="72" max="74" width="11.81640625" bestFit="1" customWidth="1"/>
    <col min="93" max="93" width="11.26953125" bestFit="1" customWidth="1"/>
    <col min="112" max="112" width="11.7265625" customWidth="1"/>
  </cols>
  <sheetData>
    <row r="1" spans="3:113" x14ac:dyDescent="0.35">
      <c r="J1" t="s">
        <v>63</v>
      </c>
    </row>
    <row r="2" spans="3:113" x14ac:dyDescent="0.35">
      <c r="C2" t="s">
        <v>62</v>
      </c>
      <c r="D2" t="s">
        <v>61</v>
      </c>
      <c r="E2" t="s">
        <v>60</v>
      </c>
      <c r="F2" t="s">
        <v>66</v>
      </c>
      <c r="G2" t="s">
        <v>67</v>
      </c>
      <c r="I2" t="s">
        <v>61</v>
      </c>
      <c r="J2" t="s">
        <v>64</v>
      </c>
      <c r="O2" t="s">
        <v>65</v>
      </c>
      <c r="R2" t="s">
        <v>68</v>
      </c>
    </row>
    <row r="3" spans="3:113" x14ac:dyDescent="0.35">
      <c r="C3">
        <f>LN(D4/D3)</f>
        <v>1.2866865706823596E-2</v>
      </c>
      <c r="D3" s="1">
        <v>1E-10</v>
      </c>
      <c r="E3">
        <v>0</v>
      </c>
      <c r="F3">
        <v>0</v>
      </c>
      <c r="G3">
        <v>0</v>
      </c>
      <c r="I3" s="1">
        <v>1E-10</v>
      </c>
      <c r="J3">
        <f>E3/SUM($E$3:$E$2002)/$C$3</f>
        <v>0</v>
      </c>
      <c r="K3">
        <v>0</v>
      </c>
      <c r="L3">
        <v>0</v>
      </c>
      <c r="N3" s="1">
        <v>1E-10</v>
      </c>
      <c r="O3">
        <f>F3/SUM($F$3:$F$2002)/$C$3</f>
        <v>0</v>
      </c>
      <c r="Q3" s="1">
        <v>1E-10</v>
      </c>
      <c r="R3">
        <f>G3/SUM($G$3:$G$2002)/$C$3</f>
        <v>0</v>
      </c>
      <c r="AI3" t="s">
        <v>69</v>
      </c>
      <c r="AJ3" t="s">
        <v>70</v>
      </c>
      <c r="AK3" t="s">
        <v>97</v>
      </c>
      <c r="AL3" t="s">
        <v>98</v>
      </c>
      <c r="AM3" t="s">
        <v>99</v>
      </c>
    </row>
    <row r="4" spans="3:113" x14ac:dyDescent="0.35">
      <c r="D4" s="1">
        <v>1.01295E-10</v>
      </c>
      <c r="E4">
        <v>0</v>
      </c>
      <c r="F4">
        <v>0</v>
      </c>
      <c r="G4">
        <v>0</v>
      </c>
      <c r="I4" s="1">
        <v>1.01295E-10</v>
      </c>
      <c r="J4">
        <f t="shared" ref="J4:J67" si="0">E4/SUM($E$3:$E$2002)/$C$3</f>
        <v>0</v>
      </c>
      <c r="K4">
        <v>0</v>
      </c>
      <c r="L4">
        <v>0</v>
      </c>
      <c r="N4" s="1">
        <v>1.01295E-10</v>
      </c>
      <c r="O4">
        <f t="shared" ref="O4:O67" si="1">F4/SUM($F$3:$F$2002)/$C$3</f>
        <v>0</v>
      </c>
      <c r="Q4" s="1">
        <v>1.01295E-10</v>
      </c>
      <c r="R4">
        <f t="shared" ref="R4:R67" si="2">G4/SUM($G$3:$G$2002)/$C$3</f>
        <v>0</v>
      </c>
      <c r="AI4">
        <v>0</v>
      </c>
      <c r="AJ4">
        <f>EXP(-3*((AI4)-0.5)^2)</f>
        <v>0.47236655274101469</v>
      </c>
      <c r="AK4">
        <f>AJ4*AI4^(1/3)*(3-6*AI4)</f>
        <v>0</v>
      </c>
      <c r="AL4">
        <f>AI4^(1/3)*0.472</f>
        <v>0</v>
      </c>
      <c r="CO4" s="1">
        <v>1.00966E-4</v>
      </c>
    </row>
    <row r="5" spans="3:113" x14ac:dyDescent="0.35">
      <c r="D5" s="1">
        <v>1.02607E-10</v>
      </c>
      <c r="E5">
        <v>0</v>
      </c>
      <c r="F5">
        <v>0</v>
      </c>
      <c r="G5">
        <v>0</v>
      </c>
      <c r="I5" s="1">
        <v>1.02607E-10</v>
      </c>
      <c r="J5">
        <f t="shared" si="0"/>
        <v>0</v>
      </c>
      <c r="K5">
        <v>0</v>
      </c>
      <c r="L5">
        <v>0</v>
      </c>
      <c r="N5" s="1">
        <v>1.02607E-10</v>
      </c>
      <c r="O5">
        <f t="shared" si="1"/>
        <v>0</v>
      </c>
      <c r="Q5" s="1">
        <v>1.02607E-10</v>
      </c>
      <c r="R5">
        <f t="shared" si="2"/>
        <v>0</v>
      </c>
      <c r="Y5">
        <f>1/2-1/6</f>
        <v>0.33333333333333337</v>
      </c>
      <c r="AI5">
        <v>0.05</v>
      </c>
      <c r="AJ5">
        <f t="shared" ref="AJ5:AJ24" si="3">EXP(-3*((AI5)-0.5)^2)</f>
        <v>0.54471094563451294</v>
      </c>
      <c r="AK5">
        <f t="shared" ref="AK5:AK24" si="4">AJ5*AI5^(1/3)*(3-6*AI5)</f>
        <v>0.5418177159703691</v>
      </c>
      <c r="AL5">
        <f>AI5^(1/3)*0.472</f>
        <v>0.17388628673582626</v>
      </c>
      <c r="CO5">
        <f>CO4*100</f>
        <v>1.0096599999999999E-2</v>
      </c>
    </row>
    <row r="6" spans="3:113" x14ac:dyDescent="0.35">
      <c r="D6" s="1">
        <v>1.03936E-10</v>
      </c>
      <c r="E6">
        <v>0</v>
      </c>
      <c r="F6">
        <v>0</v>
      </c>
      <c r="G6">
        <v>0</v>
      </c>
      <c r="I6" s="1">
        <v>1.03936E-10</v>
      </c>
      <c r="J6">
        <f t="shared" si="0"/>
        <v>0</v>
      </c>
      <c r="K6">
        <v>0</v>
      </c>
      <c r="L6">
        <v>0</v>
      </c>
      <c r="N6" s="1">
        <v>1.03936E-10</v>
      </c>
      <c r="O6">
        <f t="shared" si="1"/>
        <v>0</v>
      </c>
      <c r="Q6" s="1">
        <v>1.03936E-10</v>
      </c>
      <c r="R6">
        <f t="shared" si="2"/>
        <v>0</v>
      </c>
      <c r="AI6">
        <v>0.1</v>
      </c>
      <c r="AJ6">
        <f t="shared" si="3"/>
        <v>0.61878339180614084</v>
      </c>
      <c r="AK6">
        <f t="shared" si="4"/>
        <v>0.68931313963978191</v>
      </c>
      <c r="AL6">
        <f t="shared" ref="AL6:AL24" si="5">AI6^(1/3)*0.472</f>
        <v>0.2190829929465232</v>
      </c>
    </row>
    <row r="7" spans="3:113" x14ac:dyDescent="0.35">
      <c r="D7" s="1">
        <v>1.05282E-10</v>
      </c>
      <c r="E7">
        <v>0</v>
      </c>
      <c r="F7">
        <v>0</v>
      </c>
      <c r="G7">
        <v>0</v>
      </c>
      <c r="I7" s="1">
        <v>1.05282E-10</v>
      </c>
      <c r="J7">
        <f t="shared" si="0"/>
        <v>0</v>
      </c>
      <c r="K7">
        <v>0</v>
      </c>
      <c r="L7">
        <v>0</v>
      </c>
      <c r="N7" s="1">
        <v>1.05282E-10</v>
      </c>
      <c r="O7">
        <f t="shared" si="1"/>
        <v>0</v>
      </c>
      <c r="Q7" s="1">
        <v>1.05282E-10</v>
      </c>
      <c r="R7">
        <f t="shared" si="2"/>
        <v>0</v>
      </c>
      <c r="AI7">
        <v>0.15</v>
      </c>
      <c r="AJ7">
        <f t="shared" si="3"/>
        <v>0.69246332680864342</v>
      </c>
      <c r="AK7">
        <f t="shared" si="4"/>
        <v>0.77264469248179912</v>
      </c>
      <c r="AL7">
        <f t="shared" si="5"/>
        <v>0.25078742232709622</v>
      </c>
      <c r="DC7" t="s">
        <v>181</v>
      </c>
      <c r="DF7" t="s">
        <v>169</v>
      </c>
      <c r="DH7" t="s">
        <v>34</v>
      </c>
    </row>
    <row r="8" spans="3:113" ht="15" thickBot="1" x14ac:dyDescent="0.4">
      <c r="D8" s="1">
        <v>1.06645E-10</v>
      </c>
      <c r="E8">
        <v>0</v>
      </c>
      <c r="F8">
        <v>0</v>
      </c>
      <c r="G8">
        <v>0</v>
      </c>
      <c r="I8" s="1">
        <v>1.06645E-10</v>
      </c>
      <c r="J8">
        <f t="shared" si="0"/>
        <v>0</v>
      </c>
      <c r="K8">
        <v>0</v>
      </c>
      <c r="L8">
        <v>0</v>
      </c>
      <c r="N8" s="1">
        <v>1.06645E-10</v>
      </c>
      <c r="O8">
        <f t="shared" si="1"/>
        <v>0</v>
      </c>
      <c r="Q8" s="1">
        <v>1.06645E-10</v>
      </c>
      <c r="R8">
        <f t="shared" si="2"/>
        <v>0</v>
      </c>
      <c r="AI8">
        <v>0.2</v>
      </c>
      <c r="AJ8">
        <f t="shared" si="3"/>
        <v>0.76337949433685315</v>
      </c>
      <c r="AK8">
        <f t="shared" si="4"/>
        <v>0.80356866567441354</v>
      </c>
      <c r="AL8">
        <f t="shared" si="5"/>
        <v>0.27602727448729458</v>
      </c>
      <c r="BJ8" t="s">
        <v>100</v>
      </c>
      <c r="BK8" t="s">
        <v>101</v>
      </c>
      <c r="BM8" t="s">
        <v>100</v>
      </c>
      <c r="BN8" t="s">
        <v>102</v>
      </c>
      <c r="BO8" t="s">
        <v>103</v>
      </c>
      <c r="BP8" t="s">
        <v>104</v>
      </c>
      <c r="CH8" t="s">
        <v>61</v>
      </c>
      <c r="CI8" t="s">
        <v>162</v>
      </c>
      <c r="CJ8" t="s">
        <v>163</v>
      </c>
      <c r="CL8" t="s">
        <v>61</v>
      </c>
      <c r="CM8" t="s">
        <v>162</v>
      </c>
      <c r="CN8" t="s">
        <v>163</v>
      </c>
      <c r="CZ8" t="s">
        <v>174</v>
      </c>
      <c r="DA8" t="s">
        <v>169</v>
      </c>
      <c r="DB8">
        <v>3.6035099999999999E-3</v>
      </c>
      <c r="DC8">
        <f>DB8/SUM($DB$8:$DB$17)*100</f>
        <v>2.2473904144696228E-3</v>
      </c>
      <c r="DE8" t="s">
        <v>182</v>
      </c>
      <c r="DF8">
        <f>DC8/SUM($DC$8,$DC$11)*0.0196</f>
        <v>8.8061877521707251E-3</v>
      </c>
      <c r="DI8" t="s">
        <v>168</v>
      </c>
    </row>
    <row r="9" spans="3:113" ht="15" thickBot="1" x14ac:dyDescent="0.4">
      <c r="D9" s="1">
        <v>1.0802600000000001E-10</v>
      </c>
      <c r="E9">
        <v>0</v>
      </c>
      <c r="F9">
        <v>0</v>
      </c>
      <c r="G9">
        <v>0</v>
      </c>
      <c r="I9" s="1">
        <v>1.0802600000000001E-10</v>
      </c>
      <c r="J9">
        <f t="shared" si="0"/>
        <v>0</v>
      </c>
      <c r="K9">
        <v>0</v>
      </c>
      <c r="L9">
        <v>0</v>
      </c>
      <c r="N9" s="1">
        <v>1.0802600000000001E-10</v>
      </c>
      <c r="O9">
        <f t="shared" si="1"/>
        <v>0</v>
      </c>
      <c r="Q9" s="1">
        <v>1.0802600000000001E-10</v>
      </c>
      <c r="R9">
        <f t="shared" si="2"/>
        <v>0</v>
      </c>
      <c r="AI9">
        <v>0.25</v>
      </c>
      <c r="AJ9">
        <f t="shared" si="3"/>
        <v>0.82902911818040037</v>
      </c>
      <c r="AK9">
        <f t="shared" si="4"/>
        <v>0.78338342772845326</v>
      </c>
      <c r="AL9">
        <f t="shared" si="5"/>
        <v>0.29734136777519005</v>
      </c>
      <c r="BJ9">
        <v>0</v>
      </c>
      <c r="BK9">
        <v>0</v>
      </c>
      <c r="BM9">
        <v>0</v>
      </c>
      <c r="BN9">
        <f>$AX$26*BK9</f>
        <v>0</v>
      </c>
      <c r="BO9">
        <f>300000*EXP(-3*((BM9)-0.5)^2)</f>
        <v>141709.9658223044</v>
      </c>
      <c r="BP9" s="1"/>
      <c r="CG9">
        <f>LN(CH10/CH9)</f>
        <v>1.2866865706823596E-2</v>
      </c>
      <c r="CH9" s="1">
        <v>1E-10</v>
      </c>
      <c r="CI9">
        <v>0</v>
      </c>
      <c r="CJ9">
        <f>CI9/$CG$9</f>
        <v>0</v>
      </c>
      <c r="CL9" s="1">
        <v>1E-10</v>
      </c>
      <c r="CM9">
        <v>0</v>
      </c>
      <c r="CN9">
        <f>CM9/$CG$9</f>
        <v>0</v>
      </c>
      <c r="DA9" t="s">
        <v>16</v>
      </c>
      <c r="DB9">
        <v>108.509</v>
      </c>
      <c r="DC9">
        <f t="shared" ref="DC9:DC17" si="6">DB9/SUM($DB$8:$DB$17)*100</f>
        <v>67.673486818042491</v>
      </c>
      <c r="DE9" t="s">
        <v>183</v>
      </c>
      <c r="DF9">
        <f>DC11/SUM($DC$8,$DC$11)*100*0.0196</f>
        <v>1.0793812247829273</v>
      </c>
      <c r="DH9" s="20">
        <v>47.908900000000003</v>
      </c>
      <c r="DI9" t="s">
        <v>16</v>
      </c>
    </row>
    <row r="10" spans="3:113" ht="15" thickBot="1" x14ac:dyDescent="0.4">
      <c r="D10" s="1">
        <v>1.09425E-10</v>
      </c>
      <c r="E10">
        <v>0</v>
      </c>
      <c r="F10">
        <v>0</v>
      </c>
      <c r="G10">
        <v>0</v>
      </c>
      <c r="I10" s="1">
        <v>1.09425E-10</v>
      </c>
      <c r="J10">
        <f t="shared" si="0"/>
        <v>0</v>
      </c>
      <c r="K10">
        <v>0</v>
      </c>
      <c r="L10">
        <v>0</v>
      </c>
      <c r="N10" s="1">
        <v>1.09425E-10</v>
      </c>
      <c r="O10">
        <f t="shared" si="1"/>
        <v>0</v>
      </c>
      <c r="Q10" s="1">
        <v>1.09425E-10</v>
      </c>
      <c r="R10">
        <f t="shared" si="2"/>
        <v>0</v>
      </c>
      <c r="AI10">
        <v>0.3</v>
      </c>
      <c r="AJ10">
        <f t="shared" si="3"/>
        <v>0.88692043671715748</v>
      </c>
      <c r="AK10">
        <f t="shared" si="4"/>
        <v>0.71248051732767959</v>
      </c>
      <c r="AL10">
        <f t="shared" si="5"/>
        <v>0.31597235243878402</v>
      </c>
      <c r="BJ10">
        <v>2.5000000000000001E-2</v>
      </c>
      <c r="BK10">
        <v>0.14380627847689401</v>
      </c>
      <c r="BM10">
        <v>2.5000000000000001E-2</v>
      </c>
      <c r="BN10">
        <f t="shared" ref="BN10:BN53" si="7">$AX$26*BK10</f>
        <v>43.421539008480956</v>
      </c>
      <c r="BO10">
        <f t="shared" ref="BO10:BO53" si="8">300000*EXP(-3*((BM10)-0.5)^2)</f>
        <v>152460.79402839503</v>
      </c>
      <c r="BP10">
        <f t="shared" ref="BP10:BP53" si="9">BO10/BN10</f>
        <v>3511.1789565684644</v>
      </c>
      <c r="CH10" s="1">
        <v>1.01295E-10</v>
      </c>
      <c r="CI10">
        <v>0</v>
      </c>
      <c r="CJ10">
        <f t="shared" ref="CJ10:CJ73" si="10">CI10/$CG$9</f>
        <v>0</v>
      </c>
      <c r="CL10" s="1">
        <v>1.01295E-10</v>
      </c>
      <c r="CM10">
        <v>0</v>
      </c>
      <c r="CN10">
        <f t="shared" ref="CN10:CN73" si="11">CM10/$CG$9</f>
        <v>0</v>
      </c>
      <c r="DA10" t="s">
        <v>175</v>
      </c>
      <c r="DB10">
        <v>36.2089</v>
      </c>
      <c r="DC10">
        <f t="shared" si="6"/>
        <v>22.582297476207678</v>
      </c>
      <c r="DH10" s="21">
        <v>51.590800000000002</v>
      </c>
      <c r="DI10" t="s">
        <v>15</v>
      </c>
    </row>
    <row r="11" spans="3:113" x14ac:dyDescent="0.35">
      <c r="D11" s="1">
        <v>1.1084200000000001E-10</v>
      </c>
      <c r="E11">
        <v>0</v>
      </c>
      <c r="F11">
        <v>0</v>
      </c>
      <c r="G11">
        <v>0</v>
      </c>
      <c r="I11" s="1">
        <v>1.1084200000000001E-10</v>
      </c>
      <c r="J11">
        <f t="shared" si="0"/>
        <v>0</v>
      </c>
      <c r="K11">
        <v>0</v>
      </c>
      <c r="L11">
        <v>0</v>
      </c>
      <c r="N11" s="1">
        <v>1.1084200000000001E-10</v>
      </c>
      <c r="O11">
        <f t="shared" si="1"/>
        <v>0</v>
      </c>
      <c r="Q11" s="1">
        <v>1.1084200000000001E-10</v>
      </c>
      <c r="R11">
        <f t="shared" si="2"/>
        <v>0</v>
      </c>
      <c r="AI11">
        <v>0.35</v>
      </c>
      <c r="AJ11">
        <f t="shared" si="3"/>
        <v>0.93472772061602749</v>
      </c>
      <c r="AK11">
        <f t="shared" si="4"/>
        <v>0.59285749322909154</v>
      </c>
      <c r="AL11">
        <f t="shared" si="5"/>
        <v>0.33263250015346285</v>
      </c>
      <c r="BJ11">
        <v>0.05</v>
      </c>
      <c r="BK11">
        <v>0.192275854650309</v>
      </c>
      <c r="BM11">
        <v>0.05</v>
      </c>
      <c r="BN11">
        <f t="shared" si="7"/>
        <v>58.056669093407237</v>
      </c>
      <c r="BO11">
        <f t="shared" si="8"/>
        <v>163413.28369035388</v>
      </c>
      <c r="BP11">
        <f t="shared" si="9"/>
        <v>2814.7202766221162</v>
      </c>
      <c r="CH11" s="1">
        <v>1.02607E-10</v>
      </c>
      <c r="CI11">
        <v>0</v>
      </c>
      <c r="CJ11">
        <f t="shared" si="10"/>
        <v>0</v>
      </c>
      <c r="CL11" s="1">
        <v>1.02607E-10</v>
      </c>
      <c r="CM11">
        <v>0</v>
      </c>
      <c r="CN11">
        <f t="shared" si="11"/>
        <v>0</v>
      </c>
      <c r="CZ11" t="s">
        <v>176</v>
      </c>
      <c r="DA11" t="s">
        <v>169</v>
      </c>
      <c r="DB11">
        <v>4.4168499999999999E-3</v>
      </c>
      <c r="DC11">
        <f t="shared" si="6"/>
        <v>2.754643764593453E-3</v>
      </c>
      <c r="DF11" t="s">
        <v>16</v>
      </c>
    </row>
    <row r="12" spans="3:113" x14ac:dyDescent="0.35">
      <c r="D12" s="1">
        <v>1.12277E-10</v>
      </c>
      <c r="E12">
        <v>0</v>
      </c>
      <c r="F12">
        <v>0</v>
      </c>
      <c r="G12">
        <v>0</v>
      </c>
      <c r="I12" s="1">
        <v>1.12277E-10</v>
      </c>
      <c r="J12">
        <f t="shared" si="0"/>
        <v>0</v>
      </c>
      <c r="K12">
        <v>0</v>
      </c>
      <c r="L12">
        <v>0</v>
      </c>
      <c r="N12" s="1">
        <v>1.12277E-10</v>
      </c>
      <c r="O12">
        <f t="shared" si="1"/>
        <v>0</v>
      </c>
      <c r="Q12" s="1">
        <v>1.12277E-10</v>
      </c>
      <c r="R12">
        <f t="shared" si="2"/>
        <v>0</v>
      </c>
      <c r="AI12">
        <v>0.4</v>
      </c>
      <c r="AJ12">
        <f t="shared" si="3"/>
        <v>0.97044553354850815</v>
      </c>
      <c r="AK12">
        <f t="shared" si="4"/>
        <v>0.42901822959690933</v>
      </c>
      <c r="AL12">
        <f t="shared" si="5"/>
        <v>0.34777257347165247</v>
      </c>
      <c r="BJ12">
        <v>7.4999999999999997E-2</v>
      </c>
      <c r="BK12">
        <v>0.232518432681904</v>
      </c>
      <c r="BM12">
        <v>7.4999999999999997E-2</v>
      </c>
      <c r="BN12">
        <f t="shared" si="7"/>
        <v>70.207700955910397</v>
      </c>
      <c r="BO12">
        <f t="shared" si="8"/>
        <v>174496.98693690737</v>
      </c>
      <c r="BP12">
        <f t="shared" si="9"/>
        <v>2485.4394113615745</v>
      </c>
      <c r="CH12" s="1">
        <v>1.03936E-10</v>
      </c>
      <c r="CI12">
        <v>0</v>
      </c>
      <c r="CJ12">
        <f t="shared" si="10"/>
        <v>0</v>
      </c>
      <c r="CL12" s="1">
        <v>1.03936E-10</v>
      </c>
      <c r="CM12">
        <v>0</v>
      </c>
      <c r="CN12">
        <f t="shared" si="11"/>
        <v>0</v>
      </c>
      <c r="DA12" t="s">
        <v>16</v>
      </c>
      <c r="DB12">
        <v>0.13961200000000001</v>
      </c>
      <c r="DC12">
        <f t="shared" si="6"/>
        <v>8.7071402755905511E-2</v>
      </c>
      <c r="DE12" t="s">
        <v>182</v>
      </c>
      <c r="DF12">
        <f>$DH$9*DC9/SUM($DC$9,$DC$12)</f>
        <v>47.847337710121877</v>
      </c>
    </row>
    <row r="13" spans="3:113" x14ac:dyDescent="0.35">
      <c r="D13" s="1">
        <v>1.13731E-10</v>
      </c>
      <c r="E13">
        <v>0</v>
      </c>
      <c r="F13">
        <v>0</v>
      </c>
      <c r="G13">
        <v>0</v>
      </c>
      <c r="I13" s="1">
        <v>1.13731E-10</v>
      </c>
      <c r="J13">
        <f t="shared" si="0"/>
        <v>0</v>
      </c>
      <c r="K13">
        <v>0</v>
      </c>
      <c r="L13">
        <v>0</v>
      </c>
      <c r="N13" s="1">
        <v>1.13731E-10</v>
      </c>
      <c r="O13">
        <f t="shared" si="1"/>
        <v>0</v>
      </c>
      <c r="Q13" s="1">
        <v>1.13731E-10</v>
      </c>
      <c r="R13">
        <f t="shared" si="2"/>
        <v>0</v>
      </c>
      <c r="AI13">
        <v>0.45</v>
      </c>
      <c r="AJ13">
        <f t="shared" si="3"/>
        <v>0.99252805481913842</v>
      </c>
      <c r="AK13">
        <f t="shared" si="4"/>
        <v>0.22817508309693924</v>
      </c>
      <c r="AL13">
        <f t="shared" si="5"/>
        <v>0.36169805208975703</v>
      </c>
      <c r="BJ13">
        <v>0.1</v>
      </c>
      <c r="BK13">
        <v>0.26883944811527399</v>
      </c>
      <c r="BM13">
        <v>0.1</v>
      </c>
      <c r="BN13">
        <f t="shared" si="7"/>
        <v>81.174637901720558</v>
      </c>
      <c r="BO13">
        <f t="shared" si="8"/>
        <v>185635.01754184224</v>
      </c>
      <c r="BP13">
        <f t="shared" si="9"/>
        <v>2286.8598165672579</v>
      </c>
      <c r="CH13" s="1">
        <v>1.05282E-10</v>
      </c>
      <c r="CI13">
        <v>0</v>
      </c>
      <c r="CJ13">
        <f t="shared" si="10"/>
        <v>0</v>
      </c>
      <c r="CL13" s="1">
        <v>1.05282E-10</v>
      </c>
      <c r="CM13">
        <v>0</v>
      </c>
      <c r="CN13">
        <f t="shared" si="11"/>
        <v>0</v>
      </c>
      <c r="DA13" t="s">
        <v>175</v>
      </c>
      <c r="DB13">
        <v>15.4727</v>
      </c>
      <c r="DC13">
        <f t="shared" si="6"/>
        <v>9.6498130061978848</v>
      </c>
      <c r="DE13" t="s">
        <v>183</v>
      </c>
      <c r="DF13">
        <f>$DH$9*DC12/SUM($DC$9,$DC$12)</f>
        <v>6.1562289878125655E-2</v>
      </c>
    </row>
    <row r="14" spans="3:113" x14ac:dyDescent="0.35">
      <c r="D14" s="1">
        <v>1.15204E-10</v>
      </c>
      <c r="E14">
        <v>0</v>
      </c>
      <c r="F14">
        <v>0</v>
      </c>
      <c r="G14">
        <v>0</v>
      </c>
      <c r="I14" s="1">
        <v>1.15204E-10</v>
      </c>
      <c r="J14">
        <f t="shared" si="0"/>
        <v>0</v>
      </c>
      <c r="K14">
        <v>0</v>
      </c>
      <c r="L14">
        <v>0</v>
      </c>
      <c r="N14" s="1">
        <v>1.15204E-10</v>
      </c>
      <c r="O14">
        <f t="shared" si="1"/>
        <v>0</v>
      </c>
      <c r="Q14" s="1">
        <v>1.15204E-10</v>
      </c>
      <c r="R14">
        <f t="shared" si="2"/>
        <v>0</v>
      </c>
      <c r="AI14">
        <v>0.5</v>
      </c>
      <c r="AJ14">
        <f t="shared" si="3"/>
        <v>1</v>
      </c>
      <c r="AK14">
        <f t="shared" si="4"/>
        <v>0</v>
      </c>
      <c r="AL14">
        <f t="shared" si="5"/>
        <v>0.3746266482644951</v>
      </c>
      <c r="BJ14">
        <v>0.12159019772232101</v>
      </c>
      <c r="BK14">
        <v>0.29896395530425002</v>
      </c>
      <c r="BM14">
        <v>0.12159019772232101</v>
      </c>
      <c r="BN14">
        <f t="shared" si="7"/>
        <v>90.270572223027386</v>
      </c>
      <c r="BO14">
        <f t="shared" si="8"/>
        <v>195234.33192492212</v>
      </c>
      <c r="BP14">
        <f t="shared" si="9"/>
        <v>2162.768298871149</v>
      </c>
      <c r="CH14" s="1">
        <v>1.06645E-10</v>
      </c>
      <c r="CI14">
        <v>0</v>
      </c>
      <c r="CJ14">
        <f t="shared" si="10"/>
        <v>0</v>
      </c>
      <c r="CL14" s="1">
        <v>1.06645E-10</v>
      </c>
      <c r="CM14">
        <v>0</v>
      </c>
      <c r="CN14">
        <f t="shared" si="11"/>
        <v>0</v>
      </c>
      <c r="CZ14" t="s">
        <v>177</v>
      </c>
      <c r="DA14" t="s">
        <v>175</v>
      </c>
      <c r="DB14" s="1">
        <v>3.4681500000000003E-5</v>
      </c>
      <c r="DC14">
        <f t="shared" si="6"/>
        <v>2.1629708439668056E-5</v>
      </c>
    </row>
    <row r="15" spans="3:113" x14ac:dyDescent="0.35">
      <c r="D15" s="1">
        <v>1.1669600000000001E-10</v>
      </c>
      <c r="E15">
        <v>0</v>
      </c>
      <c r="F15">
        <v>0</v>
      </c>
      <c r="G15">
        <v>0</v>
      </c>
      <c r="I15" s="1">
        <v>1.1669600000000001E-10</v>
      </c>
      <c r="J15">
        <f t="shared" si="0"/>
        <v>0</v>
      </c>
      <c r="K15">
        <v>0</v>
      </c>
      <c r="L15">
        <v>0</v>
      </c>
      <c r="N15" s="1">
        <v>1.1669600000000001E-10</v>
      </c>
      <c r="O15">
        <f t="shared" si="1"/>
        <v>0</v>
      </c>
      <c r="Q15" s="1">
        <v>1.1669600000000001E-10</v>
      </c>
      <c r="R15">
        <f t="shared" si="2"/>
        <v>0</v>
      </c>
      <c r="AI15">
        <v>0.55000000000000004</v>
      </c>
      <c r="AJ15">
        <f t="shared" si="3"/>
        <v>0.99252805481913842</v>
      </c>
      <c r="AK15">
        <f t="shared" si="4"/>
        <v>-0.24395980409436141</v>
      </c>
      <c r="AL15">
        <f t="shared" si="5"/>
        <v>0.38671963972350482</v>
      </c>
      <c r="BJ15">
        <v>0.14318039544464201</v>
      </c>
      <c r="BK15">
        <v>0.328240180052422</v>
      </c>
      <c r="BM15">
        <v>0.14318039544464201</v>
      </c>
      <c r="BN15">
        <f t="shared" si="7"/>
        <v>99.1103721843904</v>
      </c>
      <c r="BO15">
        <f t="shared" si="8"/>
        <v>204756.56466416962</v>
      </c>
      <c r="BP15">
        <f t="shared" si="9"/>
        <v>2065.9448668321943</v>
      </c>
      <c r="CH15" s="1">
        <v>1.0802600000000001E-10</v>
      </c>
      <c r="CI15">
        <v>0</v>
      </c>
      <c r="CJ15">
        <f t="shared" si="10"/>
        <v>0</v>
      </c>
      <c r="CL15" s="1">
        <v>1.0802600000000001E-10</v>
      </c>
      <c r="CM15">
        <v>0</v>
      </c>
      <c r="CN15">
        <f t="shared" si="11"/>
        <v>0</v>
      </c>
      <c r="DA15" t="s">
        <v>179</v>
      </c>
      <c r="DB15">
        <v>2.66293E-3</v>
      </c>
      <c r="DC15">
        <f t="shared" si="6"/>
        <v>1.6607816702058807E-3</v>
      </c>
      <c r="DF15" t="s">
        <v>15</v>
      </c>
    </row>
    <row r="16" spans="3:113" x14ac:dyDescent="0.35">
      <c r="D16" s="1">
        <v>1.18207E-10</v>
      </c>
      <c r="E16">
        <v>0</v>
      </c>
      <c r="F16">
        <v>0</v>
      </c>
      <c r="G16">
        <v>0</v>
      </c>
      <c r="I16" s="1">
        <v>1.18207E-10</v>
      </c>
      <c r="J16">
        <f t="shared" si="0"/>
        <v>0</v>
      </c>
      <c r="K16">
        <v>0</v>
      </c>
      <c r="L16">
        <v>0</v>
      </c>
      <c r="N16" s="1">
        <v>1.18207E-10</v>
      </c>
      <c r="O16">
        <f t="shared" si="1"/>
        <v>0</v>
      </c>
      <c r="Q16" s="1">
        <v>1.18207E-10</v>
      </c>
      <c r="R16">
        <f t="shared" si="2"/>
        <v>0</v>
      </c>
      <c r="AI16">
        <v>0.6</v>
      </c>
      <c r="AJ16">
        <f t="shared" si="3"/>
        <v>0.97044553354850815</v>
      </c>
      <c r="AK16">
        <f t="shared" si="4"/>
        <v>-0.4911032777345975</v>
      </c>
      <c r="AL16">
        <f t="shared" si="5"/>
        <v>0.39810021802242562</v>
      </c>
      <c r="BJ16">
        <v>0.16477059316696299</v>
      </c>
      <c r="BK16">
        <v>0.35685151379923902</v>
      </c>
      <c r="BM16">
        <v>0.16477059316696299</v>
      </c>
      <c r="BN16">
        <f t="shared" si="7"/>
        <v>107.74941185310483</v>
      </c>
      <c r="BO16">
        <f t="shared" si="8"/>
        <v>214143.46959059703</v>
      </c>
      <c r="BP16">
        <f t="shared" si="9"/>
        <v>1987.4212388513045</v>
      </c>
      <c r="CH16" s="1">
        <v>1.09425E-10</v>
      </c>
      <c r="CI16">
        <v>0</v>
      </c>
      <c r="CJ16">
        <f t="shared" si="10"/>
        <v>0</v>
      </c>
      <c r="CL16" s="1">
        <v>1.09425E-10</v>
      </c>
      <c r="CM16">
        <v>0</v>
      </c>
      <c r="CN16">
        <f t="shared" si="11"/>
        <v>0</v>
      </c>
      <c r="CZ16" t="s">
        <v>178</v>
      </c>
      <c r="DA16" t="s">
        <v>180</v>
      </c>
      <c r="DB16">
        <v>6.6744500000000002E-4</v>
      </c>
      <c r="DC16">
        <f t="shared" si="6"/>
        <v>4.162634473570706E-4</v>
      </c>
      <c r="DE16" t="s">
        <v>182</v>
      </c>
      <c r="DF16">
        <f>$DH$10*DC10/SUM($DC$10,$DC$13,$DC$14:$DC$17)</f>
        <v>36.142672304873393</v>
      </c>
    </row>
    <row r="17" spans="4:110" x14ac:dyDescent="0.35">
      <c r="D17" s="1">
        <v>1.19738E-10</v>
      </c>
      <c r="E17">
        <v>0</v>
      </c>
      <c r="F17">
        <v>0</v>
      </c>
      <c r="G17">
        <v>0</v>
      </c>
      <c r="I17" s="1">
        <v>1.19738E-10</v>
      </c>
      <c r="J17">
        <f t="shared" si="0"/>
        <v>0</v>
      </c>
      <c r="K17">
        <v>0</v>
      </c>
      <c r="L17">
        <v>0</v>
      </c>
      <c r="N17" s="1">
        <v>1.19738E-10</v>
      </c>
      <c r="O17">
        <f t="shared" si="1"/>
        <v>0</v>
      </c>
      <c r="Q17" s="1">
        <v>1.19738E-10</v>
      </c>
      <c r="R17">
        <f t="shared" si="2"/>
        <v>0</v>
      </c>
      <c r="AI17">
        <v>0.65</v>
      </c>
      <c r="AJ17">
        <f t="shared" si="3"/>
        <v>0.93472772061602749</v>
      </c>
      <c r="AK17">
        <f t="shared" si="4"/>
        <v>-0.7287279339993924</v>
      </c>
      <c r="AL17">
        <f t="shared" si="5"/>
        <v>0.40886485772090608</v>
      </c>
      <c r="BJ17">
        <v>0.18636079088928501</v>
      </c>
      <c r="BK17">
        <v>0.38485351825650599</v>
      </c>
      <c r="BM17">
        <v>0.18636079088928501</v>
      </c>
      <c r="BN17">
        <f t="shared" si="7"/>
        <v>116.20446779179417</v>
      </c>
      <c r="BO17">
        <f t="shared" si="8"/>
        <v>223335.20721160297</v>
      </c>
      <c r="BP17">
        <f t="shared" si="9"/>
        <v>1921.9158389999002</v>
      </c>
      <c r="CH17" s="1">
        <v>1.1084200000000001E-10</v>
      </c>
      <c r="CI17">
        <v>0</v>
      </c>
      <c r="CJ17">
        <f t="shared" si="10"/>
        <v>0</v>
      </c>
      <c r="CL17" s="1">
        <v>1.1084200000000001E-10</v>
      </c>
      <c r="CM17">
        <v>0</v>
      </c>
      <c r="CN17">
        <f t="shared" si="11"/>
        <v>0</v>
      </c>
      <c r="DA17" t="s">
        <v>179</v>
      </c>
      <c r="DB17">
        <v>3.6972900000000001E-4</v>
      </c>
      <c r="DC17">
        <f t="shared" si="6"/>
        <v>2.3058779094589421E-4</v>
      </c>
      <c r="DE17" t="s">
        <v>183</v>
      </c>
      <c r="DF17">
        <f>$DH$10*DC13/SUM($DC$10,$DC$13,$DC$14:$DC$17)</f>
        <v>15.444399740716085</v>
      </c>
    </row>
    <row r="18" spans="4:110" x14ac:dyDescent="0.35">
      <c r="D18" s="1">
        <v>1.2128899999999999E-10</v>
      </c>
      <c r="E18">
        <v>0</v>
      </c>
      <c r="F18">
        <v>0</v>
      </c>
      <c r="G18">
        <v>0</v>
      </c>
      <c r="I18" s="1">
        <v>1.2128899999999999E-10</v>
      </c>
      <c r="J18">
        <f t="shared" si="0"/>
        <v>0</v>
      </c>
      <c r="K18">
        <v>0</v>
      </c>
      <c r="L18">
        <v>0</v>
      </c>
      <c r="N18" s="1">
        <v>1.2128899999999999E-10</v>
      </c>
      <c r="O18">
        <f t="shared" si="1"/>
        <v>0</v>
      </c>
      <c r="Q18" s="1">
        <v>1.2128899999999999E-10</v>
      </c>
      <c r="R18">
        <f t="shared" si="2"/>
        <v>0</v>
      </c>
      <c r="AI18">
        <v>0.7</v>
      </c>
      <c r="AJ18">
        <f t="shared" si="3"/>
        <v>0.88692043671715759</v>
      </c>
      <c r="AK18">
        <f t="shared" si="4"/>
        <v>-0.94500024598615051</v>
      </c>
      <c r="AL18">
        <f t="shared" si="5"/>
        <v>0.4190906888225075</v>
      </c>
      <c r="BJ18">
        <v>0.211360790889285</v>
      </c>
      <c r="BK18">
        <v>0.41648864316300299</v>
      </c>
      <c r="BM18">
        <v>0.211360790889285</v>
      </c>
      <c r="BN18">
        <f t="shared" si="7"/>
        <v>125.75652507826611</v>
      </c>
      <c r="BO18">
        <f t="shared" si="8"/>
        <v>233654.77267747535</v>
      </c>
      <c r="BP18">
        <f t="shared" si="9"/>
        <v>1857.9932336080171</v>
      </c>
      <c r="CH18" s="1">
        <v>1.12277E-10</v>
      </c>
      <c r="CI18">
        <v>0</v>
      </c>
      <c r="CJ18">
        <f t="shared" si="10"/>
        <v>0</v>
      </c>
      <c r="CL18" s="1">
        <v>1.12277E-10</v>
      </c>
      <c r="CM18">
        <v>0</v>
      </c>
      <c r="CN18">
        <f t="shared" si="11"/>
        <v>0</v>
      </c>
      <c r="DE18" t="s">
        <v>177</v>
      </c>
      <c r="DF18">
        <f>$DH$10*SUM(DC14:DC15)/SUM($DC$10,$DC$13,$DC$14:$DC$17)</f>
        <v>2.6926774480958543E-3</v>
      </c>
    </row>
    <row r="19" spans="4:110" x14ac:dyDescent="0.35">
      <c r="D19" s="1">
        <v>1.2285899999999999E-10</v>
      </c>
      <c r="E19">
        <v>0</v>
      </c>
      <c r="F19">
        <v>0</v>
      </c>
      <c r="G19">
        <v>0</v>
      </c>
      <c r="I19" s="1">
        <v>1.2285899999999999E-10</v>
      </c>
      <c r="J19">
        <f t="shared" si="0"/>
        <v>0</v>
      </c>
      <c r="K19">
        <v>0</v>
      </c>
      <c r="L19">
        <v>0</v>
      </c>
      <c r="N19" s="1">
        <v>1.2285899999999999E-10</v>
      </c>
      <c r="O19">
        <f t="shared" si="1"/>
        <v>0</v>
      </c>
      <c r="Q19" s="1">
        <v>1.2285899999999999E-10</v>
      </c>
      <c r="R19">
        <f t="shared" si="2"/>
        <v>0</v>
      </c>
      <c r="AI19">
        <v>0.75</v>
      </c>
      <c r="AJ19">
        <f t="shared" si="3"/>
        <v>0.82902911818040037</v>
      </c>
      <c r="AK19">
        <f t="shared" si="4"/>
        <v>-1.1298344120273063</v>
      </c>
      <c r="AL19">
        <f t="shared" si="5"/>
        <v>0.42884045990838493</v>
      </c>
      <c r="BJ19">
        <v>0.23636079088928499</v>
      </c>
      <c r="BK19">
        <v>0.44716596080278997</v>
      </c>
      <c r="BM19">
        <v>0.23636079088928499</v>
      </c>
      <c r="BN19">
        <f t="shared" si="7"/>
        <v>135.0193775676002</v>
      </c>
      <c r="BO19">
        <f t="shared" si="8"/>
        <v>243536.19516430522</v>
      </c>
      <c r="BP19">
        <f t="shared" si="9"/>
        <v>1803.712915521136</v>
      </c>
      <c r="CH19" s="1">
        <v>1.13731E-10</v>
      </c>
      <c r="CI19">
        <v>0</v>
      </c>
      <c r="CJ19">
        <f t="shared" si="10"/>
        <v>0</v>
      </c>
      <c r="CL19" s="1">
        <v>1.13731E-10</v>
      </c>
      <c r="CM19">
        <v>0</v>
      </c>
      <c r="CN19">
        <f t="shared" si="11"/>
        <v>0</v>
      </c>
      <c r="DE19" t="s">
        <v>178</v>
      </c>
      <c r="DF19">
        <f>$DH$10*SUM(DC16:DC17)/SUM($DC$10,$DC$13,$DC$14:$DC$17)</f>
        <v>1.0352769624356098E-3</v>
      </c>
    </row>
    <row r="20" spans="4:110" x14ac:dyDescent="0.35">
      <c r="D20" s="1">
        <v>1.24451E-10</v>
      </c>
      <c r="E20">
        <v>0</v>
      </c>
      <c r="F20">
        <v>0</v>
      </c>
      <c r="G20">
        <v>0</v>
      </c>
      <c r="I20" s="1">
        <v>1.24451E-10</v>
      </c>
      <c r="J20">
        <f t="shared" si="0"/>
        <v>0</v>
      </c>
      <c r="K20">
        <v>0</v>
      </c>
      <c r="L20">
        <v>0</v>
      </c>
      <c r="N20" s="1">
        <v>1.24451E-10</v>
      </c>
      <c r="O20">
        <f t="shared" si="1"/>
        <v>0</v>
      </c>
      <c r="Q20" s="1">
        <v>1.24451E-10</v>
      </c>
      <c r="R20">
        <f t="shared" si="2"/>
        <v>0</v>
      </c>
      <c r="AI20">
        <v>0.8</v>
      </c>
      <c r="AJ20">
        <f t="shared" si="3"/>
        <v>0.76337949433685315</v>
      </c>
      <c r="AK20">
        <f t="shared" si="4"/>
        <v>-1.275585745220247</v>
      </c>
      <c r="AL20">
        <f t="shared" si="5"/>
        <v>0.43816598589304634</v>
      </c>
      <c r="BJ20">
        <v>0.26136079088928499</v>
      </c>
      <c r="BK20">
        <v>0.47671679556119601</v>
      </c>
      <c r="BM20">
        <v>0.26136079088928499</v>
      </c>
      <c r="BN20">
        <f t="shared" si="7"/>
        <v>143.94209455732795</v>
      </c>
      <c r="BO20">
        <f t="shared" si="8"/>
        <v>252885.40925559858</v>
      </c>
      <c r="BP20">
        <f t="shared" si="9"/>
        <v>1756.8551439612522</v>
      </c>
      <c r="CH20" s="1">
        <v>1.15204E-10</v>
      </c>
      <c r="CI20">
        <v>0</v>
      </c>
      <c r="CJ20">
        <f t="shared" si="10"/>
        <v>0</v>
      </c>
      <c r="CL20" s="1">
        <v>1.15204E-10</v>
      </c>
      <c r="CM20">
        <v>0</v>
      </c>
      <c r="CN20">
        <f t="shared" si="11"/>
        <v>0</v>
      </c>
    </row>
    <row r="21" spans="4:110" x14ac:dyDescent="0.35">
      <c r="D21" s="1">
        <v>1.2606199999999999E-10</v>
      </c>
      <c r="E21">
        <v>0</v>
      </c>
      <c r="F21">
        <v>0</v>
      </c>
      <c r="G21">
        <v>0</v>
      </c>
      <c r="I21" s="1">
        <v>1.2606199999999999E-10</v>
      </c>
      <c r="J21">
        <f t="shared" si="0"/>
        <v>0</v>
      </c>
      <c r="K21">
        <v>0</v>
      </c>
      <c r="L21">
        <v>0</v>
      </c>
      <c r="N21" s="1">
        <v>1.2606199999999999E-10</v>
      </c>
      <c r="O21">
        <f t="shared" si="1"/>
        <v>0</v>
      </c>
      <c r="Q21" s="1">
        <v>1.2606199999999999E-10</v>
      </c>
      <c r="R21">
        <f t="shared" si="2"/>
        <v>0</v>
      </c>
      <c r="AI21">
        <v>0.85</v>
      </c>
      <c r="AJ21">
        <f t="shared" si="3"/>
        <v>0.69246332680864342</v>
      </c>
      <c r="AK21">
        <f t="shared" si="4"/>
        <v>-1.3774918812940193</v>
      </c>
      <c r="AL21">
        <f t="shared" si="5"/>
        <v>0.44711060795174928</v>
      </c>
      <c r="BJ21">
        <v>0.28636079088928501</v>
      </c>
      <c r="BK21">
        <v>0.50493680480998404</v>
      </c>
      <c r="BM21">
        <v>0.28636079088928501</v>
      </c>
      <c r="BN21">
        <f t="shared" si="7"/>
        <v>152.46297588041168</v>
      </c>
      <c r="BO21">
        <f t="shared" si="8"/>
        <v>261610.65258583773</v>
      </c>
      <c r="BP21">
        <f t="shared" si="9"/>
        <v>1715.8962762935894</v>
      </c>
      <c r="CH21" s="1">
        <v>1.1669600000000001E-10</v>
      </c>
      <c r="CI21">
        <v>0</v>
      </c>
      <c r="CJ21">
        <f t="shared" si="10"/>
        <v>0</v>
      </c>
      <c r="CL21" s="1">
        <v>1.1669600000000001E-10</v>
      </c>
      <c r="CM21">
        <v>0</v>
      </c>
      <c r="CN21">
        <f t="shared" si="11"/>
        <v>0</v>
      </c>
    </row>
    <row r="22" spans="4:110" x14ac:dyDescent="0.35">
      <c r="D22" s="1">
        <v>1.2769499999999999E-10</v>
      </c>
      <c r="E22">
        <v>0</v>
      </c>
      <c r="F22">
        <v>0</v>
      </c>
      <c r="G22">
        <v>0</v>
      </c>
      <c r="I22" s="1">
        <v>1.2769499999999999E-10</v>
      </c>
      <c r="J22">
        <f t="shared" si="0"/>
        <v>0</v>
      </c>
      <c r="K22">
        <v>0</v>
      </c>
      <c r="L22">
        <v>0</v>
      </c>
      <c r="N22" s="1">
        <v>1.2769499999999999E-10</v>
      </c>
      <c r="O22">
        <f t="shared" si="1"/>
        <v>0</v>
      </c>
      <c r="Q22" s="1">
        <v>1.2769499999999999E-10</v>
      </c>
      <c r="R22">
        <f t="shared" si="2"/>
        <v>0</v>
      </c>
      <c r="AI22">
        <v>0.9</v>
      </c>
      <c r="AJ22">
        <f t="shared" si="3"/>
        <v>0.61878339180614084</v>
      </c>
      <c r="AK22">
        <f t="shared" si="4"/>
        <v>-1.4338291107818286</v>
      </c>
      <c r="AL22">
        <f t="shared" si="5"/>
        <v>0.45571098953385719</v>
      </c>
      <c r="AO22">
        <f>EXP(-3*0.25)</f>
        <v>0.47236655274101469</v>
      </c>
      <c r="AV22">
        <f>SIN(80*PI()/180)</f>
        <v>0.98480775301220802</v>
      </c>
      <c r="AX22">
        <v>300000</v>
      </c>
      <c r="BJ22">
        <v>0.31136079088928498</v>
      </c>
      <c r="BK22">
        <v>0.53159964837726104</v>
      </c>
      <c r="BM22">
        <v>0.31136079088928498</v>
      </c>
      <c r="BN22">
        <f t="shared" si="7"/>
        <v>160.51367932879808</v>
      </c>
      <c r="BO22">
        <f t="shared" si="8"/>
        <v>269623.95286080468</v>
      </c>
      <c r="BP22">
        <f t="shared" si="9"/>
        <v>1679.7568530499127</v>
      </c>
      <c r="CH22" s="1">
        <v>1.18207E-10</v>
      </c>
      <c r="CI22">
        <v>0</v>
      </c>
      <c r="CJ22">
        <f t="shared" si="10"/>
        <v>0</v>
      </c>
      <c r="CL22" s="1">
        <v>1.18207E-10</v>
      </c>
      <c r="CM22">
        <v>0</v>
      </c>
      <c r="CN22">
        <f t="shared" si="11"/>
        <v>0</v>
      </c>
    </row>
    <row r="23" spans="4:110" x14ac:dyDescent="0.35">
      <c r="D23" s="1">
        <v>1.2934800000000001E-10</v>
      </c>
      <c r="E23">
        <v>0</v>
      </c>
      <c r="F23">
        <v>0</v>
      </c>
      <c r="G23">
        <v>0</v>
      </c>
      <c r="I23" s="1">
        <v>1.2934800000000001E-10</v>
      </c>
      <c r="J23">
        <f t="shared" si="0"/>
        <v>0</v>
      </c>
      <c r="K23">
        <v>0</v>
      </c>
      <c r="L23">
        <v>0</v>
      </c>
      <c r="N23" s="1">
        <v>1.2934800000000001E-10</v>
      </c>
      <c r="O23">
        <f t="shared" si="1"/>
        <v>0</v>
      </c>
      <c r="Q23" s="1">
        <v>1.2934800000000001E-10</v>
      </c>
      <c r="R23">
        <f t="shared" si="2"/>
        <v>0</v>
      </c>
      <c r="AI23">
        <v>0.95</v>
      </c>
      <c r="AJ23">
        <f t="shared" si="3"/>
        <v>0.54471094563451294</v>
      </c>
      <c r="AK23">
        <f t="shared" si="4"/>
        <v>-1.4457872866020907</v>
      </c>
      <c r="AL23">
        <f t="shared" si="5"/>
        <v>0.4639984542160156</v>
      </c>
      <c r="AV23">
        <f>3/1000</f>
        <v>3.0000000000000001E-3</v>
      </c>
      <c r="AX23">
        <v>2.3293210000000002</v>
      </c>
      <c r="BJ23">
        <v>0.336360790889285</v>
      </c>
      <c r="BK23">
        <v>0.55646776098101403</v>
      </c>
      <c r="BM23">
        <v>0.336360790889285</v>
      </c>
      <c r="BN23">
        <f t="shared" si="7"/>
        <v>168.02247333228559</v>
      </c>
      <c r="BO23">
        <f t="shared" si="8"/>
        <v>276842.59688416385</v>
      </c>
      <c r="BP23">
        <f t="shared" si="9"/>
        <v>1647.6521943387465</v>
      </c>
      <c r="CH23" s="1">
        <v>1.19738E-10</v>
      </c>
      <c r="CI23">
        <v>0</v>
      </c>
      <c r="CJ23">
        <f t="shared" si="10"/>
        <v>0</v>
      </c>
      <c r="CL23" s="1">
        <v>1.19738E-10</v>
      </c>
      <c r="CM23">
        <v>0</v>
      </c>
      <c r="CN23">
        <f t="shared" si="11"/>
        <v>0</v>
      </c>
    </row>
    <row r="24" spans="4:110" x14ac:dyDescent="0.35">
      <c r="D24" s="1">
        <v>1.31023E-10</v>
      </c>
      <c r="E24">
        <v>0</v>
      </c>
      <c r="F24">
        <v>0</v>
      </c>
      <c r="G24">
        <v>0</v>
      </c>
      <c r="I24" s="1">
        <v>1.31023E-10</v>
      </c>
      <c r="J24">
        <f t="shared" si="0"/>
        <v>0</v>
      </c>
      <c r="K24">
        <v>0</v>
      </c>
      <c r="L24">
        <v>0</v>
      </c>
      <c r="N24" s="1">
        <v>1.31023E-10</v>
      </c>
      <c r="O24">
        <f t="shared" si="1"/>
        <v>0</v>
      </c>
      <c r="Q24" s="1">
        <v>1.31023E-10</v>
      </c>
      <c r="R24">
        <f t="shared" si="2"/>
        <v>0</v>
      </c>
      <c r="AI24">
        <v>1</v>
      </c>
      <c r="AJ24">
        <f t="shared" si="3"/>
        <v>0.47236655274101469</v>
      </c>
      <c r="AK24">
        <f t="shared" si="4"/>
        <v>-1.417099658223044</v>
      </c>
      <c r="AL24">
        <f t="shared" si="5"/>
        <v>0.47199999999999998</v>
      </c>
      <c r="AV24">
        <v>9.81</v>
      </c>
      <c r="AX24">
        <f>1/0.6</f>
        <v>1.6666666666666667</v>
      </c>
      <c r="BJ24">
        <v>0.36136079088928502</v>
      </c>
      <c r="BK24">
        <v>0.579303345079623</v>
      </c>
      <c r="BM24">
        <v>0.36136079088928502</v>
      </c>
      <c r="BN24">
        <f t="shared" si="7"/>
        <v>174.91755619112277</v>
      </c>
      <c r="BO24">
        <f t="shared" si="8"/>
        <v>283190.54748779291</v>
      </c>
      <c r="BP24">
        <f t="shared" si="9"/>
        <v>1618.9944203105961</v>
      </c>
      <c r="CH24" s="1">
        <v>1.2128899999999999E-10</v>
      </c>
      <c r="CI24">
        <v>0</v>
      </c>
      <c r="CJ24">
        <f t="shared" si="10"/>
        <v>0</v>
      </c>
      <c r="CL24" s="1">
        <v>1.2128899999999999E-10</v>
      </c>
      <c r="CM24">
        <v>0</v>
      </c>
      <c r="CN24">
        <f t="shared" si="11"/>
        <v>0</v>
      </c>
    </row>
    <row r="25" spans="4:110" x14ac:dyDescent="0.35">
      <c r="D25" s="1">
        <v>1.3272000000000001E-10</v>
      </c>
      <c r="E25">
        <v>0</v>
      </c>
      <c r="F25">
        <v>0</v>
      </c>
      <c r="G25">
        <v>0</v>
      </c>
      <c r="I25" s="1">
        <v>1.3272000000000001E-10</v>
      </c>
      <c r="J25">
        <f t="shared" si="0"/>
        <v>0</v>
      </c>
      <c r="K25">
        <v>0</v>
      </c>
      <c r="L25">
        <v>0</v>
      </c>
      <c r="N25" s="1">
        <v>1.3272000000000001E-10</v>
      </c>
      <c r="O25">
        <f t="shared" si="1"/>
        <v>0</v>
      </c>
      <c r="Q25" s="1">
        <v>1.3272000000000001E-10</v>
      </c>
      <c r="R25">
        <f t="shared" si="2"/>
        <v>0</v>
      </c>
      <c r="AV25">
        <f>1/(0.00000236)</f>
        <v>423728.81355932204</v>
      </c>
      <c r="AX25">
        <f>(PRODUCT(1/AV26,0.000000214)^(1/3))</f>
        <v>2.5925552380486402E-4</v>
      </c>
      <c r="BJ25">
        <v>0.38636079088928499</v>
      </c>
      <c r="BK25">
        <v>0.59987462629438604</v>
      </c>
      <c r="BM25">
        <v>0.38636079088928499</v>
      </c>
      <c r="BN25">
        <f t="shared" si="7"/>
        <v>181.12894486748564</v>
      </c>
      <c r="BO25">
        <f t="shared" si="8"/>
        <v>288599.77453840995</v>
      </c>
      <c r="BP25">
        <f t="shared" si="9"/>
        <v>1593.3387938054309</v>
      </c>
      <c r="CH25" s="1">
        <v>1.2285899999999999E-10</v>
      </c>
      <c r="CI25">
        <v>0</v>
      </c>
      <c r="CJ25">
        <f t="shared" si="10"/>
        <v>0</v>
      </c>
      <c r="CL25" s="1">
        <v>1.2285899999999999E-10</v>
      </c>
      <c r="CM25">
        <v>0</v>
      </c>
      <c r="CN25">
        <f t="shared" si="11"/>
        <v>0</v>
      </c>
      <c r="CR25" s="5" t="s">
        <v>161</v>
      </c>
      <c r="CX25" s="5" t="s">
        <v>173</v>
      </c>
    </row>
    <row r="26" spans="4:110" x14ac:dyDescent="0.35">
      <c r="D26" s="1">
        <v>1.3443899999999999E-10</v>
      </c>
      <c r="E26">
        <v>0</v>
      </c>
      <c r="F26">
        <v>0</v>
      </c>
      <c r="G26">
        <v>0</v>
      </c>
      <c r="I26" s="1">
        <v>1.3443899999999999E-10</v>
      </c>
      <c r="J26">
        <f t="shared" si="0"/>
        <v>0</v>
      </c>
      <c r="K26">
        <v>0</v>
      </c>
      <c r="L26">
        <v>0</v>
      </c>
      <c r="N26" s="1">
        <v>1.3443899999999999E-10</v>
      </c>
      <c r="O26">
        <f t="shared" si="1"/>
        <v>0</v>
      </c>
      <c r="Q26" s="1">
        <v>1.3443899999999999E-10</v>
      </c>
      <c r="R26">
        <f t="shared" si="2"/>
        <v>0</v>
      </c>
      <c r="AV26">
        <f>PRODUCT(AV22:AV25)</f>
        <v>12280.886513198848</v>
      </c>
      <c r="AX26">
        <f>PRODUCT(AX22:AX25)</f>
        <v>301.94466798233492</v>
      </c>
      <c r="BJ26">
        <v>0.41136079088928501</v>
      </c>
      <c r="BK26">
        <v>0.61796107080152995</v>
      </c>
      <c r="BM26">
        <v>0.41136079088928501</v>
      </c>
      <c r="BN26">
        <f t="shared" si="7"/>
        <v>186.59005034917612</v>
      </c>
      <c r="BO26">
        <f t="shared" si="8"/>
        <v>293011.46750130068</v>
      </c>
      <c r="BP26">
        <f t="shared" si="9"/>
        <v>1570.3488313174919</v>
      </c>
      <c r="CH26" s="1">
        <v>1.24451E-10</v>
      </c>
      <c r="CI26">
        <v>0</v>
      </c>
      <c r="CJ26">
        <f t="shared" si="10"/>
        <v>0</v>
      </c>
      <c r="CL26" s="1">
        <v>1.24451E-10</v>
      </c>
      <c r="CM26">
        <v>0</v>
      </c>
      <c r="CN26">
        <f t="shared" si="11"/>
        <v>0</v>
      </c>
      <c r="CR26" t="s">
        <v>164</v>
      </c>
      <c r="CS26">
        <v>0</v>
      </c>
      <c r="CT26">
        <f>CS26*100</f>
        <v>0</v>
      </c>
      <c r="CV26" t="s">
        <v>167</v>
      </c>
      <c r="CX26" t="s">
        <v>164</v>
      </c>
      <c r="CY26">
        <v>0</v>
      </c>
      <c r="CZ26">
        <f>CY26*100</f>
        <v>0</v>
      </c>
      <c r="DA26" t="str">
        <f>_xlfn.CONCAT(CZ26,"%")</f>
        <v>0%</v>
      </c>
      <c r="DB26" t="s">
        <v>167</v>
      </c>
    </row>
    <row r="27" spans="4:110" x14ac:dyDescent="0.35">
      <c r="D27" s="1">
        <v>1.3617999999999999E-10</v>
      </c>
      <c r="E27">
        <v>0</v>
      </c>
      <c r="F27">
        <v>0</v>
      </c>
      <c r="G27">
        <v>0</v>
      </c>
      <c r="I27" s="1">
        <v>1.3617999999999999E-10</v>
      </c>
      <c r="J27">
        <f t="shared" si="0"/>
        <v>0</v>
      </c>
      <c r="K27">
        <v>0</v>
      </c>
      <c r="L27">
        <v>0</v>
      </c>
      <c r="N27" s="1">
        <v>1.3617999999999999E-10</v>
      </c>
      <c r="O27">
        <f t="shared" si="1"/>
        <v>0</v>
      </c>
      <c r="Q27" s="1">
        <v>1.3617999999999999E-10</v>
      </c>
      <c r="R27">
        <f t="shared" si="2"/>
        <v>0</v>
      </c>
      <c r="BJ27">
        <v>0.43636079088928498</v>
      </c>
      <c r="BK27">
        <v>0.63336073244981295</v>
      </c>
      <c r="BM27">
        <v>0.43636079088928498</v>
      </c>
      <c r="BN27">
        <f t="shared" si="7"/>
        <v>191.23989607260722</v>
      </c>
      <c r="BO27">
        <f t="shared" si="8"/>
        <v>296377.09936846182</v>
      </c>
      <c r="BP27">
        <f t="shared" si="9"/>
        <v>1549.7660553838493</v>
      </c>
      <c r="CH27" s="1">
        <v>1.2606199999999999E-10</v>
      </c>
      <c r="CI27">
        <v>0</v>
      </c>
      <c r="CJ27">
        <f t="shared" si="10"/>
        <v>0</v>
      </c>
      <c r="CL27" s="1">
        <v>1.2606199999999999E-10</v>
      </c>
      <c r="CM27">
        <v>0</v>
      </c>
      <c r="CN27">
        <f t="shared" si="11"/>
        <v>0</v>
      </c>
      <c r="CS27">
        <v>2.1247000000000002E-3</v>
      </c>
      <c r="CT27">
        <f t="shared" ref="CT27:CT50" si="12">CS27*100</f>
        <v>0.21247000000000002</v>
      </c>
      <c r="CV27" t="s">
        <v>168</v>
      </c>
      <c r="CY27">
        <v>2.1293100000000001E-3</v>
      </c>
      <c r="CZ27">
        <f t="shared" ref="CZ27:CZ46" si="13">CY27*100</f>
        <v>0.21293100000000001</v>
      </c>
      <c r="DA27" t="str">
        <f t="shared" ref="DA27:DA50" si="14">_xlfn.CONCAT(CZ27,"%")</f>
        <v>0.212931%</v>
      </c>
      <c r="DB27" t="s">
        <v>168</v>
      </c>
    </row>
    <row r="28" spans="4:110" x14ac:dyDescent="0.35">
      <c r="D28" s="1">
        <v>1.3794299999999999E-10</v>
      </c>
      <c r="E28">
        <v>0</v>
      </c>
      <c r="F28">
        <v>0</v>
      </c>
      <c r="G28">
        <v>0</v>
      </c>
      <c r="I28" s="1">
        <v>1.3794299999999999E-10</v>
      </c>
      <c r="J28">
        <f t="shared" si="0"/>
        <v>0</v>
      </c>
      <c r="K28">
        <v>0</v>
      </c>
      <c r="L28">
        <v>0</v>
      </c>
      <c r="N28" s="1">
        <v>1.3794299999999999E-10</v>
      </c>
      <c r="O28">
        <f t="shared" si="1"/>
        <v>0</v>
      </c>
      <c r="Q28" s="1">
        <v>1.3794299999999999E-10</v>
      </c>
      <c r="R28">
        <f t="shared" si="2"/>
        <v>0</v>
      </c>
      <c r="BJ28">
        <v>0.461360790889285</v>
      </c>
      <c r="BK28">
        <v>0.64589626557964397</v>
      </c>
      <c r="BM28">
        <v>0.461360790889285</v>
      </c>
      <c r="BN28">
        <f t="shared" si="7"/>
        <v>195.02493346147563</v>
      </c>
      <c r="BO28">
        <f t="shared" si="8"/>
        <v>298659.31504945375</v>
      </c>
      <c r="BP28">
        <f t="shared" si="9"/>
        <v>1531.390421463467</v>
      </c>
      <c r="CH28" s="1">
        <v>1.2769499999999999E-10</v>
      </c>
      <c r="CI28">
        <v>0</v>
      </c>
      <c r="CJ28">
        <f t="shared" si="10"/>
        <v>0</v>
      </c>
      <c r="CL28" s="1">
        <v>1.2769499999999999E-10</v>
      </c>
      <c r="CM28">
        <v>0</v>
      </c>
      <c r="CN28">
        <f t="shared" si="11"/>
        <v>0</v>
      </c>
      <c r="CS28" s="1">
        <v>1.9424700000000001E-7</v>
      </c>
      <c r="CT28">
        <f t="shared" si="12"/>
        <v>1.9424700000000001E-5</v>
      </c>
      <c r="CV28" t="s">
        <v>169</v>
      </c>
      <c r="CY28" s="1">
        <v>3.3359899999999999E-7</v>
      </c>
      <c r="CZ28">
        <f t="shared" si="13"/>
        <v>3.3359899999999999E-5</v>
      </c>
      <c r="DA28" t="str">
        <f t="shared" si="14"/>
        <v>0.0000333599%</v>
      </c>
      <c r="DB28" t="s">
        <v>169</v>
      </c>
    </row>
    <row r="29" spans="4:110" x14ac:dyDescent="0.35">
      <c r="D29" s="1">
        <v>1.3972999999999999E-10</v>
      </c>
      <c r="E29">
        <v>0</v>
      </c>
      <c r="F29">
        <v>0</v>
      </c>
      <c r="G29">
        <v>0</v>
      </c>
      <c r="I29" s="1">
        <v>1.3972999999999999E-10</v>
      </c>
      <c r="J29">
        <f t="shared" si="0"/>
        <v>0</v>
      </c>
      <c r="K29">
        <v>0</v>
      </c>
      <c r="L29">
        <v>0</v>
      </c>
      <c r="N29" s="1">
        <v>1.3972999999999999E-10</v>
      </c>
      <c r="O29">
        <f t="shared" si="1"/>
        <v>0</v>
      </c>
      <c r="Q29" s="1">
        <v>1.3972999999999999E-10</v>
      </c>
      <c r="R29">
        <f t="shared" si="2"/>
        <v>0</v>
      </c>
      <c r="BJ29">
        <v>0.48636079088928502</v>
      </c>
      <c r="BK29">
        <v>0.65541843892102702</v>
      </c>
      <c r="BM29">
        <v>0.48636079088928502</v>
      </c>
      <c r="BN29">
        <f t="shared" si="7"/>
        <v>197.90010292950976</v>
      </c>
      <c r="BO29">
        <f t="shared" si="8"/>
        <v>299832.62148733629</v>
      </c>
      <c r="BP29">
        <f t="shared" si="9"/>
        <v>1515.070568680472</v>
      </c>
      <c r="CH29" s="1">
        <v>1.2934800000000001E-10</v>
      </c>
      <c r="CI29">
        <v>0</v>
      </c>
      <c r="CJ29">
        <f t="shared" si="10"/>
        <v>0</v>
      </c>
      <c r="CL29" s="1">
        <v>1.2934800000000001E-10</v>
      </c>
      <c r="CM29">
        <v>0</v>
      </c>
      <c r="CN29">
        <f t="shared" si="11"/>
        <v>0</v>
      </c>
      <c r="CR29" t="s">
        <v>165</v>
      </c>
      <c r="CS29">
        <v>0</v>
      </c>
      <c r="CT29">
        <f t="shared" si="12"/>
        <v>0</v>
      </c>
      <c r="CV29" t="s">
        <v>167</v>
      </c>
      <c r="CX29" t="s">
        <v>165</v>
      </c>
      <c r="CY29">
        <v>0</v>
      </c>
      <c r="CZ29">
        <f t="shared" si="13"/>
        <v>0</v>
      </c>
      <c r="DA29" t="str">
        <f t="shared" si="14"/>
        <v>0%</v>
      </c>
      <c r="DB29" t="s">
        <v>167</v>
      </c>
    </row>
    <row r="30" spans="4:110" x14ac:dyDescent="0.35">
      <c r="D30" s="1">
        <v>1.41539E-10</v>
      </c>
      <c r="E30">
        <v>0</v>
      </c>
      <c r="F30">
        <v>0</v>
      </c>
      <c r="G30">
        <v>0</v>
      </c>
      <c r="I30" s="1">
        <v>1.41539E-10</v>
      </c>
      <c r="J30">
        <f t="shared" si="0"/>
        <v>0</v>
      </c>
      <c r="K30">
        <v>0</v>
      </c>
      <c r="L30">
        <v>0</v>
      </c>
      <c r="N30" s="1">
        <v>1.41539E-10</v>
      </c>
      <c r="O30">
        <f t="shared" si="1"/>
        <v>0</v>
      </c>
      <c r="Q30" s="1">
        <v>1.41539E-10</v>
      </c>
      <c r="R30">
        <f t="shared" si="2"/>
        <v>0</v>
      </c>
      <c r="BJ30">
        <v>0.51136079088928499</v>
      </c>
      <c r="BK30">
        <v>0.66180869251004504</v>
      </c>
      <c r="BM30">
        <v>0.51136079088928499</v>
      </c>
      <c r="BN30">
        <f t="shared" si="7"/>
        <v>199.82960592776874</v>
      </c>
      <c r="BO30">
        <f t="shared" si="8"/>
        <v>299883.86167332128</v>
      </c>
      <c r="BP30">
        <f t="shared" si="9"/>
        <v>1500.6978584630676</v>
      </c>
      <c r="CH30" s="1">
        <v>1.31023E-10</v>
      </c>
      <c r="CI30">
        <v>0</v>
      </c>
      <c r="CJ30">
        <f t="shared" si="10"/>
        <v>0</v>
      </c>
      <c r="CL30" s="1">
        <v>1.31023E-10</v>
      </c>
      <c r="CM30">
        <v>0</v>
      </c>
      <c r="CN30">
        <f t="shared" si="11"/>
        <v>0</v>
      </c>
      <c r="CS30">
        <v>2.18087E-4</v>
      </c>
      <c r="CT30">
        <f t="shared" si="12"/>
        <v>2.18087E-2</v>
      </c>
      <c r="CV30" t="s">
        <v>168</v>
      </c>
      <c r="CY30">
        <v>2.407E-4</v>
      </c>
      <c r="CZ30">
        <f t="shared" si="13"/>
        <v>2.4070000000000001E-2</v>
      </c>
      <c r="DA30" t="str">
        <f t="shared" si="14"/>
        <v>0.02407%</v>
      </c>
      <c r="DB30" t="s">
        <v>168</v>
      </c>
    </row>
    <row r="31" spans="4:110" x14ac:dyDescent="0.35">
      <c r="D31" s="1">
        <v>1.4337200000000001E-10</v>
      </c>
      <c r="E31">
        <v>0</v>
      </c>
      <c r="F31">
        <v>0</v>
      </c>
      <c r="G31">
        <v>0</v>
      </c>
      <c r="I31" s="1">
        <v>1.4337200000000001E-10</v>
      </c>
      <c r="J31">
        <f t="shared" si="0"/>
        <v>0</v>
      </c>
      <c r="K31">
        <v>0</v>
      </c>
      <c r="L31">
        <v>0</v>
      </c>
      <c r="N31" s="1">
        <v>1.4337200000000001E-10</v>
      </c>
      <c r="O31">
        <f t="shared" si="1"/>
        <v>0</v>
      </c>
      <c r="Q31" s="1">
        <v>1.4337200000000001E-10</v>
      </c>
      <c r="R31">
        <f t="shared" si="2"/>
        <v>0</v>
      </c>
      <c r="BJ31">
        <v>0.53636079088928501</v>
      </c>
      <c r="BK31">
        <v>0.66498381764213799</v>
      </c>
      <c r="BM31">
        <v>0.53636079088928501</v>
      </c>
      <c r="BN31">
        <f t="shared" si="7"/>
        <v>200.7883180315809</v>
      </c>
      <c r="BO31">
        <f t="shared" si="8"/>
        <v>298812.46023630491</v>
      </c>
      <c r="BP31">
        <f t="shared" si="9"/>
        <v>1488.1964407376843</v>
      </c>
      <c r="CH31" s="1">
        <v>1.3272000000000001E-10</v>
      </c>
      <c r="CI31">
        <v>0</v>
      </c>
      <c r="CJ31">
        <f t="shared" si="10"/>
        <v>0</v>
      </c>
      <c r="CL31" s="1">
        <v>1.3272000000000001E-10</v>
      </c>
      <c r="CM31">
        <v>0</v>
      </c>
      <c r="CN31">
        <f t="shared" si="11"/>
        <v>0</v>
      </c>
      <c r="CS31">
        <v>0</v>
      </c>
      <c r="CT31">
        <f t="shared" si="12"/>
        <v>0</v>
      </c>
      <c r="CV31" t="s">
        <v>169</v>
      </c>
      <c r="CY31">
        <v>0</v>
      </c>
      <c r="CZ31">
        <f t="shared" si="13"/>
        <v>0</v>
      </c>
      <c r="DA31" t="str">
        <f t="shared" si="14"/>
        <v>0%</v>
      </c>
      <c r="DB31" t="s">
        <v>169</v>
      </c>
    </row>
    <row r="32" spans="4:110" x14ac:dyDescent="0.35">
      <c r="D32" s="1">
        <v>1.4522899999999999E-10</v>
      </c>
      <c r="E32">
        <v>0</v>
      </c>
      <c r="F32">
        <v>0</v>
      </c>
      <c r="G32">
        <v>0</v>
      </c>
      <c r="I32" s="1">
        <v>1.4522899999999999E-10</v>
      </c>
      <c r="J32">
        <f t="shared" si="0"/>
        <v>0</v>
      </c>
      <c r="K32">
        <v>0</v>
      </c>
      <c r="L32">
        <v>0</v>
      </c>
      <c r="N32" s="1">
        <v>1.4522899999999999E-10</v>
      </c>
      <c r="O32">
        <f t="shared" si="1"/>
        <v>0</v>
      </c>
      <c r="Q32" s="1">
        <v>1.4522899999999999E-10</v>
      </c>
      <c r="R32">
        <f t="shared" si="2"/>
        <v>0</v>
      </c>
      <c r="AI32">
        <f>1000*0.4884+3350</f>
        <v>3838.4</v>
      </c>
      <c r="BJ32">
        <v>0.56136079088928503</v>
      </c>
      <c r="BK32">
        <v>0.66489754929098699</v>
      </c>
      <c r="BM32">
        <v>0.56136079088928503</v>
      </c>
      <c r="BN32">
        <f t="shared" si="7"/>
        <v>200.76226976293523</v>
      </c>
      <c r="BO32">
        <f t="shared" si="8"/>
        <v>296630.43419741071</v>
      </c>
      <c r="BP32">
        <f t="shared" si="9"/>
        <v>1477.5208237468069</v>
      </c>
      <c r="CH32" s="1">
        <v>1.3443899999999999E-10</v>
      </c>
      <c r="CI32">
        <v>0</v>
      </c>
      <c r="CJ32">
        <f t="shared" si="10"/>
        <v>0</v>
      </c>
      <c r="CL32" s="1">
        <v>1.3443899999999999E-10</v>
      </c>
      <c r="CM32">
        <v>0</v>
      </c>
      <c r="CN32">
        <f t="shared" si="11"/>
        <v>0</v>
      </c>
      <c r="CR32" t="s">
        <v>166</v>
      </c>
      <c r="CS32">
        <v>0</v>
      </c>
      <c r="CT32">
        <f t="shared" si="12"/>
        <v>0</v>
      </c>
      <c r="CV32" t="s">
        <v>167</v>
      </c>
      <c r="CX32" t="s">
        <v>166</v>
      </c>
      <c r="CY32">
        <v>0</v>
      </c>
      <c r="CZ32">
        <f t="shared" si="13"/>
        <v>0</v>
      </c>
      <c r="DA32" t="str">
        <f t="shared" si="14"/>
        <v>0%</v>
      </c>
      <c r="DB32" t="s">
        <v>167</v>
      </c>
    </row>
    <row r="33" spans="4:106" x14ac:dyDescent="0.35">
      <c r="D33" s="1">
        <v>1.4711E-10</v>
      </c>
      <c r="E33">
        <v>0</v>
      </c>
      <c r="F33">
        <v>0</v>
      </c>
      <c r="G33">
        <v>0</v>
      </c>
      <c r="I33" s="1">
        <v>1.4711E-10</v>
      </c>
      <c r="J33">
        <f t="shared" si="0"/>
        <v>0</v>
      </c>
      <c r="K33">
        <v>0</v>
      </c>
      <c r="L33">
        <v>0</v>
      </c>
      <c r="N33" s="1">
        <v>1.4711E-10</v>
      </c>
      <c r="O33">
        <f t="shared" si="1"/>
        <v>0</v>
      </c>
      <c r="Q33" s="1">
        <v>1.4711E-10</v>
      </c>
      <c r="R33">
        <f t="shared" si="2"/>
        <v>0</v>
      </c>
      <c r="AI33">
        <f>AI32-0.4884*1100</f>
        <v>3301.16</v>
      </c>
      <c r="BJ33">
        <v>0.58636079088928506</v>
      </c>
      <c r="BK33">
        <v>0.66154176491816297</v>
      </c>
      <c r="BM33">
        <v>0.58636079088928506</v>
      </c>
      <c r="BN33">
        <f t="shared" si="7"/>
        <v>199.74900856466257</v>
      </c>
      <c r="BO33">
        <f t="shared" si="8"/>
        <v>293362.16860846791</v>
      </c>
      <c r="BP33">
        <f t="shared" si="9"/>
        <v>1468.6539408454735</v>
      </c>
      <c r="CH33" s="1">
        <v>1.3617999999999999E-10</v>
      </c>
      <c r="CI33">
        <v>0</v>
      </c>
      <c r="CJ33">
        <f t="shared" si="10"/>
        <v>0</v>
      </c>
      <c r="CL33" s="1">
        <v>1.3617999999999999E-10</v>
      </c>
      <c r="CM33">
        <v>0</v>
      </c>
      <c r="CN33">
        <f t="shared" si="11"/>
        <v>0</v>
      </c>
      <c r="CS33" s="1">
        <v>7.1017000000000001E-5</v>
      </c>
      <c r="CT33">
        <f t="shared" si="12"/>
        <v>7.1016999999999999E-3</v>
      </c>
      <c r="CV33" t="s">
        <v>168</v>
      </c>
      <c r="CY33" s="1">
        <v>7.1628499999999994E-5</v>
      </c>
      <c r="CZ33">
        <f t="shared" si="13"/>
        <v>7.1628499999999993E-3</v>
      </c>
      <c r="DA33" t="str">
        <f t="shared" si="14"/>
        <v>0.00716285%</v>
      </c>
      <c r="DB33" t="s">
        <v>168</v>
      </c>
    </row>
    <row r="34" spans="4:106" x14ac:dyDescent="0.35">
      <c r="D34" s="1">
        <v>1.49015E-10</v>
      </c>
      <c r="E34">
        <v>0</v>
      </c>
      <c r="F34">
        <v>0</v>
      </c>
      <c r="G34">
        <v>0</v>
      </c>
      <c r="I34" s="1">
        <v>1.49015E-10</v>
      </c>
      <c r="J34">
        <f t="shared" si="0"/>
        <v>0</v>
      </c>
      <c r="K34">
        <v>0</v>
      </c>
      <c r="L34">
        <v>0</v>
      </c>
      <c r="N34" s="1">
        <v>1.49015E-10</v>
      </c>
      <c r="O34">
        <f t="shared" si="1"/>
        <v>0</v>
      </c>
      <c r="Q34" s="1">
        <v>1.49015E-10</v>
      </c>
      <c r="R34">
        <f t="shared" si="2"/>
        <v>0</v>
      </c>
      <c r="AL34" t="s">
        <v>77</v>
      </c>
      <c r="AQ34" t="s">
        <v>78</v>
      </c>
      <c r="AV34" t="s">
        <v>88</v>
      </c>
      <c r="BC34" t="s">
        <v>87</v>
      </c>
      <c r="BJ34">
        <v>0.61136079088928497</v>
      </c>
      <c r="BK34">
        <v>0.65494665802210295</v>
      </c>
      <c r="BM34">
        <v>0.61136079088928497</v>
      </c>
      <c r="BN34">
        <f t="shared" si="7"/>
        <v>197.75765120262372</v>
      </c>
      <c r="BO34">
        <f t="shared" si="8"/>
        <v>289043.96293157857</v>
      </c>
      <c r="BP34">
        <f t="shared" si="9"/>
        <v>1461.6069779035872</v>
      </c>
      <c r="CH34" s="1">
        <v>1.3794299999999999E-10</v>
      </c>
      <c r="CI34">
        <v>0</v>
      </c>
      <c r="CJ34">
        <f t="shared" si="10"/>
        <v>0</v>
      </c>
      <c r="CL34" s="1">
        <v>1.3794299999999999E-10</v>
      </c>
      <c r="CM34">
        <v>0</v>
      </c>
      <c r="CN34">
        <f t="shared" si="11"/>
        <v>0</v>
      </c>
      <c r="CS34">
        <v>0</v>
      </c>
      <c r="CT34">
        <f t="shared" si="12"/>
        <v>0</v>
      </c>
      <c r="CV34" t="s">
        <v>169</v>
      </c>
      <c r="CY34">
        <v>0</v>
      </c>
      <c r="CZ34">
        <f t="shared" si="13"/>
        <v>0</v>
      </c>
      <c r="DA34" t="str">
        <f t="shared" si="14"/>
        <v>0%</v>
      </c>
      <c r="DB34" t="s">
        <v>169</v>
      </c>
    </row>
    <row r="35" spans="4:106" x14ac:dyDescent="0.35">
      <c r="D35" s="1">
        <v>1.5094499999999999E-10</v>
      </c>
      <c r="E35">
        <v>0</v>
      </c>
      <c r="F35">
        <v>0</v>
      </c>
      <c r="G35">
        <v>0</v>
      </c>
      <c r="I35" s="1">
        <v>1.5094499999999999E-10</v>
      </c>
      <c r="J35">
        <f t="shared" si="0"/>
        <v>0</v>
      </c>
      <c r="K35">
        <v>0</v>
      </c>
      <c r="L35">
        <v>0</v>
      </c>
      <c r="N35" s="1">
        <v>1.5094499999999999E-10</v>
      </c>
      <c r="O35">
        <f t="shared" si="1"/>
        <v>0</v>
      </c>
      <c r="Q35" s="1">
        <v>1.5094499999999999E-10</v>
      </c>
      <c r="R35">
        <f t="shared" si="2"/>
        <v>0</v>
      </c>
      <c r="BJ35">
        <v>0.63636079088928499</v>
      </c>
      <c r="BK35">
        <v>0.64518152826980002</v>
      </c>
      <c r="BM35">
        <v>0.63636079088928499</v>
      </c>
      <c r="BN35">
        <f t="shared" si="7"/>
        <v>194.8091223417602</v>
      </c>
      <c r="BO35">
        <f t="shared" si="8"/>
        <v>283723.35995880497</v>
      </c>
      <c r="BP35">
        <f t="shared" si="9"/>
        <v>1456.4172177782286</v>
      </c>
      <c r="CH35" s="1">
        <v>1.3972999999999999E-10</v>
      </c>
      <c r="CI35">
        <v>0</v>
      </c>
      <c r="CJ35">
        <f t="shared" si="10"/>
        <v>0</v>
      </c>
      <c r="CL35" s="1">
        <v>1.3972999999999999E-10</v>
      </c>
      <c r="CM35">
        <v>0</v>
      </c>
      <c r="CN35">
        <f t="shared" si="11"/>
        <v>0</v>
      </c>
    </row>
    <row r="36" spans="4:106" x14ac:dyDescent="0.35">
      <c r="D36" s="1">
        <v>1.52899E-10</v>
      </c>
      <c r="E36">
        <v>0</v>
      </c>
      <c r="F36">
        <v>0</v>
      </c>
      <c r="G36">
        <v>0</v>
      </c>
      <c r="I36" s="1">
        <v>1.52899E-10</v>
      </c>
      <c r="J36">
        <f t="shared" si="0"/>
        <v>0</v>
      </c>
      <c r="K36">
        <v>0</v>
      </c>
      <c r="L36">
        <v>0</v>
      </c>
      <c r="N36" s="1">
        <v>1.52899E-10</v>
      </c>
      <c r="O36">
        <f t="shared" si="1"/>
        <v>0</v>
      </c>
      <c r="Q36" s="1">
        <v>1.52899E-10</v>
      </c>
      <c r="R36">
        <f t="shared" si="2"/>
        <v>0</v>
      </c>
      <c r="AL36" s="11" t="s">
        <v>71</v>
      </c>
      <c r="AM36" s="11" t="s">
        <v>72</v>
      </c>
      <c r="AN36" s="11" t="s">
        <v>73</v>
      </c>
      <c r="AQ36" s="11" t="s">
        <v>71</v>
      </c>
      <c r="AR36" s="11" t="s">
        <v>72</v>
      </c>
      <c r="AS36" s="11" t="s">
        <v>73</v>
      </c>
      <c r="AV36" s="11" t="s">
        <v>71</v>
      </c>
      <c r="AW36" s="11" t="s">
        <v>72</v>
      </c>
      <c r="AX36" s="11" t="s">
        <v>73</v>
      </c>
      <c r="BC36" s="11" t="s">
        <v>72</v>
      </c>
      <c r="BD36" s="11" t="s">
        <v>73</v>
      </c>
      <c r="BJ36">
        <v>0.66136079088928501</v>
      </c>
      <c r="BK36">
        <v>0.63235195259136401</v>
      </c>
      <c r="BM36">
        <v>0.66136079088928501</v>
      </c>
      <c r="BN36">
        <f t="shared" si="7"/>
        <v>190.93530037318061</v>
      </c>
      <c r="BO36">
        <f t="shared" si="8"/>
        <v>277458.27461879392</v>
      </c>
      <c r="BP36">
        <f t="shared" si="9"/>
        <v>1453.1533670123088</v>
      </c>
      <c r="CH36" s="1">
        <v>1.41539E-10</v>
      </c>
      <c r="CI36">
        <v>0</v>
      </c>
      <c r="CJ36">
        <f t="shared" si="10"/>
        <v>0</v>
      </c>
      <c r="CL36" s="1">
        <v>1.41539E-10</v>
      </c>
      <c r="CM36">
        <v>0</v>
      </c>
      <c r="CN36">
        <f t="shared" si="11"/>
        <v>0</v>
      </c>
      <c r="CR36" t="s">
        <v>170</v>
      </c>
      <c r="CS36">
        <v>0</v>
      </c>
      <c r="CT36">
        <f t="shared" si="12"/>
        <v>0</v>
      </c>
      <c r="CV36" t="s">
        <v>167</v>
      </c>
      <c r="CX36" t="s">
        <v>170</v>
      </c>
      <c r="CY36">
        <v>0</v>
      </c>
      <c r="CZ36">
        <f t="shared" si="13"/>
        <v>0</v>
      </c>
      <c r="DA36" t="str">
        <f t="shared" si="14"/>
        <v>0%</v>
      </c>
      <c r="DB36" t="s">
        <v>167</v>
      </c>
    </row>
    <row r="37" spans="4:106" x14ac:dyDescent="0.35">
      <c r="D37" s="1">
        <v>1.54879E-10</v>
      </c>
      <c r="E37">
        <v>0</v>
      </c>
      <c r="F37">
        <v>0</v>
      </c>
      <c r="G37">
        <v>0</v>
      </c>
      <c r="I37" s="1">
        <v>1.54879E-10</v>
      </c>
      <c r="J37">
        <f t="shared" si="0"/>
        <v>0</v>
      </c>
      <c r="K37">
        <v>0</v>
      </c>
      <c r="L37">
        <v>0</v>
      </c>
      <c r="N37" s="1">
        <v>1.54879E-10</v>
      </c>
      <c r="O37">
        <f t="shared" si="1"/>
        <v>0</v>
      </c>
      <c r="Q37" s="1">
        <v>1.54879E-10</v>
      </c>
      <c r="R37">
        <f t="shared" si="2"/>
        <v>0</v>
      </c>
      <c r="AL37" s="11" t="s">
        <v>74</v>
      </c>
      <c r="AM37" s="11" t="s">
        <v>75</v>
      </c>
      <c r="AN37" s="11" t="s">
        <v>76</v>
      </c>
      <c r="AQ37" s="11" t="s">
        <v>79</v>
      </c>
      <c r="AR37" s="11" t="s">
        <v>80</v>
      </c>
      <c r="AS37" s="11" t="s">
        <v>81</v>
      </c>
      <c r="AV37" s="11" t="s">
        <v>82</v>
      </c>
      <c r="AW37" s="11" t="s">
        <v>83</v>
      </c>
      <c r="AX37" s="11" t="s">
        <v>84</v>
      </c>
      <c r="BC37" s="11" t="s">
        <v>85</v>
      </c>
      <c r="BD37" s="11" t="s">
        <v>86</v>
      </c>
      <c r="BJ37">
        <v>0.68636079088928503</v>
      </c>
      <c r="BK37">
        <v>0.616598640619476</v>
      </c>
      <c r="BM37">
        <v>0.68636079088928503</v>
      </c>
      <c r="BN37">
        <f t="shared" si="7"/>
        <v>186.17867182020674</v>
      </c>
      <c r="BO37">
        <f t="shared" si="8"/>
        <v>270315.94498916122</v>
      </c>
      <c r="BP37">
        <f t="shared" si="9"/>
        <v>1451.9168191843482</v>
      </c>
      <c r="CH37" s="1">
        <v>1.4337200000000001E-10</v>
      </c>
      <c r="CI37">
        <v>0</v>
      </c>
      <c r="CJ37">
        <f t="shared" si="10"/>
        <v>0</v>
      </c>
      <c r="CL37" s="1">
        <v>1.4337200000000001E-10</v>
      </c>
      <c r="CM37">
        <v>0</v>
      </c>
      <c r="CN37">
        <f t="shared" si="11"/>
        <v>0</v>
      </c>
      <c r="CS37">
        <v>1.25719E-3</v>
      </c>
      <c r="CT37">
        <f t="shared" si="12"/>
        <v>0.125719</v>
      </c>
      <c r="CV37" t="s">
        <v>168</v>
      </c>
      <c r="CY37">
        <v>1.30689E-3</v>
      </c>
      <c r="CZ37">
        <f t="shared" si="13"/>
        <v>0.130689</v>
      </c>
      <c r="DA37" t="str">
        <f t="shared" si="14"/>
        <v>0.130689%</v>
      </c>
      <c r="DB37" t="s">
        <v>168</v>
      </c>
    </row>
    <row r="38" spans="4:106" x14ac:dyDescent="0.35">
      <c r="D38" s="1">
        <v>1.56885E-10</v>
      </c>
      <c r="E38">
        <v>0</v>
      </c>
      <c r="F38">
        <v>0</v>
      </c>
      <c r="G38">
        <v>0</v>
      </c>
      <c r="I38" s="1">
        <v>1.56885E-10</v>
      </c>
      <c r="J38">
        <f t="shared" si="0"/>
        <v>0</v>
      </c>
      <c r="K38">
        <v>0</v>
      </c>
      <c r="L38">
        <v>0</v>
      </c>
      <c r="N38" s="1">
        <v>1.56885E-10</v>
      </c>
      <c r="O38">
        <f t="shared" si="1"/>
        <v>0</v>
      </c>
      <c r="Q38" s="1">
        <v>1.56885E-10</v>
      </c>
      <c r="R38">
        <f t="shared" si="2"/>
        <v>0</v>
      </c>
      <c r="AL38" t="s">
        <v>91</v>
      </c>
      <c r="AM38" t="s">
        <v>92</v>
      </c>
      <c r="AN38" t="s">
        <v>95</v>
      </c>
      <c r="AQ38" t="s">
        <v>91</v>
      </c>
      <c r="AR38" t="s">
        <v>92</v>
      </c>
      <c r="AS38" t="s">
        <v>95</v>
      </c>
      <c r="AV38" t="s">
        <v>91</v>
      </c>
      <c r="AW38" t="s">
        <v>92</v>
      </c>
      <c r="AX38" t="s">
        <v>95</v>
      </c>
      <c r="BC38" t="s">
        <v>92</v>
      </c>
      <c r="BD38" t="s">
        <v>95</v>
      </c>
      <c r="BJ38">
        <v>0.71136079088928506</v>
      </c>
      <c r="BK38">
        <v>0.59809552455334303</v>
      </c>
      <c r="BM38">
        <v>0.71136079088928506</v>
      </c>
      <c r="BN38">
        <f t="shared" si="7"/>
        <v>180.5917545829796</v>
      </c>
      <c r="BO38">
        <f t="shared" si="8"/>
        <v>262371.73207134416</v>
      </c>
      <c r="BP38">
        <f t="shared" si="9"/>
        <v>1452.8444705419133</v>
      </c>
      <c r="CH38" s="1">
        <v>1.4522899999999999E-10</v>
      </c>
      <c r="CI38">
        <v>0</v>
      </c>
      <c r="CJ38">
        <f t="shared" si="10"/>
        <v>0</v>
      </c>
      <c r="CL38" s="1">
        <v>1.4522899999999999E-10</v>
      </c>
      <c r="CM38">
        <v>0</v>
      </c>
      <c r="CN38">
        <f t="shared" si="11"/>
        <v>0</v>
      </c>
      <c r="CS38" s="1">
        <v>3.6140700000000001E-13</v>
      </c>
      <c r="CT38">
        <f t="shared" si="12"/>
        <v>3.6140700000000001E-11</v>
      </c>
      <c r="CV38" t="s">
        <v>169</v>
      </c>
      <c r="CY38" s="1">
        <v>1.3254600000000001E-12</v>
      </c>
      <c r="CZ38">
        <f t="shared" si="13"/>
        <v>1.3254600000000001E-10</v>
      </c>
      <c r="DA38" t="str">
        <f t="shared" si="14"/>
        <v>0.000000000132546%</v>
      </c>
      <c r="DB38" t="s">
        <v>169</v>
      </c>
    </row>
    <row r="39" spans="4:106" x14ac:dyDescent="0.35">
      <c r="D39" s="1">
        <v>1.5891700000000001E-10</v>
      </c>
      <c r="E39">
        <v>0</v>
      </c>
      <c r="F39">
        <v>0</v>
      </c>
      <c r="G39">
        <v>0</v>
      </c>
      <c r="I39" s="1">
        <v>1.5891700000000001E-10</v>
      </c>
      <c r="J39">
        <f t="shared" si="0"/>
        <v>0</v>
      </c>
      <c r="K39">
        <v>0</v>
      </c>
      <c r="L39">
        <v>0</v>
      </c>
      <c r="N39" s="1">
        <v>1.5891700000000001E-10</v>
      </c>
      <c r="O39">
        <f t="shared" si="1"/>
        <v>0</v>
      </c>
      <c r="Q39" s="1">
        <v>1.5891700000000001E-10</v>
      </c>
      <c r="R39">
        <f t="shared" si="2"/>
        <v>0</v>
      </c>
      <c r="AK39" t="s">
        <v>89</v>
      </c>
      <c r="AL39">
        <f>_xlfn.NUMBERVALUE(LEFT(AL36,7))</f>
        <v>0.61273999999999995</v>
      </c>
      <c r="AM39">
        <f t="shared" ref="AM39:AN39" si="15">_xlfn.NUMBERVALUE(LEFT(AM36,7))</f>
        <v>1.24888</v>
      </c>
      <c r="AN39">
        <f t="shared" si="15"/>
        <v>1.5443499999999999</v>
      </c>
      <c r="AP39" t="s">
        <v>89</v>
      </c>
      <c r="AQ39">
        <f>_xlfn.NUMBERVALUE(LEFT(AQ36,7))</f>
        <v>0.61273999999999995</v>
      </c>
      <c r="AR39">
        <f t="shared" ref="AR39:AS39" si="16">_xlfn.NUMBERVALUE(LEFT(AR36,7))</f>
        <v>1.24888</v>
      </c>
      <c r="AS39">
        <f t="shared" si="16"/>
        <v>1.5443499999999999</v>
      </c>
      <c r="AU39" t="s">
        <v>89</v>
      </c>
      <c r="AV39">
        <f>_xlfn.NUMBERVALUE(LEFT(AV36,7))</f>
        <v>0.61273999999999995</v>
      </c>
      <c r="AW39">
        <f t="shared" ref="AW39:AX39" si="17">_xlfn.NUMBERVALUE(LEFT(AW36,7))</f>
        <v>1.24888</v>
      </c>
      <c r="AX39">
        <f t="shared" si="17"/>
        <v>1.5443499999999999</v>
      </c>
      <c r="BB39" t="s">
        <v>89</v>
      </c>
      <c r="BC39">
        <f>_xlfn.NUMBERVALUE(LEFT(BC36,7))</f>
        <v>1.24888</v>
      </c>
      <c r="BD39">
        <f t="shared" ref="BD39:BE39" si="18">_xlfn.NUMBERVALUE(LEFT(BD36,7))</f>
        <v>1.5443499999999999</v>
      </c>
      <c r="BE39">
        <f t="shared" si="18"/>
        <v>0</v>
      </c>
      <c r="BJ39">
        <v>0.73636079088928397</v>
      </c>
      <c r="BK39">
        <v>0.57704657358217104</v>
      </c>
      <c r="BM39">
        <v>0.73636079088928397</v>
      </c>
      <c r="BN39">
        <f t="shared" si="7"/>
        <v>174.23613607061264</v>
      </c>
      <c r="BO39">
        <f t="shared" si="8"/>
        <v>253707.7982595085</v>
      </c>
      <c r="BP39">
        <f t="shared" si="9"/>
        <v>1456.114695729297</v>
      </c>
      <c r="CH39" s="1">
        <v>1.4711E-10</v>
      </c>
      <c r="CI39">
        <v>0</v>
      </c>
      <c r="CJ39">
        <f t="shared" si="10"/>
        <v>0</v>
      </c>
      <c r="CL39" s="1">
        <v>1.4711E-10</v>
      </c>
      <c r="CM39">
        <v>0</v>
      </c>
      <c r="CN39">
        <f t="shared" si="11"/>
        <v>0</v>
      </c>
    </row>
    <row r="40" spans="4:106" x14ac:dyDescent="0.35">
      <c r="D40" s="1">
        <v>1.6097500000000001E-10</v>
      </c>
      <c r="E40">
        <v>0</v>
      </c>
      <c r="F40">
        <v>0</v>
      </c>
      <c r="G40">
        <v>0</v>
      </c>
      <c r="I40" s="1">
        <v>1.6097500000000001E-10</v>
      </c>
      <c r="J40">
        <f t="shared" si="0"/>
        <v>0</v>
      </c>
      <c r="K40">
        <v>0</v>
      </c>
      <c r="L40">
        <v>0</v>
      </c>
      <c r="N40" s="1">
        <v>1.6097500000000001E-10</v>
      </c>
      <c r="O40">
        <f t="shared" si="1"/>
        <v>0</v>
      </c>
      <c r="Q40" s="1">
        <v>1.6097500000000001E-10</v>
      </c>
      <c r="R40">
        <f t="shared" si="2"/>
        <v>0</v>
      </c>
      <c r="AK40" t="s">
        <v>90</v>
      </c>
      <c r="AL40">
        <f>_xlfn.NUMBERVALUE(LEFT(AL37,7))</f>
        <v>0.60919999999999996</v>
      </c>
      <c r="AM40">
        <f t="shared" ref="AM40:AN40" si="19">_xlfn.NUMBERVALUE(LEFT(AM37,7))</f>
        <v>1.23926</v>
      </c>
      <c r="AN40">
        <f t="shared" si="19"/>
        <v>1.54138</v>
      </c>
      <c r="AP40" t="s">
        <v>90</v>
      </c>
      <c r="AQ40">
        <f>_xlfn.NUMBERVALUE(LEFT(AQ37,7))</f>
        <v>0.61356999999999995</v>
      </c>
      <c r="AR40">
        <f t="shared" ref="AR40:AS40" si="20">_xlfn.NUMBERVALUE(LEFT(AR37,7))</f>
        <v>1.24993</v>
      </c>
      <c r="AS40">
        <f t="shared" si="20"/>
        <v>1.5454600000000001</v>
      </c>
      <c r="AU40" t="s">
        <v>90</v>
      </c>
      <c r="AV40">
        <f>_xlfn.NUMBERVALUE(LEFT(AV37,7))</f>
        <v>0.61158999999999997</v>
      </c>
      <c r="AW40">
        <f t="shared" ref="AW40:AX40" si="21">_xlfn.NUMBERVALUE(LEFT(AW37,7))</f>
        <v>1.2376199999999999</v>
      </c>
      <c r="AX40">
        <f t="shared" si="21"/>
        <v>1.5437399999999999</v>
      </c>
      <c r="BB40" t="s">
        <v>90</v>
      </c>
      <c r="BC40">
        <f>_xlfn.NUMBERVALUE(LEFT(BC37,7))</f>
        <v>1.2415099999999999</v>
      </c>
      <c r="BD40">
        <f t="shared" ref="BD40:BE40" si="22">_xlfn.NUMBERVALUE(LEFT(BD37,7))</f>
        <v>1.54444</v>
      </c>
      <c r="BE40">
        <f t="shared" si="22"/>
        <v>0</v>
      </c>
      <c r="BJ40">
        <v>0.76136079088928399</v>
      </c>
      <c r="BK40">
        <v>0.55367995215838295</v>
      </c>
      <c r="BM40">
        <v>0.76136079088928399</v>
      </c>
      <c r="BN40">
        <f t="shared" si="7"/>
        <v>167.18070932293801</v>
      </c>
      <c r="BO40">
        <f t="shared" si="8"/>
        <v>244411.6968523105</v>
      </c>
      <c r="BP40">
        <f t="shared" si="9"/>
        <v>1461.9611188524609</v>
      </c>
      <c r="CH40" s="1">
        <v>1.49015E-10</v>
      </c>
      <c r="CI40">
        <v>0</v>
      </c>
      <c r="CJ40">
        <f t="shared" si="10"/>
        <v>0</v>
      </c>
      <c r="CL40" s="1">
        <v>1.49015E-10</v>
      </c>
      <c r="CM40">
        <v>0</v>
      </c>
      <c r="CN40">
        <f t="shared" si="11"/>
        <v>0</v>
      </c>
      <c r="CR40" t="s">
        <v>171</v>
      </c>
      <c r="CS40">
        <v>0</v>
      </c>
      <c r="CT40">
        <f t="shared" si="12"/>
        <v>0</v>
      </c>
      <c r="CV40" t="s">
        <v>167</v>
      </c>
      <c r="CX40" t="s">
        <v>171</v>
      </c>
      <c r="CY40">
        <v>0</v>
      </c>
      <c r="CZ40">
        <f t="shared" si="13"/>
        <v>0</v>
      </c>
      <c r="DA40" t="str">
        <f t="shared" si="14"/>
        <v>0%</v>
      </c>
      <c r="DB40" t="s">
        <v>167</v>
      </c>
    </row>
    <row r="41" spans="4:106" x14ac:dyDescent="0.35">
      <c r="D41" s="1">
        <v>1.6305899999999999E-10</v>
      </c>
      <c r="E41">
        <v>0</v>
      </c>
      <c r="F41">
        <v>0</v>
      </c>
      <c r="G41">
        <v>0</v>
      </c>
      <c r="I41" s="1">
        <v>1.6305899999999999E-10</v>
      </c>
      <c r="J41">
        <f t="shared" si="0"/>
        <v>0</v>
      </c>
      <c r="K41">
        <v>0</v>
      </c>
      <c r="L41">
        <v>0</v>
      </c>
      <c r="N41" s="1">
        <v>1.6305899999999999E-10</v>
      </c>
      <c r="O41">
        <f t="shared" si="1"/>
        <v>0</v>
      </c>
      <c r="Q41" s="1">
        <v>1.6305899999999999E-10</v>
      </c>
      <c r="R41">
        <f t="shared" si="2"/>
        <v>0</v>
      </c>
      <c r="AK41" t="s">
        <v>93</v>
      </c>
      <c r="AL41">
        <f>(AL40-AL39)/100</f>
        <v>-3.5399999999999878E-5</v>
      </c>
      <c r="AM41">
        <f t="shared" ref="AM41:AN41" si="23">(AM40-AM39)/100</f>
        <v>-9.6199999999999614E-5</v>
      </c>
      <c r="AN41">
        <f t="shared" si="23"/>
        <v>-2.969999999999917E-5</v>
      </c>
      <c r="AP41" t="s">
        <v>96</v>
      </c>
      <c r="AQ41">
        <f>(AQ40-AQ39)/(3.301-3.35)</f>
        <v>-1.6938775510204052E-2</v>
      </c>
      <c r="AR41">
        <f t="shared" ref="AR41:AS41" si="24">(AR40-AR39)/(3.301-3.35)</f>
        <v>-2.1428571428571363E-2</v>
      </c>
      <c r="AS41">
        <f t="shared" si="24"/>
        <v>-2.2653061224493225E-2</v>
      </c>
      <c r="AU41" t="s">
        <v>93</v>
      </c>
      <c r="AV41">
        <f>(AV40-AV39)/100</f>
        <v>-1.1499999999999844E-5</v>
      </c>
      <c r="AW41">
        <f t="shared" ref="AW41" si="25">(AW40-AW39)/100</f>
        <v>-1.1260000000000047E-4</v>
      </c>
      <c r="AX41">
        <f t="shared" ref="AX41" si="26">(AX40-AX39)/100</f>
        <v>-6.0999999999999941E-6</v>
      </c>
      <c r="BB41" t="s">
        <v>93</v>
      </c>
      <c r="BC41">
        <f>(BC40-BC39)/100</f>
        <v>-7.3700000000000992E-5</v>
      </c>
      <c r="BD41">
        <f t="shared" ref="BD41" si="27">(BD40-BD39)/100</f>
        <v>9.0000000000145516E-7</v>
      </c>
      <c r="BE41">
        <f t="shared" ref="BE41" si="28">(BE40-BE39)/100</f>
        <v>0</v>
      </c>
      <c r="BJ41">
        <v>0.78636079088928501</v>
      </c>
      <c r="BK41">
        <v>0.52824517922366299</v>
      </c>
      <c r="BM41">
        <v>0.78636079088928501</v>
      </c>
      <c r="BN41">
        <f t="shared" si="7"/>
        <v>159.50081525395794</v>
      </c>
      <c r="BO41">
        <f t="shared" si="8"/>
        <v>234574.9063585882</v>
      </c>
      <c r="BP41">
        <f t="shared" si="9"/>
        <v>1470.6815509694852</v>
      </c>
      <c r="CH41" s="1">
        <v>1.5094499999999999E-10</v>
      </c>
      <c r="CI41">
        <v>0</v>
      </c>
      <c r="CJ41">
        <f t="shared" si="10"/>
        <v>0</v>
      </c>
      <c r="CL41" s="1">
        <v>1.5094499999999999E-10</v>
      </c>
      <c r="CM41">
        <v>0</v>
      </c>
      <c r="CN41">
        <f t="shared" si="11"/>
        <v>0</v>
      </c>
      <c r="CS41">
        <v>1.2179199999999999E-3</v>
      </c>
      <c r="CT41">
        <f t="shared" si="12"/>
        <v>0.121792</v>
      </c>
      <c r="CV41" t="s">
        <v>168</v>
      </c>
      <c r="CY41">
        <v>1.25468E-3</v>
      </c>
      <c r="CZ41">
        <f t="shared" si="13"/>
        <v>0.125468</v>
      </c>
      <c r="DA41" t="str">
        <f t="shared" si="14"/>
        <v>0.125468%</v>
      </c>
      <c r="DB41" t="s">
        <v>168</v>
      </c>
    </row>
    <row r="42" spans="4:106" x14ac:dyDescent="0.35">
      <c r="D42" s="1">
        <v>1.6517099999999999E-10</v>
      </c>
      <c r="E42">
        <v>0</v>
      </c>
      <c r="F42">
        <v>0</v>
      </c>
      <c r="G42">
        <v>0</v>
      </c>
      <c r="I42" s="1">
        <v>1.6517099999999999E-10</v>
      </c>
      <c r="J42">
        <f t="shared" si="0"/>
        <v>0</v>
      </c>
      <c r="K42">
        <v>0</v>
      </c>
      <c r="L42">
        <v>0</v>
      </c>
      <c r="N42" s="1">
        <v>1.6517099999999999E-10</v>
      </c>
      <c r="O42">
        <f t="shared" si="1"/>
        <v>0</v>
      </c>
      <c r="Q42" s="1">
        <v>1.6517099999999999E-10</v>
      </c>
      <c r="R42">
        <f t="shared" si="2"/>
        <v>0</v>
      </c>
      <c r="AK42" t="s">
        <v>94</v>
      </c>
      <c r="AL42">
        <f>AL41*100000</f>
        <v>-3.5399999999999876</v>
      </c>
      <c r="AM42">
        <f t="shared" ref="AM42:AN42" si="29">AM41*100000</f>
        <v>-9.6199999999999619</v>
      </c>
      <c r="AN42">
        <f t="shared" si="29"/>
        <v>-2.9699999999999172</v>
      </c>
      <c r="AP42" t="s">
        <v>94</v>
      </c>
      <c r="AQ42">
        <f>AQ41*100000</f>
        <v>-1693.8775510204052</v>
      </c>
      <c r="AR42">
        <f t="shared" ref="AR42" si="30">AR41*100000</f>
        <v>-2142.8571428571363</v>
      </c>
      <c r="AS42">
        <f t="shared" ref="AS42" si="31">AS41*100000</f>
        <v>-2265.3061224493226</v>
      </c>
      <c r="AU42" t="s">
        <v>94</v>
      </c>
      <c r="AV42">
        <f>AV41*100000</f>
        <v>-1.1499999999999844</v>
      </c>
      <c r="AW42">
        <f t="shared" ref="AW42" si="32">AW41*100000</f>
        <v>-11.260000000000048</v>
      </c>
      <c r="AX42">
        <f t="shared" ref="AX42" si="33">AX41*100000</f>
        <v>-0.60999999999999943</v>
      </c>
      <c r="BB42" t="s">
        <v>94</v>
      </c>
      <c r="BC42">
        <f>BC41*100000</f>
        <v>-7.3700000000000996</v>
      </c>
      <c r="BD42">
        <f t="shared" ref="BD42" si="34">BD41*100000</f>
        <v>9.0000000000145519E-2</v>
      </c>
      <c r="BE42">
        <f t="shared" ref="BE42" si="35">BE41*100000</f>
        <v>0</v>
      </c>
      <c r="BJ42">
        <v>0.81136079088928503</v>
      </c>
      <c r="BK42">
        <v>0.50101005291173195</v>
      </c>
      <c r="BM42">
        <v>0.81136079088928503</v>
      </c>
      <c r="BN42">
        <f t="shared" si="7"/>
        <v>151.27731408224494</v>
      </c>
      <c r="BO42">
        <f t="shared" si="8"/>
        <v>224291.34371686142</v>
      </c>
      <c r="BP42">
        <f t="shared" si="9"/>
        <v>1482.6502247053443</v>
      </c>
      <c r="CH42" s="1">
        <v>1.52899E-10</v>
      </c>
      <c r="CI42">
        <v>0</v>
      </c>
      <c r="CJ42">
        <f t="shared" si="10"/>
        <v>0</v>
      </c>
      <c r="CL42" s="1">
        <v>1.52899E-10</v>
      </c>
      <c r="CM42">
        <v>0</v>
      </c>
      <c r="CN42">
        <f t="shared" si="11"/>
        <v>0</v>
      </c>
      <c r="CS42" s="1">
        <v>2.4342400000000002E-13</v>
      </c>
      <c r="CT42">
        <f t="shared" si="12"/>
        <v>2.4342400000000003E-11</v>
      </c>
      <c r="CV42" t="s">
        <v>169</v>
      </c>
      <c r="CY42" s="1">
        <v>1.00727E-12</v>
      </c>
      <c r="CZ42">
        <f t="shared" si="13"/>
        <v>1.00727E-10</v>
      </c>
      <c r="DA42" t="str">
        <f t="shared" si="14"/>
        <v>0.000000000100727%</v>
      </c>
      <c r="DB42" t="s">
        <v>169</v>
      </c>
    </row>
    <row r="43" spans="4:106" x14ac:dyDescent="0.35">
      <c r="D43" s="1">
        <v>1.6730999999999999E-10</v>
      </c>
      <c r="E43">
        <v>0</v>
      </c>
      <c r="F43">
        <v>0</v>
      </c>
      <c r="G43">
        <v>0</v>
      </c>
      <c r="I43" s="1">
        <v>1.6730999999999999E-10</v>
      </c>
      <c r="J43">
        <f t="shared" si="0"/>
        <v>0</v>
      </c>
      <c r="K43">
        <v>0</v>
      </c>
      <c r="L43">
        <v>0</v>
      </c>
      <c r="N43" s="1">
        <v>1.6730999999999999E-10</v>
      </c>
      <c r="O43">
        <f t="shared" si="1"/>
        <v>0</v>
      </c>
      <c r="Q43" s="1">
        <v>1.6730999999999999E-10</v>
      </c>
      <c r="R43">
        <f t="shared" si="2"/>
        <v>0</v>
      </c>
      <c r="BJ43">
        <v>0.83636079088928506</v>
      </c>
      <c r="BK43">
        <v>0.47225493128437601</v>
      </c>
      <c r="BM43">
        <v>0.83636079088928506</v>
      </c>
      <c r="BN43">
        <f t="shared" si="7"/>
        <v>142.5948584296813</v>
      </c>
      <c r="BO43">
        <f t="shared" si="8"/>
        <v>213655.88990387545</v>
      </c>
      <c r="BP43">
        <f t="shared" si="9"/>
        <v>1498.3421720583069</v>
      </c>
      <c r="CH43" s="1">
        <v>1.54879E-10</v>
      </c>
      <c r="CI43">
        <v>0</v>
      </c>
      <c r="CJ43">
        <f t="shared" si="10"/>
        <v>0</v>
      </c>
      <c r="CL43" s="1">
        <v>1.54879E-10</v>
      </c>
      <c r="CM43">
        <v>0</v>
      </c>
      <c r="CN43">
        <f t="shared" si="11"/>
        <v>0</v>
      </c>
    </row>
    <row r="44" spans="4:106" x14ac:dyDescent="0.35">
      <c r="D44" s="1">
        <v>1.6947699999999999E-10</v>
      </c>
      <c r="E44">
        <v>0</v>
      </c>
      <c r="F44">
        <v>0</v>
      </c>
      <c r="G44">
        <v>0</v>
      </c>
      <c r="I44" s="1">
        <v>1.6947699999999999E-10</v>
      </c>
      <c r="J44">
        <f t="shared" si="0"/>
        <v>0</v>
      </c>
      <c r="K44">
        <v>0</v>
      </c>
      <c r="L44">
        <v>0</v>
      </c>
      <c r="N44" s="1">
        <v>1.6947699999999999E-10</v>
      </c>
      <c r="O44">
        <f t="shared" si="1"/>
        <v>0</v>
      </c>
      <c r="Q44" s="1">
        <v>1.6947699999999999E-10</v>
      </c>
      <c r="R44">
        <f t="shared" si="2"/>
        <v>0</v>
      </c>
      <c r="BJ44">
        <v>0.86136079088928397</v>
      </c>
      <c r="BK44">
        <v>0.44226627159556398</v>
      </c>
      <c r="BM44">
        <v>0.86136079088928397</v>
      </c>
      <c r="BN44">
        <f t="shared" si="7"/>
        <v>133.53994253670771</v>
      </c>
      <c r="BO44">
        <f t="shared" si="8"/>
        <v>202762.95980576883</v>
      </c>
      <c r="BP44">
        <f t="shared" si="9"/>
        <v>1518.3693803824497</v>
      </c>
      <c r="CH44" s="1">
        <v>1.56885E-10</v>
      </c>
      <c r="CI44">
        <v>0</v>
      </c>
      <c r="CJ44">
        <f t="shared" si="10"/>
        <v>0</v>
      </c>
      <c r="CL44" s="1">
        <v>1.56885E-10</v>
      </c>
      <c r="CM44">
        <v>0</v>
      </c>
      <c r="CN44">
        <f t="shared" si="11"/>
        <v>0</v>
      </c>
      <c r="CR44" t="s">
        <v>172</v>
      </c>
      <c r="CS44">
        <v>0</v>
      </c>
      <c r="CT44">
        <f t="shared" si="12"/>
        <v>0</v>
      </c>
      <c r="CV44" t="s">
        <v>167</v>
      </c>
      <c r="CX44" t="s">
        <v>172</v>
      </c>
      <c r="CY44">
        <v>0</v>
      </c>
      <c r="CZ44">
        <f t="shared" si="13"/>
        <v>0</v>
      </c>
      <c r="DA44" t="str">
        <f t="shared" si="14"/>
        <v>0%</v>
      </c>
      <c r="DB44" t="s">
        <v>167</v>
      </c>
    </row>
    <row r="45" spans="4:106" x14ac:dyDescent="0.35">
      <c r="D45" s="1">
        <v>1.71671E-10</v>
      </c>
      <c r="E45">
        <v>0</v>
      </c>
      <c r="F45">
        <v>0</v>
      </c>
      <c r="G45">
        <v>0</v>
      </c>
      <c r="I45" s="1">
        <v>1.71671E-10</v>
      </c>
      <c r="J45">
        <f t="shared" si="0"/>
        <v>0</v>
      </c>
      <c r="K45">
        <v>0</v>
      </c>
      <c r="L45">
        <v>0</v>
      </c>
      <c r="N45" s="1">
        <v>1.71671E-10</v>
      </c>
      <c r="O45">
        <f t="shared" si="1"/>
        <v>0</v>
      </c>
      <c r="Q45" s="1">
        <v>1.71671E-10</v>
      </c>
      <c r="R45">
        <f t="shared" si="2"/>
        <v>0</v>
      </c>
      <c r="BJ45">
        <v>0.88636079088928399</v>
      </c>
      <c r="BK45">
        <v>0.41133328705622602</v>
      </c>
      <c r="BM45">
        <v>0.88636079088928399</v>
      </c>
      <c r="BN45">
        <f t="shared" si="7"/>
        <v>124.19989279027463</v>
      </c>
      <c r="BO45">
        <f t="shared" si="8"/>
        <v>191705.14575614949</v>
      </c>
      <c r="BP45">
        <f t="shared" si="9"/>
        <v>1543.5210244493931</v>
      </c>
      <c r="CH45" s="1">
        <v>1.5891700000000001E-10</v>
      </c>
      <c r="CI45">
        <v>0</v>
      </c>
      <c r="CJ45">
        <f t="shared" si="10"/>
        <v>0</v>
      </c>
      <c r="CL45" s="1">
        <v>1.5891700000000001E-10</v>
      </c>
      <c r="CM45">
        <v>0</v>
      </c>
      <c r="CN45">
        <f t="shared" si="11"/>
        <v>0</v>
      </c>
      <c r="CS45">
        <v>1.82942E-2</v>
      </c>
      <c r="CT45">
        <f t="shared" si="12"/>
        <v>1.82942</v>
      </c>
      <c r="CV45" t="s">
        <v>168</v>
      </c>
      <c r="CY45">
        <v>0</v>
      </c>
      <c r="CZ45">
        <f t="shared" si="13"/>
        <v>0</v>
      </c>
      <c r="DA45" t="str">
        <f t="shared" si="14"/>
        <v>0%</v>
      </c>
      <c r="DB45" t="s">
        <v>168</v>
      </c>
    </row>
    <row r="46" spans="4:106" x14ac:dyDescent="0.35">
      <c r="D46" s="1">
        <v>1.73895E-10</v>
      </c>
      <c r="E46">
        <v>0</v>
      </c>
      <c r="F46">
        <v>0</v>
      </c>
      <c r="G46">
        <v>0</v>
      </c>
      <c r="I46" s="1">
        <v>1.73895E-10</v>
      </c>
      <c r="J46">
        <f t="shared" si="0"/>
        <v>0</v>
      </c>
      <c r="K46">
        <v>0</v>
      </c>
      <c r="L46">
        <v>0</v>
      </c>
      <c r="N46" s="1">
        <v>1.73895E-10</v>
      </c>
      <c r="O46">
        <f t="shared" si="1"/>
        <v>0</v>
      </c>
      <c r="Q46" s="1">
        <v>1.73895E-10</v>
      </c>
      <c r="R46">
        <f t="shared" si="2"/>
        <v>0</v>
      </c>
      <c r="BJ46">
        <v>0.91136079088928501</v>
      </c>
      <c r="BK46">
        <v>0.37974492823762901</v>
      </c>
      <c r="BM46">
        <v>0.91136079088928501</v>
      </c>
      <c r="BN46">
        <f t="shared" si="7"/>
        <v>114.66195627468649</v>
      </c>
      <c r="BO46">
        <f t="shared" si="8"/>
        <v>180571.96092595378</v>
      </c>
      <c r="BP46">
        <f t="shared" si="9"/>
        <v>1574.8201652287526</v>
      </c>
      <c r="CH46" s="1">
        <v>1.6097500000000001E-10</v>
      </c>
      <c r="CI46">
        <v>0</v>
      </c>
      <c r="CJ46">
        <f t="shared" si="10"/>
        <v>0</v>
      </c>
      <c r="CL46" s="1">
        <v>1.6097500000000001E-10</v>
      </c>
      <c r="CM46">
        <v>0</v>
      </c>
      <c r="CN46">
        <f t="shared" si="11"/>
        <v>0</v>
      </c>
      <c r="CS46">
        <v>8.3074599999999992E-3</v>
      </c>
      <c r="CT46">
        <f t="shared" si="12"/>
        <v>0.83074599999999987</v>
      </c>
      <c r="CV46" t="s">
        <v>169</v>
      </c>
      <c r="CY46">
        <v>0</v>
      </c>
      <c r="CZ46">
        <f t="shared" si="13"/>
        <v>0</v>
      </c>
      <c r="DA46" t="str">
        <f t="shared" si="14"/>
        <v>0%</v>
      </c>
      <c r="DB46" t="s">
        <v>169</v>
      </c>
    </row>
    <row r="47" spans="4:106" x14ac:dyDescent="0.35">
      <c r="D47" s="1">
        <v>1.76146E-10</v>
      </c>
      <c r="E47">
        <v>0</v>
      </c>
      <c r="F47">
        <v>0</v>
      </c>
      <c r="G47">
        <v>0</v>
      </c>
      <c r="I47" s="1">
        <v>1.76146E-10</v>
      </c>
      <c r="J47">
        <f t="shared" si="0"/>
        <v>0</v>
      </c>
      <c r="K47">
        <v>0</v>
      </c>
      <c r="L47">
        <v>0</v>
      </c>
      <c r="N47" s="1">
        <v>1.76146E-10</v>
      </c>
      <c r="O47">
        <f t="shared" si="1"/>
        <v>0</v>
      </c>
      <c r="Q47" s="1">
        <v>1.76146E-10</v>
      </c>
      <c r="R47">
        <f t="shared" si="2"/>
        <v>0</v>
      </c>
      <c r="BJ47">
        <v>0.93636079088928403</v>
      </c>
      <c r="BK47">
        <v>0.34778391202444497</v>
      </c>
      <c r="BM47">
        <v>0.93636079088928403</v>
      </c>
      <c r="BN47">
        <f t="shared" si="7"/>
        <v>105.01149784581861</v>
      </c>
      <c r="BO47">
        <f t="shared" si="8"/>
        <v>169448.7049200474</v>
      </c>
      <c r="BP47">
        <f t="shared" si="9"/>
        <v>1613.6204929562823</v>
      </c>
      <c r="CH47" s="1">
        <v>1.6305899999999999E-10</v>
      </c>
      <c r="CI47">
        <v>0</v>
      </c>
      <c r="CJ47">
        <f t="shared" si="10"/>
        <v>0</v>
      </c>
      <c r="CL47" s="1">
        <v>1.6305899999999999E-10</v>
      </c>
      <c r="CM47">
        <v>0</v>
      </c>
      <c r="CN47">
        <f t="shared" si="11"/>
        <v>0</v>
      </c>
    </row>
    <row r="48" spans="4:106" x14ac:dyDescent="0.35">
      <c r="D48" s="1">
        <v>1.7842800000000001E-10</v>
      </c>
      <c r="E48">
        <v>0</v>
      </c>
      <c r="F48">
        <v>0</v>
      </c>
      <c r="G48">
        <v>0</v>
      </c>
      <c r="I48" s="1">
        <v>1.7842800000000001E-10</v>
      </c>
      <c r="J48">
        <f t="shared" si="0"/>
        <v>0</v>
      </c>
      <c r="K48">
        <v>0</v>
      </c>
      <c r="L48">
        <v>0</v>
      </c>
      <c r="N48" s="1">
        <v>1.7842800000000001E-10</v>
      </c>
      <c r="O48">
        <f t="shared" si="1"/>
        <v>0</v>
      </c>
      <c r="Q48" s="1">
        <v>1.7842800000000001E-10</v>
      </c>
      <c r="R48">
        <f t="shared" si="2"/>
        <v>0</v>
      </c>
      <c r="BJ48">
        <v>0.96136079088928394</v>
      </c>
      <c r="BK48">
        <v>0.31572191385936998</v>
      </c>
      <c r="BM48">
        <v>0.96136079088928394</v>
      </c>
      <c r="BN48">
        <f t="shared" si="7"/>
        <v>95.330548455014821</v>
      </c>
      <c r="BO48">
        <f t="shared" si="8"/>
        <v>158415.46965043034</v>
      </c>
      <c r="BP48">
        <f t="shared" si="9"/>
        <v>1661.7492736358738</v>
      </c>
      <c r="CH48" s="1">
        <v>1.6517099999999999E-10</v>
      </c>
      <c r="CI48">
        <v>0</v>
      </c>
      <c r="CJ48">
        <f t="shared" si="10"/>
        <v>0</v>
      </c>
      <c r="CL48" s="1">
        <v>1.6517099999999999E-10</v>
      </c>
      <c r="CM48">
        <v>0</v>
      </c>
      <c r="CN48">
        <f t="shared" si="11"/>
        <v>0</v>
      </c>
      <c r="CR48" t="s">
        <v>34</v>
      </c>
      <c r="CS48">
        <v>0.51402300000000001</v>
      </c>
      <c r="CT48">
        <f t="shared" si="12"/>
        <v>51.402300000000004</v>
      </c>
      <c r="CV48" t="s">
        <v>167</v>
      </c>
      <c r="CX48" t="s">
        <v>34</v>
      </c>
      <c r="CY48">
        <v>0.47908899999999999</v>
      </c>
      <c r="CZ48">
        <f t="shared" ref="CZ48:CZ50" si="36">CY48*100</f>
        <v>47.908899999999996</v>
      </c>
      <c r="DA48" t="str">
        <f t="shared" si="14"/>
        <v>47.9089%</v>
      </c>
      <c r="DB48" t="s">
        <v>167</v>
      </c>
    </row>
    <row r="49" spans="4:106" x14ac:dyDescent="0.35">
      <c r="D49" s="1">
        <v>1.80738E-10</v>
      </c>
      <c r="E49">
        <v>0</v>
      </c>
      <c r="F49">
        <v>0</v>
      </c>
      <c r="G49">
        <v>0</v>
      </c>
      <c r="I49" s="1">
        <v>1.80738E-10</v>
      </c>
      <c r="J49">
        <f t="shared" si="0"/>
        <v>0</v>
      </c>
      <c r="K49">
        <v>0</v>
      </c>
      <c r="L49">
        <v>0</v>
      </c>
      <c r="N49" s="1">
        <v>1.80738E-10</v>
      </c>
      <c r="O49">
        <f t="shared" si="1"/>
        <v>0</v>
      </c>
      <c r="Q49" s="1">
        <v>1.80738E-10</v>
      </c>
      <c r="R49">
        <f t="shared" si="2"/>
        <v>0</v>
      </c>
      <c r="BJ49">
        <v>0.98636079088928397</v>
      </c>
      <c r="BK49">
        <v>0.28381692641897199</v>
      </c>
      <c r="BM49">
        <v>0.98636079088928397</v>
      </c>
      <c r="BN49">
        <f t="shared" si="7"/>
        <v>85.697007615343281</v>
      </c>
      <c r="BO49">
        <f t="shared" si="8"/>
        <v>147546.29897951934</v>
      </c>
      <c r="BP49">
        <f t="shared" si="9"/>
        <v>1721.7205487709759</v>
      </c>
      <c r="CH49" s="1">
        <v>1.6730999999999999E-10</v>
      </c>
      <c r="CI49">
        <v>0</v>
      </c>
      <c r="CJ49">
        <f t="shared" si="10"/>
        <v>0</v>
      </c>
      <c r="CL49" s="1">
        <v>1.6730999999999999E-10</v>
      </c>
      <c r="CM49">
        <v>0</v>
      </c>
      <c r="CN49">
        <f t="shared" si="11"/>
        <v>0</v>
      </c>
      <c r="CS49">
        <v>0.46279399999999998</v>
      </c>
      <c r="CT49">
        <f t="shared" si="12"/>
        <v>46.279399999999995</v>
      </c>
      <c r="CV49" t="s">
        <v>168</v>
      </c>
      <c r="CY49">
        <v>0.51590800000000003</v>
      </c>
      <c r="CZ49">
        <f t="shared" si="36"/>
        <v>51.590800000000002</v>
      </c>
      <c r="DA49" t="str">
        <f t="shared" si="14"/>
        <v>51.5908%</v>
      </c>
      <c r="DB49" t="s">
        <v>168</v>
      </c>
    </row>
    <row r="50" spans="4:106" x14ac:dyDescent="0.35">
      <c r="D50" s="1">
        <v>1.8307899999999999E-10</v>
      </c>
      <c r="E50">
        <v>0</v>
      </c>
      <c r="F50">
        <v>0</v>
      </c>
      <c r="G50">
        <v>0</v>
      </c>
      <c r="I50" s="1">
        <v>1.8307899999999999E-10</v>
      </c>
      <c r="J50">
        <f t="shared" si="0"/>
        <v>0</v>
      </c>
      <c r="K50">
        <v>0</v>
      </c>
      <c r="L50">
        <v>0</v>
      </c>
      <c r="N50" s="1">
        <v>1.8307899999999999E-10</v>
      </c>
      <c r="O50">
        <f t="shared" si="1"/>
        <v>0</v>
      </c>
      <c r="Q50" s="1">
        <v>1.8307899999999999E-10</v>
      </c>
      <c r="R50">
        <f t="shared" si="2"/>
        <v>0</v>
      </c>
      <c r="BJ50">
        <v>0.98977059316696303</v>
      </c>
      <c r="BK50">
        <v>0.279491136258538</v>
      </c>
      <c r="BM50">
        <v>0.98977059316696303</v>
      </c>
      <c r="BN50">
        <f t="shared" si="7"/>
        <v>84.390858341589791</v>
      </c>
      <c r="BO50">
        <f t="shared" si="8"/>
        <v>146080.34416724992</v>
      </c>
      <c r="BP50">
        <f t="shared" si="9"/>
        <v>1730.9972553657285</v>
      </c>
      <c r="CH50" s="1">
        <v>1.6947699999999999E-10</v>
      </c>
      <c r="CI50">
        <v>0</v>
      </c>
      <c r="CJ50">
        <f t="shared" si="10"/>
        <v>0</v>
      </c>
      <c r="CL50" s="1">
        <v>1.6947699999999999E-10</v>
      </c>
      <c r="CM50">
        <v>0</v>
      </c>
      <c r="CN50">
        <f t="shared" si="11"/>
        <v>0</v>
      </c>
      <c r="CS50">
        <v>1.00966E-4</v>
      </c>
      <c r="CT50">
        <f t="shared" si="12"/>
        <v>1.0096599999999999E-2</v>
      </c>
      <c r="CV50" t="s">
        <v>169</v>
      </c>
      <c r="CY50">
        <v>1.9619E-4</v>
      </c>
      <c r="CZ50">
        <f t="shared" si="36"/>
        <v>1.9619000000000001E-2</v>
      </c>
      <c r="DA50" t="str">
        <f t="shared" si="14"/>
        <v>0.019619%</v>
      </c>
      <c r="DB50" t="s">
        <v>169</v>
      </c>
    </row>
    <row r="51" spans="4:106" x14ac:dyDescent="0.35">
      <c r="D51" s="1">
        <v>1.8544999999999999E-10</v>
      </c>
      <c r="E51">
        <v>0</v>
      </c>
      <c r="F51">
        <v>0</v>
      </c>
      <c r="G51">
        <v>0</v>
      </c>
      <c r="I51" s="1">
        <v>1.8544999999999999E-10</v>
      </c>
      <c r="J51">
        <f t="shared" si="0"/>
        <v>0</v>
      </c>
      <c r="K51">
        <v>0</v>
      </c>
      <c r="L51">
        <v>0</v>
      </c>
      <c r="N51" s="1">
        <v>1.8544999999999999E-10</v>
      </c>
      <c r="O51">
        <f t="shared" si="1"/>
        <v>0</v>
      </c>
      <c r="Q51" s="1">
        <v>1.8544999999999999E-10</v>
      </c>
      <c r="R51">
        <f t="shared" si="2"/>
        <v>0</v>
      </c>
      <c r="BJ51">
        <v>0.99318039544464198</v>
      </c>
      <c r="BK51">
        <v>0.27517338999075702</v>
      </c>
      <c r="BM51">
        <v>0.99318039544464198</v>
      </c>
      <c r="BN51">
        <f t="shared" si="7"/>
        <v>83.087137878332697</v>
      </c>
      <c r="BO51">
        <f t="shared" si="8"/>
        <v>144618.86539642551</v>
      </c>
      <c r="BP51">
        <f t="shared" si="9"/>
        <v>1740.5686257744946</v>
      </c>
      <c r="CH51" s="1">
        <v>1.71671E-10</v>
      </c>
      <c r="CI51">
        <v>0</v>
      </c>
      <c r="CJ51">
        <f t="shared" si="10"/>
        <v>0</v>
      </c>
      <c r="CL51" s="1">
        <v>1.71671E-10</v>
      </c>
      <c r="CM51">
        <v>0</v>
      </c>
      <c r="CN51">
        <f t="shared" si="11"/>
        <v>0</v>
      </c>
    </row>
    <row r="52" spans="4:106" x14ac:dyDescent="0.35">
      <c r="D52" s="1">
        <v>1.8785100000000001E-10</v>
      </c>
      <c r="E52">
        <v>0</v>
      </c>
      <c r="F52">
        <v>0</v>
      </c>
      <c r="G52">
        <v>0</v>
      </c>
      <c r="I52" s="1">
        <v>1.8785100000000001E-10</v>
      </c>
      <c r="J52">
        <f t="shared" si="0"/>
        <v>0</v>
      </c>
      <c r="K52">
        <v>0</v>
      </c>
      <c r="L52">
        <v>0</v>
      </c>
      <c r="N52" s="1">
        <v>1.8785100000000001E-10</v>
      </c>
      <c r="O52">
        <f t="shared" si="1"/>
        <v>0</v>
      </c>
      <c r="Q52" s="1">
        <v>1.8785100000000001E-10</v>
      </c>
      <c r="R52">
        <f t="shared" si="2"/>
        <v>0</v>
      </c>
      <c r="BJ52">
        <v>0.99659019772232105</v>
      </c>
      <c r="BK52">
        <v>0.27086426767055399</v>
      </c>
      <c r="BM52">
        <v>0.99659019772232105</v>
      </c>
      <c r="BN52">
        <f t="shared" si="7"/>
        <v>81.786021370063722</v>
      </c>
      <c r="BO52">
        <f t="shared" si="8"/>
        <v>143162.02076586301</v>
      </c>
      <c r="BP52">
        <f t="shared" si="9"/>
        <v>1750.4460831770557</v>
      </c>
      <c r="CH52" s="1">
        <v>1.73895E-10</v>
      </c>
      <c r="CI52">
        <v>0</v>
      </c>
      <c r="CJ52">
        <f t="shared" si="10"/>
        <v>0</v>
      </c>
      <c r="CL52" s="1">
        <v>1.73895E-10</v>
      </c>
      <c r="CM52">
        <v>0</v>
      </c>
      <c r="CN52">
        <f t="shared" si="11"/>
        <v>0</v>
      </c>
      <c r="CT52">
        <f>SUM(CT26:CT50)</f>
        <v>100.84087342476047</v>
      </c>
      <c r="CZ52">
        <f>SUM(CZ26:CZ50)</f>
        <v>100.01967321013328</v>
      </c>
    </row>
    <row r="53" spans="4:106" x14ac:dyDescent="0.35">
      <c r="D53" s="1">
        <v>1.90284E-10</v>
      </c>
      <c r="E53">
        <v>0</v>
      </c>
      <c r="F53">
        <v>0</v>
      </c>
      <c r="G53">
        <v>0</v>
      </c>
      <c r="I53" s="1">
        <v>1.90284E-10</v>
      </c>
      <c r="J53">
        <f t="shared" si="0"/>
        <v>0</v>
      </c>
      <c r="K53">
        <v>0</v>
      </c>
      <c r="L53">
        <v>0</v>
      </c>
      <c r="N53" s="1">
        <v>1.90284E-10</v>
      </c>
      <c r="O53">
        <f t="shared" si="1"/>
        <v>0</v>
      </c>
      <c r="Q53" s="1">
        <v>1.90284E-10</v>
      </c>
      <c r="R53">
        <f t="shared" si="2"/>
        <v>0</v>
      </c>
      <c r="BJ53">
        <v>1</v>
      </c>
      <c r="BK53">
        <v>0.26656434239530802</v>
      </c>
      <c r="BM53">
        <v>1</v>
      </c>
      <c r="BN53">
        <f t="shared" si="7"/>
        <v>80.48768186048072</v>
      </c>
      <c r="BO53">
        <f t="shared" si="8"/>
        <v>141709.9658223044</v>
      </c>
      <c r="BP53">
        <f t="shared" si="9"/>
        <v>1760.6416602722868</v>
      </c>
      <c r="BR53">
        <f>0.6/BP53</f>
        <v>3.4078484767150673E-4</v>
      </c>
      <c r="CH53" s="1">
        <v>1.76146E-10</v>
      </c>
      <c r="CI53">
        <v>0</v>
      </c>
      <c r="CJ53">
        <f t="shared" si="10"/>
        <v>0</v>
      </c>
      <c r="CL53" s="1">
        <v>1.76146E-10</v>
      </c>
      <c r="CM53">
        <v>0</v>
      </c>
      <c r="CN53">
        <f t="shared" si="11"/>
        <v>0</v>
      </c>
    </row>
    <row r="54" spans="4:106" x14ac:dyDescent="0.35">
      <c r="D54" s="1">
        <v>1.9274799999999999E-10</v>
      </c>
      <c r="E54">
        <v>0</v>
      </c>
      <c r="F54">
        <v>0</v>
      </c>
      <c r="G54">
        <v>0</v>
      </c>
      <c r="I54" s="1">
        <v>1.9274799999999999E-10</v>
      </c>
      <c r="J54">
        <f t="shared" si="0"/>
        <v>0</v>
      </c>
      <c r="K54">
        <v>0</v>
      </c>
      <c r="L54">
        <v>0</v>
      </c>
      <c r="N54" s="1">
        <v>1.9274799999999999E-10</v>
      </c>
      <c r="O54">
        <f t="shared" si="1"/>
        <v>0</v>
      </c>
      <c r="Q54" s="1">
        <v>1.9274799999999999E-10</v>
      </c>
      <c r="R54">
        <f t="shared" si="2"/>
        <v>0</v>
      </c>
      <c r="CH54" s="1">
        <v>1.7842800000000001E-10</v>
      </c>
      <c r="CI54">
        <v>0</v>
      </c>
      <c r="CJ54">
        <f t="shared" si="10"/>
        <v>0</v>
      </c>
      <c r="CL54" s="1">
        <v>1.7842800000000001E-10</v>
      </c>
      <c r="CM54">
        <v>0</v>
      </c>
      <c r="CN54">
        <f t="shared" si="11"/>
        <v>0</v>
      </c>
    </row>
    <row r="55" spans="4:106" x14ac:dyDescent="0.35">
      <c r="D55" s="1">
        <v>1.95244E-10</v>
      </c>
      <c r="E55">
        <v>0</v>
      </c>
      <c r="F55">
        <v>0</v>
      </c>
      <c r="G55">
        <v>0</v>
      </c>
      <c r="I55" s="1">
        <v>1.95244E-10</v>
      </c>
      <c r="J55">
        <f t="shared" si="0"/>
        <v>0</v>
      </c>
      <c r="K55">
        <v>0</v>
      </c>
      <c r="L55">
        <v>0</v>
      </c>
      <c r="N55" s="1">
        <v>1.95244E-10</v>
      </c>
      <c r="O55">
        <f t="shared" si="1"/>
        <v>0</v>
      </c>
      <c r="Q55" s="1">
        <v>1.95244E-10</v>
      </c>
      <c r="R55">
        <f t="shared" si="2"/>
        <v>0</v>
      </c>
      <c r="CH55" s="1">
        <v>1.80738E-10</v>
      </c>
      <c r="CI55">
        <v>0</v>
      </c>
      <c r="CJ55">
        <f t="shared" si="10"/>
        <v>0</v>
      </c>
      <c r="CL55" s="1">
        <v>1.80738E-10</v>
      </c>
      <c r="CM55">
        <v>0</v>
      </c>
      <c r="CN55">
        <f t="shared" si="11"/>
        <v>0</v>
      </c>
    </row>
    <row r="56" spans="4:106" x14ac:dyDescent="0.35">
      <c r="D56" s="1">
        <v>1.9777300000000001E-10</v>
      </c>
      <c r="E56">
        <v>0</v>
      </c>
      <c r="F56">
        <v>0</v>
      </c>
      <c r="G56">
        <v>0</v>
      </c>
      <c r="I56" s="1">
        <v>1.9777300000000001E-10</v>
      </c>
      <c r="J56">
        <f t="shared" si="0"/>
        <v>0</v>
      </c>
      <c r="K56">
        <v>0</v>
      </c>
      <c r="L56">
        <v>0</v>
      </c>
      <c r="N56" s="1">
        <v>1.9777300000000001E-10</v>
      </c>
      <c r="O56">
        <f t="shared" si="1"/>
        <v>0</v>
      </c>
      <c r="Q56" s="1">
        <v>1.9777300000000001E-10</v>
      </c>
      <c r="R56">
        <f t="shared" si="2"/>
        <v>0</v>
      </c>
      <c r="CH56" s="1">
        <v>1.8307899999999999E-10</v>
      </c>
      <c r="CI56">
        <v>0</v>
      </c>
      <c r="CJ56">
        <f t="shared" si="10"/>
        <v>0</v>
      </c>
      <c r="CL56" s="1">
        <v>1.8307899999999999E-10</v>
      </c>
      <c r="CM56">
        <v>0</v>
      </c>
      <c r="CN56">
        <f t="shared" si="11"/>
        <v>0</v>
      </c>
    </row>
    <row r="57" spans="4:106" x14ac:dyDescent="0.35">
      <c r="D57" s="1">
        <v>2.00334E-10</v>
      </c>
      <c r="E57">
        <v>0</v>
      </c>
      <c r="F57">
        <v>0</v>
      </c>
      <c r="G57">
        <v>0</v>
      </c>
      <c r="I57" s="1">
        <v>2.00334E-10</v>
      </c>
      <c r="J57">
        <f t="shared" si="0"/>
        <v>0</v>
      </c>
      <c r="K57">
        <v>0</v>
      </c>
      <c r="L57">
        <v>0</v>
      </c>
      <c r="N57" s="1">
        <v>2.00334E-10</v>
      </c>
      <c r="O57">
        <f t="shared" si="1"/>
        <v>0</v>
      </c>
      <c r="Q57" s="1">
        <v>2.00334E-10</v>
      </c>
      <c r="R57">
        <f t="shared" si="2"/>
        <v>0</v>
      </c>
      <c r="CH57" s="1">
        <v>1.8544999999999999E-10</v>
      </c>
      <c r="CI57">
        <v>0</v>
      </c>
      <c r="CJ57">
        <f t="shared" si="10"/>
        <v>0</v>
      </c>
      <c r="CL57" s="1">
        <v>1.8544999999999999E-10</v>
      </c>
      <c r="CM57">
        <v>0</v>
      </c>
      <c r="CN57">
        <f t="shared" si="11"/>
        <v>0</v>
      </c>
    </row>
    <row r="58" spans="4:106" x14ac:dyDescent="0.35">
      <c r="D58" s="1">
        <v>2.02928E-10</v>
      </c>
      <c r="E58">
        <v>0</v>
      </c>
      <c r="F58">
        <v>0</v>
      </c>
      <c r="G58">
        <v>0</v>
      </c>
      <c r="I58" s="1">
        <v>2.02928E-10</v>
      </c>
      <c r="J58">
        <f t="shared" si="0"/>
        <v>0</v>
      </c>
      <c r="K58">
        <v>0</v>
      </c>
      <c r="L58">
        <v>0</v>
      </c>
      <c r="N58" s="1">
        <v>2.02928E-10</v>
      </c>
      <c r="O58">
        <f t="shared" si="1"/>
        <v>0</v>
      </c>
      <c r="Q58" s="1">
        <v>2.02928E-10</v>
      </c>
      <c r="R58">
        <f t="shared" si="2"/>
        <v>0</v>
      </c>
      <c r="CH58" s="1">
        <v>1.8785100000000001E-10</v>
      </c>
      <c r="CI58">
        <v>0</v>
      </c>
      <c r="CJ58">
        <f t="shared" si="10"/>
        <v>0</v>
      </c>
      <c r="CL58" s="1">
        <v>1.8785100000000001E-10</v>
      </c>
      <c r="CM58">
        <v>0</v>
      </c>
      <c r="CN58">
        <f t="shared" si="11"/>
        <v>0</v>
      </c>
    </row>
    <row r="59" spans="4:106" x14ac:dyDescent="0.35">
      <c r="D59" s="1">
        <v>2.05556E-10</v>
      </c>
      <c r="E59">
        <v>0</v>
      </c>
      <c r="F59">
        <v>0</v>
      </c>
      <c r="G59">
        <v>0</v>
      </c>
      <c r="I59" s="1">
        <v>2.05556E-10</v>
      </c>
      <c r="J59">
        <f t="shared" si="0"/>
        <v>0</v>
      </c>
      <c r="K59">
        <v>0</v>
      </c>
      <c r="L59">
        <v>0</v>
      </c>
      <c r="N59" s="1">
        <v>2.05556E-10</v>
      </c>
      <c r="O59">
        <f t="shared" si="1"/>
        <v>0</v>
      </c>
      <c r="Q59" s="1">
        <v>2.05556E-10</v>
      </c>
      <c r="R59">
        <f t="shared" si="2"/>
        <v>0</v>
      </c>
      <c r="CH59" s="1">
        <v>1.90284E-10</v>
      </c>
      <c r="CI59">
        <v>0</v>
      </c>
      <c r="CJ59">
        <f t="shared" si="10"/>
        <v>0</v>
      </c>
      <c r="CL59" s="1">
        <v>1.90284E-10</v>
      </c>
      <c r="CM59">
        <v>0</v>
      </c>
      <c r="CN59">
        <f t="shared" si="11"/>
        <v>0</v>
      </c>
    </row>
    <row r="60" spans="4:106" x14ac:dyDescent="0.35">
      <c r="D60" s="1">
        <v>2.0821799999999999E-10</v>
      </c>
      <c r="E60">
        <v>0</v>
      </c>
      <c r="F60">
        <v>0</v>
      </c>
      <c r="G60">
        <v>0</v>
      </c>
      <c r="I60" s="1">
        <v>2.0821799999999999E-10</v>
      </c>
      <c r="J60">
        <f t="shared" si="0"/>
        <v>0</v>
      </c>
      <c r="K60">
        <v>0</v>
      </c>
      <c r="L60">
        <v>0</v>
      </c>
      <c r="N60" s="1">
        <v>2.0821799999999999E-10</v>
      </c>
      <c r="O60">
        <f t="shared" si="1"/>
        <v>0</v>
      </c>
      <c r="Q60" s="1">
        <v>2.0821799999999999E-10</v>
      </c>
      <c r="R60">
        <f t="shared" si="2"/>
        <v>0</v>
      </c>
      <c r="CH60" s="1">
        <v>1.9274799999999999E-10</v>
      </c>
      <c r="CI60">
        <v>0</v>
      </c>
      <c r="CJ60">
        <f t="shared" si="10"/>
        <v>0</v>
      </c>
      <c r="CL60" s="1">
        <v>1.9274799999999999E-10</v>
      </c>
      <c r="CM60">
        <v>0</v>
      </c>
      <c r="CN60">
        <f t="shared" si="11"/>
        <v>0</v>
      </c>
    </row>
    <row r="61" spans="4:106" x14ac:dyDescent="0.35">
      <c r="D61" s="1">
        <v>2.1091499999999999E-10</v>
      </c>
      <c r="E61">
        <v>0</v>
      </c>
      <c r="F61">
        <v>0</v>
      </c>
      <c r="G61">
        <v>0</v>
      </c>
      <c r="I61" s="1">
        <v>2.1091499999999999E-10</v>
      </c>
      <c r="J61">
        <f t="shared" si="0"/>
        <v>0</v>
      </c>
      <c r="K61">
        <v>0</v>
      </c>
      <c r="L61">
        <v>0</v>
      </c>
      <c r="N61" s="1">
        <v>2.1091499999999999E-10</v>
      </c>
      <c r="O61">
        <f t="shared" si="1"/>
        <v>0</v>
      </c>
      <c r="Q61" s="1">
        <v>2.1091499999999999E-10</v>
      </c>
      <c r="R61">
        <f t="shared" si="2"/>
        <v>0</v>
      </c>
      <c r="CH61" s="1">
        <v>1.95244E-10</v>
      </c>
      <c r="CI61">
        <v>0</v>
      </c>
      <c r="CJ61">
        <f t="shared" si="10"/>
        <v>0</v>
      </c>
      <c r="CL61" s="1">
        <v>1.95244E-10</v>
      </c>
      <c r="CM61">
        <v>0</v>
      </c>
      <c r="CN61">
        <f t="shared" si="11"/>
        <v>0</v>
      </c>
    </row>
    <row r="62" spans="4:106" x14ac:dyDescent="0.35">
      <c r="D62" s="1">
        <v>2.13646E-10</v>
      </c>
      <c r="E62">
        <v>0</v>
      </c>
      <c r="F62">
        <v>0</v>
      </c>
      <c r="G62">
        <v>0</v>
      </c>
      <c r="I62" s="1">
        <v>2.13646E-10</v>
      </c>
      <c r="J62">
        <f t="shared" si="0"/>
        <v>0</v>
      </c>
      <c r="K62">
        <v>0</v>
      </c>
      <c r="L62">
        <v>0</v>
      </c>
      <c r="N62" s="1">
        <v>2.13646E-10</v>
      </c>
      <c r="O62">
        <f t="shared" si="1"/>
        <v>0</v>
      </c>
      <c r="Q62" s="1">
        <v>2.13646E-10</v>
      </c>
      <c r="R62">
        <f t="shared" si="2"/>
        <v>0</v>
      </c>
      <c r="CH62" s="1">
        <v>1.9777300000000001E-10</v>
      </c>
      <c r="CI62">
        <v>0</v>
      </c>
      <c r="CJ62">
        <f t="shared" si="10"/>
        <v>0</v>
      </c>
      <c r="CL62" s="1">
        <v>1.9777300000000001E-10</v>
      </c>
      <c r="CM62">
        <v>0</v>
      </c>
      <c r="CN62">
        <f t="shared" si="11"/>
        <v>0</v>
      </c>
    </row>
    <row r="63" spans="4:106" x14ac:dyDescent="0.35">
      <c r="D63" s="1">
        <v>2.1641300000000001E-10</v>
      </c>
      <c r="E63">
        <v>0</v>
      </c>
      <c r="F63">
        <v>0</v>
      </c>
      <c r="G63">
        <v>0</v>
      </c>
      <c r="I63" s="1">
        <v>2.1641300000000001E-10</v>
      </c>
      <c r="J63">
        <f t="shared" si="0"/>
        <v>0</v>
      </c>
      <c r="K63">
        <v>0</v>
      </c>
      <c r="L63">
        <v>0</v>
      </c>
      <c r="N63" s="1">
        <v>2.1641300000000001E-10</v>
      </c>
      <c r="O63">
        <f t="shared" si="1"/>
        <v>0</v>
      </c>
      <c r="Q63" s="1">
        <v>2.1641300000000001E-10</v>
      </c>
      <c r="R63">
        <f t="shared" si="2"/>
        <v>0</v>
      </c>
      <c r="CH63" s="1">
        <v>2.00334E-10</v>
      </c>
      <c r="CI63">
        <v>0</v>
      </c>
      <c r="CJ63">
        <f t="shared" si="10"/>
        <v>0</v>
      </c>
      <c r="CL63" s="1">
        <v>2.00334E-10</v>
      </c>
      <c r="CM63">
        <v>0</v>
      </c>
      <c r="CN63">
        <f t="shared" si="11"/>
        <v>0</v>
      </c>
    </row>
    <row r="64" spans="4:106" x14ac:dyDescent="0.35">
      <c r="D64" s="1">
        <v>2.19215E-10</v>
      </c>
      <c r="E64">
        <v>0</v>
      </c>
      <c r="F64">
        <v>0</v>
      </c>
      <c r="G64">
        <v>0</v>
      </c>
      <c r="I64" s="1">
        <v>2.19215E-10</v>
      </c>
      <c r="J64">
        <f t="shared" si="0"/>
        <v>0</v>
      </c>
      <c r="K64">
        <v>0</v>
      </c>
      <c r="L64">
        <v>0</v>
      </c>
      <c r="N64" s="1">
        <v>2.19215E-10</v>
      </c>
      <c r="O64">
        <f t="shared" si="1"/>
        <v>0</v>
      </c>
      <c r="Q64" s="1">
        <v>2.19215E-10</v>
      </c>
      <c r="R64">
        <f t="shared" si="2"/>
        <v>0</v>
      </c>
      <c r="CH64" s="1">
        <v>2.02928E-10</v>
      </c>
      <c r="CI64">
        <v>0</v>
      </c>
      <c r="CJ64">
        <f t="shared" si="10"/>
        <v>0</v>
      </c>
      <c r="CL64" s="1">
        <v>2.02928E-10</v>
      </c>
      <c r="CM64">
        <v>0</v>
      </c>
      <c r="CN64">
        <f t="shared" si="11"/>
        <v>0</v>
      </c>
    </row>
    <row r="65" spans="4:92" x14ac:dyDescent="0.35">
      <c r="D65" s="1">
        <v>2.2205400000000001E-10</v>
      </c>
      <c r="E65">
        <v>0</v>
      </c>
      <c r="F65">
        <v>0</v>
      </c>
      <c r="G65">
        <v>0</v>
      </c>
      <c r="I65" s="1">
        <v>2.2205400000000001E-10</v>
      </c>
      <c r="J65">
        <f t="shared" si="0"/>
        <v>0</v>
      </c>
      <c r="K65">
        <v>0</v>
      </c>
      <c r="L65">
        <v>0</v>
      </c>
      <c r="N65" s="1">
        <v>2.2205400000000001E-10</v>
      </c>
      <c r="O65">
        <f t="shared" si="1"/>
        <v>0</v>
      </c>
      <c r="Q65" s="1">
        <v>2.2205400000000001E-10</v>
      </c>
      <c r="R65">
        <f t="shared" si="2"/>
        <v>0</v>
      </c>
      <c r="CH65" s="1">
        <v>2.05556E-10</v>
      </c>
      <c r="CI65">
        <v>0</v>
      </c>
      <c r="CJ65">
        <f t="shared" si="10"/>
        <v>0</v>
      </c>
      <c r="CL65" s="1">
        <v>2.05556E-10</v>
      </c>
      <c r="CM65">
        <v>0</v>
      </c>
      <c r="CN65">
        <f t="shared" si="11"/>
        <v>0</v>
      </c>
    </row>
    <row r="66" spans="4:92" x14ac:dyDescent="0.35">
      <c r="D66" s="1">
        <v>2.2492999999999999E-10</v>
      </c>
      <c r="E66">
        <v>0</v>
      </c>
      <c r="F66">
        <v>0</v>
      </c>
      <c r="G66">
        <v>0</v>
      </c>
      <c r="I66" s="1">
        <v>2.2492999999999999E-10</v>
      </c>
      <c r="J66">
        <f t="shared" si="0"/>
        <v>0</v>
      </c>
      <c r="K66">
        <v>0</v>
      </c>
      <c r="L66">
        <v>0</v>
      </c>
      <c r="N66" s="1">
        <v>2.2492999999999999E-10</v>
      </c>
      <c r="O66">
        <f t="shared" si="1"/>
        <v>0</v>
      </c>
      <c r="Q66" s="1">
        <v>2.2492999999999999E-10</v>
      </c>
      <c r="R66">
        <f t="shared" si="2"/>
        <v>0</v>
      </c>
      <c r="CH66" s="1">
        <v>2.0821799999999999E-10</v>
      </c>
      <c r="CI66">
        <v>0</v>
      </c>
      <c r="CJ66">
        <f t="shared" si="10"/>
        <v>0</v>
      </c>
      <c r="CL66" s="1">
        <v>2.0821799999999999E-10</v>
      </c>
      <c r="CM66">
        <v>0</v>
      </c>
      <c r="CN66">
        <f t="shared" si="11"/>
        <v>0</v>
      </c>
    </row>
    <row r="67" spans="4:92" x14ac:dyDescent="0.35">
      <c r="D67" s="1">
        <v>2.2784300000000001E-10</v>
      </c>
      <c r="E67">
        <v>0</v>
      </c>
      <c r="F67">
        <v>0</v>
      </c>
      <c r="G67">
        <v>0</v>
      </c>
      <c r="I67" s="1">
        <v>2.2784300000000001E-10</v>
      </c>
      <c r="J67">
        <f t="shared" si="0"/>
        <v>0</v>
      </c>
      <c r="K67">
        <v>0</v>
      </c>
      <c r="L67">
        <v>0</v>
      </c>
      <c r="N67" s="1">
        <v>2.2784300000000001E-10</v>
      </c>
      <c r="O67">
        <f t="shared" si="1"/>
        <v>0</v>
      </c>
      <c r="Q67" s="1">
        <v>2.2784300000000001E-10</v>
      </c>
      <c r="R67">
        <f t="shared" si="2"/>
        <v>0</v>
      </c>
      <c r="CH67" s="1">
        <v>2.1091499999999999E-10</v>
      </c>
      <c r="CI67">
        <v>0</v>
      </c>
      <c r="CJ67">
        <f t="shared" si="10"/>
        <v>0</v>
      </c>
      <c r="CL67" s="1">
        <v>2.1091499999999999E-10</v>
      </c>
      <c r="CM67">
        <v>0</v>
      </c>
      <c r="CN67">
        <f t="shared" si="11"/>
        <v>0</v>
      </c>
    </row>
    <row r="68" spans="4:92" x14ac:dyDescent="0.35">
      <c r="D68" s="1">
        <v>2.3079300000000001E-10</v>
      </c>
      <c r="E68">
        <v>0</v>
      </c>
      <c r="F68">
        <v>0</v>
      </c>
      <c r="G68">
        <v>0</v>
      </c>
      <c r="I68" s="1">
        <v>2.3079300000000001E-10</v>
      </c>
      <c r="J68">
        <f t="shared" ref="J68:J131" si="37">E68/SUM($E$3:$E$2002)/$C$3</f>
        <v>0</v>
      </c>
      <c r="K68">
        <v>0</v>
      </c>
      <c r="L68">
        <v>0</v>
      </c>
      <c r="N68" s="1">
        <v>2.3079300000000001E-10</v>
      </c>
      <c r="O68">
        <f t="shared" ref="O68:O131" si="38">F68/SUM($F$3:$F$2002)/$C$3</f>
        <v>0</v>
      </c>
      <c r="Q68" s="1">
        <v>2.3079300000000001E-10</v>
      </c>
      <c r="R68">
        <f t="shared" ref="R68:R131" si="39">G68/SUM($G$3:$G$2002)/$C$3</f>
        <v>0</v>
      </c>
      <c r="CH68" s="1">
        <v>2.13646E-10</v>
      </c>
      <c r="CI68">
        <v>0</v>
      </c>
      <c r="CJ68">
        <f t="shared" si="10"/>
        <v>0</v>
      </c>
      <c r="CL68" s="1">
        <v>2.13646E-10</v>
      </c>
      <c r="CM68">
        <v>0</v>
      </c>
      <c r="CN68">
        <f t="shared" si="11"/>
        <v>0</v>
      </c>
    </row>
    <row r="69" spans="4:92" x14ac:dyDescent="0.35">
      <c r="D69" s="1">
        <v>2.3378200000000001E-10</v>
      </c>
      <c r="E69">
        <v>0</v>
      </c>
      <c r="F69">
        <v>0</v>
      </c>
      <c r="G69">
        <v>0</v>
      </c>
      <c r="I69" s="1">
        <v>2.3378200000000001E-10</v>
      </c>
      <c r="J69">
        <f t="shared" si="37"/>
        <v>0</v>
      </c>
      <c r="K69">
        <v>0</v>
      </c>
      <c r="L69">
        <v>0</v>
      </c>
      <c r="N69" s="1">
        <v>2.3378200000000001E-10</v>
      </c>
      <c r="O69">
        <f t="shared" si="38"/>
        <v>0</v>
      </c>
      <c r="Q69" s="1">
        <v>2.3378200000000001E-10</v>
      </c>
      <c r="R69">
        <f t="shared" si="39"/>
        <v>0</v>
      </c>
      <c r="CH69" s="1">
        <v>2.1641300000000001E-10</v>
      </c>
      <c r="CI69">
        <v>0</v>
      </c>
      <c r="CJ69">
        <f t="shared" si="10"/>
        <v>0</v>
      </c>
      <c r="CL69" s="1">
        <v>2.1641300000000001E-10</v>
      </c>
      <c r="CM69">
        <v>0</v>
      </c>
      <c r="CN69">
        <f t="shared" si="11"/>
        <v>0</v>
      </c>
    </row>
    <row r="70" spans="4:92" ht="15" thickBot="1" x14ac:dyDescent="0.4">
      <c r="D70" s="1">
        <v>2.3680900000000002E-10</v>
      </c>
      <c r="E70">
        <v>0</v>
      </c>
      <c r="F70">
        <v>0</v>
      </c>
      <c r="G70">
        <v>0</v>
      </c>
      <c r="I70" s="1">
        <v>2.3680900000000002E-10</v>
      </c>
      <c r="J70">
        <f t="shared" si="37"/>
        <v>0</v>
      </c>
      <c r="K70">
        <v>0</v>
      </c>
      <c r="L70">
        <v>0</v>
      </c>
      <c r="N70" s="1">
        <v>2.3680900000000002E-10</v>
      </c>
      <c r="O70">
        <f t="shared" si="38"/>
        <v>0</v>
      </c>
      <c r="Q70" s="1">
        <v>2.3680900000000002E-10</v>
      </c>
      <c r="R70">
        <f t="shared" si="39"/>
        <v>0</v>
      </c>
      <c r="CH70" s="1">
        <v>2.19215E-10</v>
      </c>
      <c r="CI70">
        <v>0</v>
      </c>
      <c r="CJ70">
        <f t="shared" si="10"/>
        <v>0</v>
      </c>
      <c r="CL70" s="1">
        <v>2.19215E-10</v>
      </c>
      <c r="CM70">
        <v>0</v>
      </c>
      <c r="CN70">
        <f t="shared" si="11"/>
        <v>0</v>
      </c>
    </row>
    <row r="71" spans="4:92" ht="102" thickBot="1" x14ac:dyDescent="0.4">
      <c r="D71" s="1">
        <v>2.3987600000000002E-10</v>
      </c>
      <c r="E71">
        <v>0</v>
      </c>
      <c r="F71">
        <v>0</v>
      </c>
      <c r="G71">
        <v>0</v>
      </c>
      <c r="I71" s="1">
        <v>2.3987600000000002E-10</v>
      </c>
      <c r="J71">
        <f t="shared" si="37"/>
        <v>0</v>
      </c>
      <c r="K71">
        <v>0</v>
      </c>
      <c r="L71">
        <v>0</v>
      </c>
      <c r="N71" s="1">
        <v>2.3987600000000002E-10</v>
      </c>
      <c r="O71">
        <f t="shared" si="38"/>
        <v>0</v>
      </c>
      <c r="Q71" s="1">
        <v>2.3987600000000002E-10</v>
      </c>
      <c r="R71">
        <f t="shared" si="39"/>
        <v>0</v>
      </c>
      <c r="BJ71" s="12" t="s">
        <v>105</v>
      </c>
      <c r="BK71" s="13" t="s">
        <v>106</v>
      </c>
      <c r="BL71" s="13" t="s">
        <v>107</v>
      </c>
      <c r="BM71" s="13" t="s">
        <v>108</v>
      </c>
      <c r="BP71" s="17" t="s">
        <v>127</v>
      </c>
      <c r="BQ71" s="17" t="s">
        <v>128</v>
      </c>
      <c r="BS71" t="s">
        <v>129</v>
      </c>
      <c r="BT71" t="s">
        <v>130</v>
      </c>
      <c r="CH71" s="1">
        <v>2.2205400000000001E-10</v>
      </c>
      <c r="CI71">
        <v>0</v>
      </c>
      <c r="CJ71">
        <f t="shared" si="10"/>
        <v>0</v>
      </c>
      <c r="CL71" s="1">
        <v>2.2205400000000001E-10</v>
      </c>
      <c r="CM71">
        <v>0</v>
      </c>
      <c r="CN71">
        <f t="shared" si="11"/>
        <v>0</v>
      </c>
    </row>
    <row r="72" spans="4:92" ht="29.5" thickBot="1" x14ac:dyDescent="0.4">
      <c r="D72" s="1">
        <v>2.42983E-10</v>
      </c>
      <c r="E72">
        <v>0</v>
      </c>
      <c r="F72">
        <v>0</v>
      </c>
      <c r="G72">
        <v>0</v>
      </c>
      <c r="I72" s="1">
        <v>2.42983E-10</v>
      </c>
      <c r="J72">
        <f t="shared" si="37"/>
        <v>0</v>
      </c>
      <c r="K72">
        <v>0</v>
      </c>
      <c r="L72">
        <v>0</v>
      </c>
      <c r="N72" s="1">
        <v>2.42983E-10</v>
      </c>
      <c r="O72">
        <f t="shared" si="38"/>
        <v>0</v>
      </c>
      <c r="Q72" s="1">
        <v>2.42983E-10</v>
      </c>
      <c r="R72">
        <f t="shared" si="39"/>
        <v>0</v>
      </c>
      <c r="BJ72" s="14" t="s">
        <v>109</v>
      </c>
      <c r="BK72" s="15">
        <v>7.1044399999999996E-4</v>
      </c>
      <c r="BL72" s="15">
        <v>7.4545700000000004E-4</v>
      </c>
      <c r="BM72" s="15">
        <v>6.1761100000000001E-4</v>
      </c>
      <c r="BO72" s="12" t="s">
        <v>121</v>
      </c>
      <c r="BP72" s="17">
        <v>72</v>
      </c>
      <c r="BQ72">
        <f>BP72/$BP$77*100</f>
        <v>28.571428571428569</v>
      </c>
      <c r="BR72">
        <f>BQ72/100*7</f>
        <v>2</v>
      </c>
      <c r="BS72">
        <f>BQ72/100*$BR$78</f>
        <v>3.774529748677663E-2</v>
      </c>
      <c r="BT72">
        <f>BS72*6.022E+23</f>
        <v>2.2730218146536886E+22</v>
      </c>
      <c r="CH72" s="1">
        <v>2.2492999999999999E-10</v>
      </c>
      <c r="CI72">
        <v>0</v>
      </c>
      <c r="CJ72">
        <f t="shared" si="10"/>
        <v>0</v>
      </c>
      <c r="CL72" s="1">
        <v>2.2492999999999999E-10</v>
      </c>
      <c r="CM72">
        <v>0</v>
      </c>
      <c r="CN72">
        <f t="shared" si="11"/>
        <v>0</v>
      </c>
    </row>
    <row r="73" spans="4:92" ht="29.5" thickBot="1" x14ac:dyDescent="0.4">
      <c r="D73" s="1">
        <v>2.46129E-10</v>
      </c>
      <c r="E73">
        <v>0</v>
      </c>
      <c r="F73">
        <v>0</v>
      </c>
      <c r="G73">
        <v>0</v>
      </c>
      <c r="I73" s="1">
        <v>2.46129E-10</v>
      </c>
      <c r="J73">
        <f t="shared" si="37"/>
        <v>0</v>
      </c>
      <c r="K73">
        <v>0</v>
      </c>
      <c r="L73">
        <v>0</v>
      </c>
      <c r="N73" s="1">
        <v>2.46129E-10</v>
      </c>
      <c r="O73">
        <f t="shared" si="38"/>
        <v>0</v>
      </c>
      <c r="Q73" s="1">
        <v>2.46129E-10</v>
      </c>
      <c r="R73">
        <f t="shared" si="39"/>
        <v>0</v>
      </c>
      <c r="BJ73" s="14" t="s">
        <v>110</v>
      </c>
      <c r="BK73" s="15">
        <v>6.3522100000000004</v>
      </c>
      <c r="BL73" s="15">
        <v>70.527299999999997</v>
      </c>
      <c r="BM73" s="15">
        <v>142.40700000000001</v>
      </c>
      <c r="BO73" s="14" t="s">
        <v>122</v>
      </c>
      <c r="BP73" s="17">
        <v>16</v>
      </c>
      <c r="BQ73">
        <f t="shared" ref="BQ73:BQ76" si="40">BP73/$BP$77*100</f>
        <v>6.3492063492063489</v>
      </c>
      <c r="BR73">
        <f>BQ73/100*9</f>
        <v>0.5714285714285714</v>
      </c>
      <c r="BS73">
        <f t="shared" ref="BS73:BS76" si="41">BQ73/100*$BR$78</f>
        <v>8.3878438859503624E-3</v>
      </c>
      <c r="BT73">
        <f t="shared" ref="BT73:BT77" si="42">BS73*6.022E+23</f>
        <v>5.0511595881193087E+21</v>
      </c>
      <c r="CH73" s="1">
        <v>2.2784300000000001E-10</v>
      </c>
      <c r="CI73">
        <v>0</v>
      </c>
      <c r="CJ73">
        <f t="shared" si="10"/>
        <v>0</v>
      </c>
      <c r="CL73" s="1">
        <v>2.2784300000000001E-10</v>
      </c>
      <c r="CM73">
        <v>0</v>
      </c>
      <c r="CN73">
        <f t="shared" si="11"/>
        <v>0</v>
      </c>
    </row>
    <row r="74" spans="4:92" ht="29.5" thickBot="1" x14ac:dyDescent="0.4">
      <c r="D74" s="1">
        <v>2.49317E-10</v>
      </c>
      <c r="E74">
        <v>0</v>
      </c>
      <c r="F74">
        <v>0</v>
      </c>
      <c r="G74">
        <v>0</v>
      </c>
      <c r="I74" s="1">
        <v>2.49317E-10</v>
      </c>
      <c r="J74">
        <f t="shared" si="37"/>
        <v>0</v>
      </c>
      <c r="K74">
        <v>0</v>
      </c>
      <c r="L74">
        <v>0</v>
      </c>
      <c r="N74" s="1">
        <v>2.49317E-10</v>
      </c>
      <c r="O74">
        <f t="shared" si="38"/>
        <v>0</v>
      </c>
      <c r="Q74" s="1">
        <v>2.49317E-10</v>
      </c>
      <c r="R74">
        <f t="shared" si="39"/>
        <v>0</v>
      </c>
      <c r="BJ74" s="14" t="s">
        <v>111</v>
      </c>
      <c r="BK74" s="15">
        <v>2.8915700000000002</v>
      </c>
      <c r="BL74" s="15">
        <v>16.199400000000001</v>
      </c>
      <c r="BM74" s="15">
        <v>27.9893</v>
      </c>
      <c r="BO74" s="14" t="s">
        <v>123</v>
      </c>
      <c r="BP74" s="17">
        <v>152</v>
      </c>
      <c r="BQ74">
        <f t="shared" si="40"/>
        <v>60.317460317460316</v>
      </c>
      <c r="BR74">
        <f>BQ74/100*19</f>
        <v>11.46031746031746</v>
      </c>
      <c r="BS74">
        <f t="shared" si="41"/>
        <v>7.9684516916528433E-2</v>
      </c>
      <c r="BT74">
        <f t="shared" si="42"/>
        <v>4.7986016087133429E+22</v>
      </c>
      <c r="CH74" s="1">
        <v>2.3079300000000001E-10</v>
      </c>
      <c r="CI74">
        <v>0</v>
      </c>
      <c r="CJ74">
        <f t="shared" ref="CJ74:CJ137" si="43">CI74/$CG$9</f>
        <v>0</v>
      </c>
      <c r="CL74" s="1">
        <v>2.3079300000000001E-10</v>
      </c>
      <c r="CM74">
        <v>0</v>
      </c>
      <c r="CN74">
        <f t="shared" ref="CN74:CN137" si="44">CM74/$CG$9</f>
        <v>0</v>
      </c>
    </row>
    <row r="75" spans="4:92" ht="29.5" thickBot="1" x14ac:dyDescent="0.4">
      <c r="D75" s="1">
        <v>2.5254499999999998E-10</v>
      </c>
      <c r="E75">
        <v>0</v>
      </c>
      <c r="F75">
        <v>0</v>
      </c>
      <c r="G75">
        <v>0</v>
      </c>
      <c r="I75" s="1">
        <v>2.5254499999999998E-10</v>
      </c>
      <c r="J75">
        <f t="shared" si="37"/>
        <v>0</v>
      </c>
      <c r="K75">
        <v>0</v>
      </c>
      <c r="L75">
        <v>0</v>
      </c>
      <c r="N75" s="1">
        <v>2.5254499999999998E-10</v>
      </c>
      <c r="O75">
        <f t="shared" si="38"/>
        <v>0</v>
      </c>
      <c r="Q75" s="1">
        <v>2.5254499999999998E-10</v>
      </c>
      <c r="R75">
        <f t="shared" si="39"/>
        <v>0</v>
      </c>
      <c r="BJ75" s="14" t="s">
        <v>112</v>
      </c>
      <c r="BK75" s="15">
        <v>9.0379999999999996E-4</v>
      </c>
      <c r="BL75" s="15">
        <v>9.1395599999999995E-4</v>
      </c>
      <c r="BM75" s="15">
        <v>7.8048699999999996E-4</v>
      </c>
      <c r="BO75" s="14" t="s">
        <v>124</v>
      </c>
      <c r="BP75" s="17">
        <v>0.6</v>
      </c>
      <c r="BQ75">
        <f t="shared" si="40"/>
        <v>0.23809523809523808</v>
      </c>
      <c r="BR75">
        <f>BQ75/100*235</f>
        <v>0.55952380952380942</v>
      </c>
      <c r="BS75">
        <f t="shared" si="41"/>
        <v>3.1454414572313857E-4</v>
      </c>
      <c r="BT75">
        <f t="shared" si="42"/>
        <v>1.8941848455447406E+20</v>
      </c>
      <c r="CH75" s="1">
        <v>2.3378200000000001E-10</v>
      </c>
      <c r="CI75">
        <v>0</v>
      </c>
      <c r="CJ75">
        <f t="shared" si="43"/>
        <v>0</v>
      </c>
      <c r="CL75" s="1">
        <v>2.3378200000000001E-10</v>
      </c>
      <c r="CM75">
        <v>0</v>
      </c>
      <c r="CN75">
        <f t="shared" si="44"/>
        <v>0</v>
      </c>
    </row>
    <row r="76" spans="4:92" ht="29.5" thickBot="1" x14ac:dyDescent="0.4">
      <c r="D76" s="1">
        <v>2.5581600000000002E-10</v>
      </c>
      <c r="E76">
        <v>0</v>
      </c>
      <c r="F76">
        <v>0</v>
      </c>
      <c r="G76">
        <v>0</v>
      </c>
      <c r="I76" s="1">
        <v>2.5581600000000002E-10</v>
      </c>
      <c r="J76">
        <f t="shared" si="37"/>
        <v>0</v>
      </c>
      <c r="K76">
        <v>0</v>
      </c>
      <c r="L76">
        <v>0</v>
      </c>
      <c r="N76" s="1">
        <v>2.5581600000000002E-10</v>
      </c>
      <c r="O76">
        <f t="shared" si="38"/>
        <v>0</v>
      </c>
      <c r="Q76" s="1">
        <v>2.5581600000000002E-10</v>
      </c>
      <c r="R76">
        <f t="shared" si="39"/>
        <v>0</v>
      </c>
      <c r="BJ76" s="14" t="s">
        <v>113</v>
      </c>
      <c r="BK76" s="15">
        <v>2.86777E-2</v>
      </c>
      <c r="BL76" s="15">
        <v>2.9310900000000001E-2</v>
      </c>
      <c r="BM76" s="15">
        <v>2.1261800000000001E-2</v>
      </c>
      <c r="BO76" s="14" t="s">
        <v>125</v>
      </c>
      <c r="BP76" s="17">
        <v>11.4</v>
      </c>
      <c r="BQ76">
        <f t="shared" si="40"/>
        <v>4.5238095238095237</v>
      </c>
      <c r="BR76">
        <f>BQ76/100*238</f>
        <v>10.766666666666666</v>
      </c>
      <c r="BS76">
        <f t="shared" si="41"/>
        <v>5.976338768739633E-3</v>
      </c>
      <c r="BT76">
        <f t="shared" si="42"/>
        <v>3.598951206535007E+21</v>
      </c>
      <c r="CH76" s="1">
        <v>2.3680900000000002E-10</v>
      </c>
      <c r="CI76">
        <v>0</v>
      </c>
      <c r="CJ76">
        <f t="shared" si="43"/>
        <v>0</v>
      </c>
      <c r="CL76" s="1">
        <v>2.3680900000000002E-10</v>
      </c>
      <c r="CM76">
        <v>0</v>
      </c>
      <c r="CN76">
        <f t="shared" si="44"/>
        <v>0</v>
      </c>
    </row>
    <row r="77" spans="4:92" ht="29.5" thickBot="1" x14ac:dyDescent="0.4">
      <c r="D77" s="1">
        <v>2.5912900000000001E-10</v>
      </c>
      <c r="E77">
        <v>0</v>
      </c>
      <c r="F77">
        <v>0</v>
      </c>
      <c r="G77">
        <v>0</v>
      </c>
      <c r="I77" s="1">
        <v>2.5912900000000001E-10</v>
      </c>
      <c r="J77">
        <f t="shared" si="37"/>
        <v>0</v>
      </c>
      <c r="K77">
        <v>0</v>
      </c>
      <c r="L77">
        <v>0</v>
      </c>
      <c r="N77" s="1">
        <v>2.5912900000000001E-10</v>
      </c>
      <c r="O77">
        <f t="shared" si="38"/>
        <v>0</v>
      </c>
      <c r="Q77" s="1">
        <v>2.5912900000000001E-10</v>
      </c>
      <c r="R77">
        <f t="shared" si="39"/>
        <v>0</v>
      </c>
      <c r="BJ77" s="14" t="s">
        <v>114</v>
      </c>
      <c r="BK77" s="15">
        <v>0.91108</v>
      </c>
      <c r="BL77" s="15">
        <v>2.4935900000000002</v>
      </c>
      <c r="BM77" s="15">
        <v>2.1389499999999999</v>
      </c>
      <c r="BO77" s="18" t="s">
        <v>126</v>
      </c>
      <c r="BP77">
        <f>SUM(BP72:BP76)</f>
        <v>252</v>
      </c>
      <c r="BR77">
        <f>SUM(BR72:BR76)</f>
        <v>25.357936507936508</v>
      </c>
      <c r="BS77">
        <f>SUM(BS72:BS76)</f>
        <v>0.13210854120371818</v>
      </c>
      <c r="BT77">
        <f t="shared" si="42"/>
        <v>7.9555763512879094E+22</v>
      </c>
      <c r="CH77" s="1">
        <v>2.3987600000000002E-10</v>
      </c>
      <c r="CI77">
        <v>0</v>
      </c>
      <c r="CJ77">
        <f t="shared" si="43"/>
        <v>0</v>
      </c>
      <c r="CL77" s="1">
        <v>2.3987600000000002E-10</v>
      </c>
      <c r="CM77">
        <v>0</v>
      </c>
      <c r="CN77">
        <f t="shared" si="44"/>
        <v>0</v>
      </c>
    </row>
    <row r="78" spans="4:92" ht="29.5" thickBot="1" x14ac:dyDescent="0.4">
      <c r="D78" s="1">
        <v>2.6248399999999999E-10</v>
      </c>
      <c r="E78">
        <v>0</v>
      </c>
      <c r="F78">
        <v>0</v>
      </c>
      <c r="G78">
        <v>0</v>
      </c>
      <c r="I78" s="1">
        <v>2.6248399999999999E-10</v>
      </c>
      <c r="J78">
        <f t="shared" si="37"/>
        <v>0</v>
      </c>
      <c r="K78">
        <v>0</v>
      </c>
      <c r="L78">
        <v>0</v>
      </c>
      <c r="N78" s="1">
        <v>2.6248399999999999E-10</v>
      </c>
      <c r="O78">
        <f t="shared" si="38"/>
        <v>0</v>
      </c>
      <c r="Q78" s="1">
        <v>2.6248399999999999E-10</v>
      </c>
      <c r="R78">
        <f t="shared" si="39"/>
        <v>0</v>
      </c>
      <c r="BJ78" s="14" t="s">
        <v>115</v>
      </c>
      <c r="BK78" s="16">
        <v>2.1449099999999998E-6</v>
      </c>
      <c r="BL78" s="16">
        <v>1.89638E-6</v>
      </c>
      <c r="BM78" s="16">
        <v>2.53519E-6</v>
      </c>
      <c r="BR78">
        <f>3.35/BR77</f>
        <v>0.1321085412037182</v>
      </c>
      <c r="CH78" s="1">
        <v>2.42983E-10</v>
      </c>
      <c r="CI78">
        <v>0</v>
      </c>
      <c r="CJ78">
        <f t="shared" si="43"/>
        <v>0</v>
      </c>
      <c r="CL78" s="1">
        <v>2.42983E-10</v>
      </c>
      <c r="CM78">
        <v>0</v>
      </c>
      <c r="CN78">
        <f t="shared" si="44"/>
        <v>0</v>
      </c>
    </row>
    <row r="79" spans="4:92" ht="15" thickBot="1" x14ac:dyDescent="0.4">
      <c r="D79" s="1">
        <v>2.65884E-10</v>
      </c>
      <c r="E79">
        <v>0</v>
      </c>
      <c r="F79">
        <v>0</v>
      </c>
      <c r="G79">
        <v>0</v>
      </c>
      <c r="I79" s="1">
        <v>2.65884E-10</v>
      </c>
      <c r="J79">
        <f t="shared" si="37"/>
        <v>0</v>
      </c>
      <c r="K79">
        <v>0</v>
      </c>
      <c r="L79">
        <v>0</v>
      </c>
      <c r="N79" s="1">
        <v>2.65884E-10</v>
      </c>
      <c r="O79">
        <f t="shared" si="38"/>
        <v>0</v>
      </c>
      <c r="Q79" s="1">
        <v>2.65884E-10</v>
      </c>
      <c r="R79">
        <f t="shared" si="39"/>
        <v>0</v>
      </c>
      <c r="BJ79" s="14" t="s">
        <v>116</v>
      </c>
      <c r="BK79" s="15">
        <v>1.91752E-4</v>
      </c>
      <c r="BL79" s="15">
        <v>5.9125100000000002E-3</v>
      </c>
      <c r="BM79" s="15">
        <v>1.21876E-2</v>
      </c>
      <c r="CH79" s="1">
        <v>2.46129E-10</v>
      </c>
      <c r="CI79">
        <v>0</v>
      </c>
      <c r="CJ79">
        <f t="shared" si="43"/>
        <v>0</v>
      </c>
      <c r="CL79" s="1">
        <v>2.46129E-10</v>
      </c>
      <c r="CM79">
        <v>0</v>
      </c>
      <c r="CN79">
        <f t="shared" si="44"/>
        <v>0</v>
      </c>
    </row>
    <row r="80" spans="4:92" ht="29.5" thickBot="1" x14ac:dyDescent="0.4">
      <c r="D80" s="1">
        <v>2.6932700000000002E-10</v>
      </c>
      <c r="E80">
        <v>0</v>
      </c>
      <c r="F80">
        <v>0</v>
      </c>
      <c r="G80">
        <v>0</v>
      </c>
      <c r="I80" s="1">
        <v>2.6932700000000002E-10</v>
      </c>
      <c r="J80">
        <f t="shared" si="37"/>
        <v>0</v>
      </c>
      <c r="K80">
        <v>0</v>
      </c>
      <c r="L80">
        <v>0</v>
      </c>
      <c r="N80" s="1">
        <v>2.6932700000000002E-10</v>
      </c>
      <c r="O80">
        <f t="shared" si="38"/>
        <v>0</v>
      </c>
      <c r="Q80" s="1">
        <v>2.6932700000000002E-10</v>
      </c>
      <c r="R80">
        <f t="shared" si="39"/>
        <v>0</v>
      </c>
      <c r="BJ80" s="14" t="s">
        <v>117</v>
      </c>
      <c r="BK80" s="15">
        <v>8.2321300000000007E-3</v>
      </c>
      <c r="BL80" s="15">
        <v>7.9147899999999997E-3</v>
      </c>
      <c r="BM80" s="15">
        <v>6.1453300000000001E-3</v>
      </c>
      <c r="CH80" s="1">
        <v>2.49317E-10</v>
      </c>
      <c r="CI80">
        <v>0</v>
      </c>
      <c r="CJ80">
        <f t="shared" si="43"/>
        <v>0</v>
      </c>
      <c r="CL80" s="1">
        <v>2.49317E-10</v>
      </c>
      <c r="CM80">
        <v>0</v>
      </c>
      <c r="CN80">
        <f t="shared" si="44"/>
        <v>0</v>
      </c>
    </row>
    <row r="81" spans="4:92" ht="15" thickBot="1" x14ac:dyDescent="0.4">
      <c r="D81" s="1">
        <v>2.72815E-10</v>
      </c>
      <c r="E81">
        <v>0</v>
      </c>
      <c r="F81">
        <v>0</v>
      </c>
      <c r="G81">
        <v>0</v>
      </c>
      <c r="I81" s="1">
        <v>2.72815E-10</v>
      </c>
      <c r="J81">
        <f t="shared" si="37"/>
        <v>0</v>
      </c>
      <c r="K81">
        <v>0</v>
      </c>
      <c r="L81">
        <v>0</v>
      </c>
      <c r="N81" s="1">
        <v>2.72815E-10</v>
      </c>
      <c r="O81">
        <f t="shared" si="38"/>
        <v>0</v>
      </c>
      <c r="Q81" s="1">
        <v>2.72815E-10</v>
      </c>
      <c r="R81">
        <f t="shared" si="39"/>
        <v>0</v>
      </c>
      <c r="BJ81" s="14" t="s">
        <v>118</v>
      </c>
      <c r="BK81" s="15">
        <v>1.12484E-4</v>
      </c>
      <c r="BL81" s="15">
        <v>1.1666300000000001E-3</v>
      </c>
      <c r="BM81" s="15">
        <v>2.3401099999999998E-3</v>
      </c>
      <c r="CH81" s="1">
        <v>2.5254499999999998E-10</v>
      </c>
      <c r="CI81">
        <v>0</v>
      </c>
      <c r="CJ81">
        <f t="shared" si="43"/>
        <v>0</v>
      </c>
      <c r="CL81" s="1">
        <v>2.5254499999999998E-10</v>
      </c>
      <c r="CM81">
        <v>0</v>
      </c>
      <c r="CN81">
        <f t="shared" si="44"/>
        <v>0</v>
      </c>
    </row>
    <row r="82" spans="4:92" ht="29.5" thickBot="1" x14ac:dyDescent="0.4">
      <c r="D82" s="1">
        <v>2.7634800000000002E-10</v>
      </c>
      <c r="E82">
        <v>0</v>
      </c>
      <c r="F82">
        <v>0</v>
      </c>
      <c r="G82">
        <v>0</v>
      </c>
      <c r="I82" s="1">
        <v>2.7634800000000002E-10</v>
      </c>
      <c r="J82">
        <f t="shared" si="37"/>
        <v>0</v>
      </c>
      <c r="K82">
        <v>0</v>
      </c>
      <c r="L82">
        <v>0</v>
      </c>
      <c r="N82" s="1">
        <v>2.7634800000000002E-10</v>
      </c>
      <c r="O82">
        <f t="shared" si="38"/>
        <v>0</v>
      </c>
      <c r="Q82" s="1">
        <v>2.7634800000000002E-10</v>
      </c>
      <c r="R82">
        <f t="shared" si="39"/>
        <v>0</v>
      </c>
      <c r="BJ82" s="14" t="s">
        <v>119</v>
      </c>
      <c r="BK82" s="16">
        <v>2.2314900000000001E-7</v>
      </c>
      <c r="BL82" s="16">
        <v>4.9280300000000005E-7</v>
      </c>
      <c r="BM82" s="16">
        <v>4.32253E-7</v>
      </c>
      <c r="CH82" s="1">
        <v>2.5581600000000002E-10</v>
      </c>
      <c r="CI82">
        <v>0</v>
      </c>
      <c r="CJ82">
        <f t="shared" si="43"/>
        <v>0</v>
      </c>
      <c r="CL82" s="1">
        <v>2.5581600000000002E-10</v>
      </c>
      <c r="CM82">
        <v>0</v>
      </c>
      <c r="CN82">
        <f t="shared" si="44"/>
        <v>0</v>
      </c>
    </row>
    <row r="83" spans="4:92" ht="15" thickBot="1" x14ac:dyDescent="0.4">
      <c r="D83" s="1">
        <v>2.79926E-10</v>
      </c>
      <c r="E83">
        <v>0</v>
      </c>
      <c r="F83">
        <v>0</v>
      </c>
      <c r="G83">
        <v>0</v>
      </c>
      <c r="I83" s="1">
        <v>2.79926E-10</v>
      </c>
      <c r="J83">
        <f t="shared" si="37"/>
        <v>0</v>
      </c>
      <c r="K83">
        <v>0</v>
      </c>
      <c r="L83">
        <v>0</v>
      </c>
      <c r="N83" s="1">
        <v>2.79926E-10</v>
      </c>
      <c r="O83">
        <f t="shared" si="38"/>
        <v>0</v>
      </c>
      <c r="Q83" s="1">
        <v>2.79926E-10</v>
      </c>
      <c r="R83">
        <f t="shared" si="39"/>
        <v>0</v>
      </c>
      <c r="BJ83" s="14" t="s">
        <v>120</v>
      </c>
      <c r="BK83" s="15">
        <v>4.8130599999999998E-4</v>
      </c>
      <c r="BL83" s="15">
        <v>1.58573E-3</v>
      </c>
      <c r="BM83" s="15">
        <v>2.7620499999999998E-3</v>
      </c>
      <c r="CH83" s="1">
        <v>2.5912900000000001E-10</v>
      </c>
      <c r="CI83">
        <v>0</v>
      </c>
      <c r="CJ83">
        <f t="shared" si="43"/>
        <v>0</v>
      </c>
      <c r="CL83" s="1">
        <v>2.5912900000000001E-10</v>
      </c>
      <c r="CM83">
        <v>0</v>
      </c>
      <c r="CN83">
        <f t="shared" si="44"/>
        <v>0</v>
      </c>
    </row>
    <row r="84" spans="4:92" ht="15" thickBot="1" x14ac:dyDescent="0.4">
      <c r="D84" s="1">
        <v>2.8355099999999998E-10</v>
      </c>
      <c r="E84">
        <v>0</v>
      </c>
      <c r="F84">
        <v>0</v>
      </c>
      <c r="G84">
        <v>0</v>
      </c>
      <c r="I84" s="1">
        <v>2.8355099999999998E-10</v>
      </c>
      <c r="J84">
        <f t="shared" si="37"/>
        <v>0</v>
      </c>
      <c r="K84">
        <v>0</v>
      </c>
      <c r="L84">
        <v>0</v>
      </c>
      <c r="N84" s="1">
        <v>2.8355099999999998E-10</v>
      </c>
      <c r="O84">
        <f t="shared" si="38"/>
        <v>0</v>
      </c>
      <c r="Q84" s="1">
        <v>2.8355099999999998E-10</v>
      </c>
      <c r="R84">
        <f t="shared" si="39"/>
        <v>0</v>
      </c>
      <c r="CH84" s="1">
        <v>2.6248399999999999E-10</v>
      </c>
      <c r="CI84">
        <v>0</v>
      </c>
      <c r="CJ84">
        <f t="shared" si="43"/>
        <v>0</v>
      </c>
      <c r="CL84" s="1">
        <v>2.6248399999999999E-10</v>
      </c>
      <c r="CM84">
        <v>0</v>
      </c>
      <c r="CN84">
        <f t="shared" si="44"/>
        <v>0</v>
      </c>
    </row>
    <row r="85" spans="4:92" ht="102" thickBot="1" x14ac:dyDescent="0.4">
      <c r="D85" s="1">
        <v>2.8722299999999999E-10</v>
      </c>
      <c r="E85">
        <v>0</v>
      </c>
      <c r="F85">
        <v>0</v>
      </c>
      <c r="G85">
        <v>0</v>
      </c>
      <c r="I85" s="1">
        <v>2.8722299999999999E-10</v>
      </c>
      <c r="J85">
        <f t="shared" si="37"/>
        <v>0</v>
      </c>
      <c r="K85">
        <v>0</v>
      </c>
      <c r="L85">
        <v>0</v>
      </c>
      <c r="N85" s="1">
        <v>2.8722299999999999E-10</v>
      </c>
      <c r="O85">
        <f t="shared" si="38"/>
        <v>0</v>
      </c>
      <c r="Q85" s="1">
        <v>2.8722299999999999E-10</v>
      </c>
      <c r="R85">
        <f t="shared" si="39"/>
        <v>0</v>
      </c>
      <c r="BK85" s="13" t="s">
        <v>106</v>
      </c>
      <c r="BL85" s="13" t="s">
        <v>107</v>
      </c>
      <c r="BM85" s="13" t="s">
        <v>108</v>
      </c>
      <c r="BP85" s="17" t="s">
        <v>131</v>
      </c>
      <c r="BQ85" s="17" t="s">
        <v>132</v>
      </c>
      <c r="BR85" s="17" t="s">
        <v>133</v>
      </c>
      <c r="BT85" s="17" t="s">
        <v>134</v>
      </c>
      <c r="BU85" s="17" t="s">
        <v>135</v>
      </c>
      <c r="BV85" s="17" t="s">
        <v>136</v>
      </c>
      <c r="CH85" s="1">
        <v>2.65884E-10</v>
      </c>
      <c r="CI85">
        <v>0</v>
      </c>
      <c r="CJ85">
        <f t="shared" si="43"/>
        <v>0</v>
      </c>
      <c r="CL85" s="1">
        <v>2.65884E-10</v>
      </c>
      <c r="CM85">
        <v>0</v>
      </c>
      <c r="CN85">
        <f t="shared" si="44"/>
        <v>0</v>
      </c>
    </row>
    <row r="86" spans="4:92" ht="29.5" thickBot="1" x14ac:dyDescent="0.4">
      <c r="D86" s="1">
        <v>2.9094300000000001E-10</v>
      </c>
      <c r="E86">
        <v>0</v>
      </c>
      <c r="F86">
        <v>0</v>
      </c>
      <c r="G86">
        <v>0</v>
      </c>
      <c r="I86" s="1">
        <v>2.9094300000000001E-10</v>
      </c>
      <c r="J86">
        <f t="shared" si="37"/>
        <v>0</v>
      </c>
      <c r="K86">
        <v>0</v>
      </c>
      <c r="L86">
        <v>0</v>
      </c>
      <c r="N86" s="1">
        <v>2.9094300000000001E-10</v>
      </c>
      <c r="O86">
        <f t="shared" si="38"/>
        <v>0</v>
      </c>
      <c r="Q86" s="1">
        <v>2.9094300000000001E-10</v>
      </c>
      <c r="R86">
        <f t="shared" si="39"/>
        <v>0</v>
      </c>
      <c r="BJ86" s="14" t="s">
        <v>109</v>
      </c>
      <c r="BK86" s="15">
        <v>7.1044399999999996E-4</v>
      </c>
      <c r="BL86" s="15">
        <v>7.4545700000000004E-4</v>
      </c>
      <c r="BM86" s="15">
        <v>6.1761100000000001E-4</v>
      </c>
      <c r="BP86">
        <f>BK86*$BT$75*1E-24</f>
        <v>1.3457122584081876E-7</v>
      </c>
      <c r="BQ86">
        <f t="shared" ref="BQ86:BR88" si="45">BL86*$BT$75*1E-24</f>
        <v>1.4120333524052456E-7</v>
      </c>
      <c r="BR86">
        <f t="shared" si="45"/>
        <v>1.1698693966417327E-7</v>
      </c>
      <c r="BT86">
        <f>BP86/SUM($BP$86:$BP$97)*100</f>
        <v>2.5773322422324167E-3</v>
      </c>
      <c r="BU86">
        <f>BQ86/SUM($BQ$86:$BQ$97)*100</f>
        <v>5.4693155755398287E-4</v>
      </c>
      <c r="BV86">
        <f>BR86/SUM($BR$86:$BR$97)*100</f>
        <v>2.8819238378972227E-4</v>
      </c>
      <c r="CH86" s="1">
        <v>2.6932700000000002E-10</v>
      </c>
      <c r="CI86">
        <v>0</v>
      </c>
      <c r="CJ86">
        <f t="shared" si="43"/>
        <v>0</v>
      </c>
      <c r="CL86" s="1">
        <v>2.6932700000000002E-10</v>
      </c>
      <c r="CM86">
        <v>0</v>
      </c>
      <c r="CN86">
        <f t="shared" si="44"/>
        <v>0</v>
      </c>
    </row>
    <row r="87" spans="4:92" ht="29.5" thickBot="1" x14ac:dyDescent="0.4">
      <c r="D87" s="1">
        <v>2.9471100000000002E-10</v>
      </c>
      <c r="E87">
        <v>0</v>
      </c>
      <c r="F87">
        <v>0</v>
      </c>
      <c r="G87">
        <v>0</v>
      </c>
      <c r="I87" s="1">
        <v>2.9471100000000002E-10</v>
      </c>
      <c r="J87">
        <f t="shared" si="37"/>
        <v>0</v>
      </c>
      <c r="K87">
        <v>0</v>
      </c>
      <c r="L87">
        <v>0</v>
      </c>
      <c r="N87" s="1">
        <v>2.9471100000000002E-10</v>
      </c>
      <c r="O87">
        <f t="shared" si="38"/>
        <v>0</v>
      </c>
      <c r="Q87" s="1">
        <v>2.9471100000000002E-10</v>
      </c>
      <c r="R87">
        <f t="shared" si="39"/>
        <v>0</v>
      </c>
      <c r="BJ87" s="14" t="s">
        <v>110</v>
      </c>
      <c r="BK87" s="15">
        <v>6.3522100000000004</v>
      </c>
      <c r="BL87" s="15">
        <v>70.527299999999997</v>
      </c>
      <c r="BM87" s="15">
        <v>142.40700000000001</v>
      </c>
      <c r="BP87">
        <f>BK87*$BT$75*1E-24</f>
        <v>1.2032259917717756E-3</v>
      </c>
      <c r="BQ87">
        <f t="shared" si="45"/>
        <v>1.3359174285718757E-2</v>
      </c>
      <c r="BR87">
        <f t="shared" si="45"/>
        <v>2.6974518129948988E-2</v>
      </c>
      <c r="BT87">
        <f t="shared" ref="BT87:BT97" si="46">BP87/SUM($BP$86:$BP$97)*100</f>
        <v>23.044399899824874</v>
      </c>
      <c r="BU87">
        <f t="shared" ref="BU87:BU97" si="47">BQ87/SUM($BQ$86:$BQ$97)*100</f>
        <v>51.744910892347939</v>
      </c>
      <c r="BV87">
        <f t="shared" ref="BV87:BV97" si="48">BR87/SUM($BR$86:$BR$97)*100</f>
        <v>66.450585883902619</v>
      </c>
      <c r="CH87" s="1">
        <v>2.72815E-10</v>
      </c>
      <c r="CI87">
        <v>0</v>
      </c>
      <c r="CJ87">
        <f t="shared" si="43"/>
        <v>0</v>
      </c>
      <c r="CL87" s="1">
        <v>2.72815E-10</v>
      </c>
      <c r="CM87">
        <v>0</v>
      </c>
      <c r="CN87">
        <f t="shared" si="44"/>
        <v>0</v>
      </c>
    </row>
    <row r="88" spans="4:92" ht="29.5" thickBot="1" x14ac:dyDescent="0.4">
      <c r="D88" s="1">
        <v>2.9852699999999998E-10</v>
      </c>
      <c r="E88">
        <v>0</v>
      </c>
      <c r="F88">
        <v>0</v>
      </c>
      <c r="G88">
        <v>0</v>
      </c>
      <c r="I88" s="1">
        <v>2.9852699999999998E-10</v>
      </c>
      <c r="J88">
        <f t="shared" si="37"/>
        <v>0</v>
      </c>
      <c r="K88">
        <v>0</v>
      </c>
      <c r="L88">
        <v>0</v>
      </c>
      <c r="N88" s="1">
        <v>2.9852699999999998E-10</v>
      </c>
      <c r="O88">
        <f t="shared" si="38"/>
        <v>0</v>
      </c>
      <c r="Q88" s="1">
        <v>2.9852699999999998E-10</v>
      </c>
      <c r="R88">
        <f t="shared" si="39"/>
        <v>0</v>
      </c>
      <c r="BJ88" s="14" t="s">
        <v>111</v>
      </c>
      <c r="BK88" s="15">
        <v>2.8915700000000002</v>
      </c>
      <c r="BL88" s="15">
        <v>16.199400000000001</v>
      </c>
      <c r="BM88" s="15">
        <v>27.9893</v>
      </c>
      <c r="BP88">
        <f>BK88*$BT$75*1E-24</f>
        <v>5.4771680738318056E-4</v>
      </c>
      <c r="BQ88">
        <f t="shared" si="45"/>
        <v>3.0684657986917471E-3</v>
      </c>
      <c r="BR88">
        <f t="shared" si="45"/>
        <v>5.3016907897405407E-3</v>
      </c>
      <c r="BT88">
        <f t="shared" si="46"/>
        <v>10.489970485600541</v>
      </c>
      <c r="BU88">
        <f t="shared" si="47"/>
        <v>11.885277183579994</v>
      </c>
      <c r="BV88">
        <f t="shared" si="48"/>
        <v>13.06049129242464</v>
      </c>
      <c r="CH88" s="1">
        <v>2.7634800000000002E-10</v>
      </c>
      <c r="CI88">
        <v>0</v>
      </c>
      <c r="CJ88">
        <f t="shared" si="43"/>
        <v>0</v>
      </c>
      <c r="CL88" s="1">
        <v>2.7634800000000002E-10</v>
      </c>
      <c r="CM88">
        <v>0</v>
      </c>
      <c r="CN88">
        <f t="shared" si="44"/>
        <v>0</v>
      </c>
    </row>
    <row r="89" spans="4:92" ht="29.5" thickBot="1" x14ac:dyDescent="0.4">
      <c r="D89" s="1">
        <v>3.02393E-10</v>
      </c>
      <c r="E89">
        <v>0</v>
      </c>
      <c r="F89">
        <v>0</v>
      </c>
      <c r="G89">
        <v>0</v>
      </c>
      <c r="I89" s="1">
        <v>3.02393E-10</v>
      </c>
      <c r="J89">
        <f t="shared" si="37"/>
        <v>0</v>
      </c>
      <c r="K89">
        <v>0</v>
      </c>
      <c r="L89">
        <v>0</v>
      </c>
      <c r="N89" s="1">
        <v>3.02393E-10</v>
      </c>
      <c r="O89">
        <f t="shared" si="38"/>
        <v>0</v>
      </c>
      <c r="Q89" s="1">
        <v>3.02393E-10</v>
      </c>
      <c r="R89">
        <f t="shared" si="39"/>
        <v>0</v>
      </c>
      <c r="BJ89" s="14" t="s">
        <v>112</v>
      </c>
      <c r="BK89" s="15">
        <v>9.0379999999999996E-4</v>
      </c>
      <c r="BL89" s="15">
        <v>9.1395599999999995E-4</v>
      </c>
      <c r="BM89" s="15">
        <v>7.8048699999999996E-4</v>
      </c>
      <c r="BP89">
        <f>BK89*$BT$76*1E-24</f>
        <v>3.2527321004663393E-6</v>
      </c>
      <c r="BQ89">
        <f t="shared" ref="BQ89:BR91" si="49">BL89*$BT$76*1E-24</f>
        <v>3.2892830489199086E-6</v>
      </c>
      <c r="BR89">
        <f t="shared" si="49"/>
        <v>2.8089346303348876E-6</v>
      </c>
      <c r="BT89">
        <f t="shared" si="46"/>
        <v>6.2296908313763666E-2</v>
      </c>
      <c r="BU89">
        <f t="shared" si="47"/>
        <v>1.2740582211583435E-2</v>
      </c>
      <c r="BV89">
        <f t="shared" si="48"/>
        <v>6.9196917993541067E-3</v>
      </c>
      <c r="CH89" s="1">
        <v>2.79926E-10</v>
      </c>
      <c r="CI89">
        <v>0</v>
      </c>
      <c r="CJ89">
        <f t="shared" si="43"/>
        <v>0</v>
      </c>
      <c r="CL89" s="1">
        <v>2.79926E-10</v>
      </c>
      <c r="CM89">
        <v>0</v>
      </c>
      <c r="CN89">
        <f t="shared" si="44"/>
        <v>0</v>
      </c>
    </row>
    <row r="90" spans="4:92" ht="29.5" thickBot="1" x14ac:dyDescent="0.4">
      <c r="D90" s="1">
        <v>3.0630899999999999E-10</v>
      </c>
      <c r="E90">
        <v>0</v>
      </c>
      <c r="F90">
        <v>0</v>
      </c>
      <c r="G90">
        <v>0</v>
      </c>
      <c r="I90" s="1">
        <v>3.0630899999999999E-10</v>
      </c>
      <c r="J90">
        <f t="shared" si="37"/>
        <v>0</v>
      </c>
      <c r="K90">
        <v>0</v>
      </c>
      <c r="L90">
        <v>0</v>
      </c>
      <c r="N90" s="1">
        <v>3.0630899999999999E-10</v>
      </c>
      <c r="O90">
        <f t="shared" si="38"/>
        <v>0</v>
      </c>
      <c r="Q90" s="1">
        <v>3.0630899999999999E-10</v>
      </c>
      <c r="R90">
        <f t="shared" si="39"/>
        <v>0</v>
      </c>
      <c r="BJ90" s="14" t="s">
        <v>113</v>
      </c>
      <c r="BK90" s="15">
        <v>2.86777E-2</v>
      </c>
      <c r="BL90" s="15">
        <v>2.9310900000000001E-2</v>
      </c>
      <c r="BM90" s="15">
        <v>2.1261800000000001E-2</v>
      </c>
      <c r="BP90">
        <f t="shared" ref="BP90:BP91" si="50">BK90*$BT$76*1E-24</f>
        <v>1.0320964301564897E-4</v>
      </c>
      <c r="BQ90">
        <f t="shared" si="49"/>
        <v>1.0548849891962694E-4</v>
      </c>
      <c r="BR90">
        <f t="shared" si="49"/>
        <v>7.6520180763106014E-5</v>
      </c>
      <c r="BT90">
        <f t="shared" si="46"/>
        <v>1.9766895856933173</v>
      </c>
      <c r="BU90">
        <f t="shared" si="47"/>
        <v>0.4085950867935666</v>
      </c>
      <c r="BV90">
        <f t="shared" si="48"/>
        <v>0.1885042327412336</v>
      </c>
      <c r="CH90" s="1">
        <v>2.8355099999999998E-10</v>
      </c>
      <c r="CI90">
        <v>0</v>
      </c>
      <c r="CJ90">
        <f t="shared" si="43"/>
        <v>0</v>
      </c>
      <c r="CL90" s="1">
        <v>2.8355099999999998E-10</v>
      </c>
      <c r="CM90">
        <v>0</v>
      </c>
      <c r="CN90">
        <f t="shared" si="44"/>
        <v>0</v>
      </c>
    </row>
    <row r="91" spans="4:92" ht="29.5" thickBot="1" x14ac:dyDescent="0.4">
      <c r="D91" s="1">
        <v>3.10276E-10</v>
      </c>
      <c r="E91">
        <v>0</v>
      </c>
      <c r="F91">
        <v>0</v>
      </c>
      <c r="G91">
        <v>0</v>
      </c>
      <c r="I91" s="1">
        <v>3.10276E-10</v>
      </c>
      <c r="J91">
        <f t="shared" si="37"/>
        <v>0</v>
      </c>
      <c r="K91">
        <v>0</v>
      </c>
      <c r="L91">
        <v>0</v>
      </c>
      <c r="N91" s="1">
        <v>3.10276E-10</v>
      </c>
      <c r="O91">
        <f t="shared" si="38"/>
        <v>0</v>
      </c>
      <c r="Q91" s="1">
        <v>3.10276E-10</v>
      </c>
      <c r="R91">
        <f t="shared" si="39"/>
        <v>0</v>
      </c>
      <c r="BJ91" s="14" t="s">
        <v>114</v>
      </c>
      <c r="BK91" s="15">
        <v>0.91108</v>
      </c>
      <c r="BL91" s="15">
        <v>2.4935900000000002</v>
      </c>
      <c r="BM91" s="15">
        <v>2.1389499999999999</v>
      </c>
      <c r="BP91">
        <f t="shared" si="50"/>
        <v>3.2789324652499141E-3</v>
      </c>
      <c r="BQ91">
        <f t="shared" si="49"/>
        <v>8.9743087391036293E-3</v>
      </c>
      <c r="BR91">
        <f t="shared" si="49"/>
        <v>7.697976683218052E-3</v>
      </c>
      <c r="BT91">
        <f t="shared" si="46"/>
        <v>62.79870239710533</v>
      </c>
      <c r="BU91">
        <f t="shared" si="47"/>
        <v>34.760741651657568</v>
      </c>
      <c r="BV91">
        <f t="shared" si="48"/>
        <v>18.963640360734345</v>
      </c>
      <c r="CH91" s="1">
        <v>2.8722299999999999E-10</v>
      </c>
      <c r="CI91">
        <v>0</v>
      </c>
      <c r="CJ91">
        <f t="shared" si="43"/>
        <v>0</v>
      </c>
      <c r="CL91" s="1">
        <v>2.8722299999999999E-10</v>
      </c>
      <c r="CM91">
        <v>0</v>
      </c>
      <c r="CN91">
        <f t="shared" si="44"/>
        <v>0</v>
      </c>
    </row>
    <row r="92" spans="4:92" ht="29.5" thickBot="1" x14ac:dyDescent="0.4">
      <c r="D92" s="1">
        <v>3.1429399999999999E-10</v>
      </c>
      <c r="E92">
        <v>0</v>
      </c>
      <c r="F92">
        <v>0</v>
      </c>
      <c r="G92">
        <v>0</v>
      </c>
      <c r="I92" s="1">
        <v>3.1429399999999999E-10</v>
      </c>
      <c r="J92">
        <f t="shared" si="37"/>
        <v>0</v>
      </c>
      <c r="K92">
        <v>0</v>
      </c>
      <c r="L92">
        <v>0</v>
      </c>
      <c r="N92" s="1">
        <v>3.1429399999999999E-10</v>
      </c>
      <c r="O92">
        <f t="shared" si="38"/>
        <v>0</v>
      </c>
      <c r="Q92" s="1">
        <v>3.1429399999999999E-10</v>
      </c>
      <c r="R92">
        <f t="shared" si="39"/>
        <v>0</v>
      </c>
      <c r="BJ92" s="14" t="s">
        <v>115</v>
      </c>
      <c r="BK92" s="16">
        <v>2.1449099999999998E-6</v>
      </c>
      <c r="BL92" s="16">
        <v>1.89638E-6</v>
      </c>
      <c r="BM92" s="16">
        <v>2.53519E-6</v>
      </c>
      <c r="BP92" s="1">
        <f>BK92*$BT$72*1E-24</f>
        <v>4.8754272204688425E-8</v>
      </c>
      <c r="BQ92" s="1">
        <f t="shared" ref="BQ92:BR93" si="51">BL92*$BT$72*1E-24</f>
        <v>4.3105131088729619E-8</v>
      </c>
      <c r="BR92" s="1">
        <f t="shared" si="51"/>
        <v>5.762542174291884E-8</v>
      </c>
      <c r="BT92">
        <f t="shared" si="46"/>
        <v>9.3375056156770684E-4</v>
      </c>
      <c r="BU92">
        <f t="shared" si="47"/>
        <v>1.6696175373456373E-4</v>
      </c>
      <c r="BV92">
        <f t="shared" si="48"/>
        <v>1.4195779209758878E-4</v>
      </c>
      <c r="CH92" s="1">
        <v>2.9094300000000001E-10</v>
      </c>
      <c r="CI92">
        <v>0</v>
      </c>
      <c r="CJ92">
        <f t="shared" si="43"/>
        <v>0</v>
      </c>
      <c r="CL92" s="1">
        <v>2.9094300000000001E-10</v>
      </c>
      <c r="CM92">
        <v>0</v>
      </c>
      <c r="CN92">
        <f t="shared" si="44"/>
        <v>0</v>
      </c>
    </row>
    <row r="93" spans="4:92" ht="15" thickBot="1" x14ac:dyDescent="0.4">
      <c r="D93" s="1">
        <v>3.1836400000000001E-10</v>
      </c>
      <c r="E93">
        <v>0</v>
      </c>
      <c r="F93">
        <v>0</v>
      </c>
      <c r="G93">
        <v>0</v>
      </c>
      <c r="I93" s="1">
        <v>3.1836400000000001E-10</v>
      </c>
      <c r="J93">
        <f t="shared" si="37"/>
        <v>0</v>
      </c>
      <c r="K93">
        <v>0</v>
      </c>
      <c r="L93">
        <v>0</v>
      </c>
      <c r="N93" s="1">
        <v>3.1836400000000001E-10</v>
      </c>
      <c r="O93">
        <f t="shared" si="38"/>
        <v>0</v>
      </c>
      <c r="Q93" s="1">
        <v>3.1836400000000001E-10</v>
      </c>
      <c r="R93">
        <f t="shared" si="39"/>
        <v>0</v>
      </c>
      <c r="BJ93" s="14" t="s">
        <v>116</v>
      </c>
      <c r="BK93" s="15">
        <v>1.91752E-4</v>
      </c>
      <c r="BL93" s="15">
        <v>5.9125100000000002E-3</v>
      </c>
      <c r="BM93" s="15">
        <v>1.21876E-2</v>
      </c>
      <c r="BP93" s="1">
        <f>BK93*$BT$72*1E-24</f>
        <v>4.3585647900347407E-6</v>
      </c>
      <c r="BQ93" s="1">
        <f t="shared" si="51"/>
        <v>1.343926420935808E-4</v>
      </c>
      <c r="BR93" s="1">
        <f t="shared" si="51"/>
        <v>2.7702680668273291E-4</v>
      </c>
      <c r="BT93">
        <f t="shared" si="46"/>
        <v>8.3476014229842257E-2</v>
      </c>
      <c r="BU93">
        <f t="shared" si="47"/>
        <v>0.52055128116366201</v>
      </c>
      <c r="BV93">
        <f t="shared" si="48"/>
        <v>0.68244383536088937</v>
      </c>
      <c r="CH93" s="1">
        <v>2.9471100000000002E-10</v>
      </c>
      <c r="CI93">
        <v>0</v>
      </c>
      <c r="CJ93">
        <f t="shared" si="43"/>
        <v>0</v>
      </c>
      <c r="CL93" s="1">
        <v>2.9471100000000002E-10</v>
      </c>
      <c r="CM93">
        <v>0</v>
      </c>
      <c r="CN93">
        <f t="shared" si="44"/>
        <v>0</v>
      </c>
    </row>
    <row r="94" spans="4:92" ht="29.5" thickBot="1" x14ac:dyDescent="0.4">
      <c r="D94" s="1">
        <v>3.2248700000000002E-10</v>
      </c>
      <c r="E94">
        <v>0</v>
      </c>
      <c r="F94">
        <v>0</v>
      </c>
      <c r="G94">
        <v>0</v>
      </c>
      <c r="I94" s="1">
        <v>3.2248700000000002E-10</v>
      </c>
      <c r="J94">
        <f t="shared" si="37"/>
        <v>0</v>
      </c>
      <c r="K94">
        <v>0</v>
      </c>
      <c r="L94">
        <v>0</v>
      </c>
      <c r="N94" s="1">
        <v>3.2248700000000002E-10</v>
      </c>
      <c r="O94">
        <f t="shared" si="38"/>
        <v>0</v>
      </c>
      <c r="Q94" s="1">
        <v>3.2248700000000002E-10</v>
      </c>
      <c r="R94">
        <f t="shared" si="39"/>
        <v>0</v>
      </c>
      <c r="BJ94" s="14" t="s">
        <v>117</v>
      </c>
      <c r="BK94" s="15">
        <v>8.2321300000000007E-3</v>
      </c>
      <c r="BL94" s="15">
        <v>7.9147899999999997E-3</v>
      </c>
      <c r="BM94" s="15">
        <v>6.1453300000000001E-3</v>
      </c>
      <c r="BP94">
        <f>BK94*1E-24*$BT$73</f>
        <v>4.1581802380144607E-5</v>
      </c>
      <c r="BQ94">
        <f t="shared" ref="BQ94:BR95" si="52">BL94*1E-24*$BT$73</f>
        <v>3.9978867396450817E-5</v>
      </c>
      <c r="BR94">
        <f t="shared" si="52"/>
        <v>3.1041042551657229E-5</v>
      </c>
      <c r="BT94">
        <f t="shared" si="46"/>
        <v>0.79638213366096888</v>
      </c>
      <c r="BU94">
        <f t="shared" si="47"/>
        <v>0.15485260441716295</v>
      </c>
      <c r="BV94">
        <f t="shared" si="48"/>
        <v>7.6468297007857441E-2</v>
      </c>
      <c r="CH94" s="1">
        <v>2.9852699999999998E-10</v>
      </c>
      <c r="CI94">
        <v>0</v>
      </c>
      <c r="CJ94">
        <f t="shared" si="43"/>
        <v>0</v>
      </c>
      <c r="CL94" s="1">
        <v>2.9852699999999998E-10</v>
      </c>
      <c r="CM94">
        <v>0</v>
      </c>
      <c r="CN94">
        <f t="shared" si="44"/>
        <v>0</v>
      </c>
    </row>
    <row r="95" spans="4:92" ht="15" thickBot="1" x14ac:dyDescent="0.4">
      <c r="D95" s="1">
        <v>3.2666300000000001E-10</v>
      </c>
      <c r="E95">
        <v>0</v>
      </c>
      <c r="F95">
        <v>0</v>
      </c>
      <c r="G95">
        <v>0</v>
      </c>
      <c r="I95" s="1">
        <v>3.2666300000000001E-10</v>
      </c>
      <c r="J95">
        <f t="shared" si="37"/>
        <v>0</v>
      </c>
      <c r="K95">
        <v>0</v>
      </c>
      <c r="L95">
        <v>0</v>
      </c>
      <c r="N95" s="1">
        <v>3.2666300000000001E-10</v>
      </c>
      <c r="O95">
        <f t="shared" si="38"/>
        <v>0</v>
      </c>
      <c r="Q95" s="1">
        <v>3.2666300000000001E-10</v>
      </c>
      <c r="R95">
        <f t="shared" si="39"/>
        <v>0</v>
      </c>
      <c r="BJ95" s="14" t="s">
        <v>118</v>
      </c>
      <c r="BK95" s="15">
        <v>1.12484E-4</v>
      </c>
      <c r="BL95" s="15">
        <v>1.1666300000000001E-3</v>
      </c>
      <c r="BM95" s="15">
        <v>2.3401099999999998E-3</v>
      </c>
      <c r="BP95">
        <f>BK95*1E-24*$BT$73</f>
        <v>5.6817463511001234E-7</v>
      </c>
      <c r="BQ95">
        <f t="shared" si="52"/>
        <v>5.8928343102876286E-6</v>
      </c>
      <c r="BR95">
        <f t="shared" si="52"/>
        <v>1.1820269063753874E-5</v>
      </c>
      <c r="BT95">
        <f t="shared" si="46"/>
        <v>1.0881782469752107E-2</v>
      </c>
      <c r="BU95">
        <f t="shared" si="47"/>
        <v>2.2825077341432281E-2</v>
      </c>
      <c r="BV95">
        <f t="shared" si="48"/>
        <v>2.91187334953627E-2</v>
      </c>
      <c r="CH95" s="1">
        <v>3.02393E-10</v>
      </c>
      <c r="CI95">
        <v>0</v>
      </c>
      <c r="CJ95">
        <f t="shared" si="43"/>
        <v>0</v>
      </c>
      <c r="CL95" s="1">
        <v>3.02393E-10</v>
      </c>
      <c r="CM95">
        <v>0</v>
      </c>
      <c r="CN95">
        <f t="shared" si="44"/>
        <v>0</v>
      </c>
    </row>
    <row r="96" spans="4:92" ht="29.5" thickBot="1" x14ac:dyDescent="0.4">
      <c r="D96" s="1">
        <v>3.3089400000000002E-10</v>
      </c>
      <c r="E96">
        <v>0</v>
      </c>
      <c r="F96">
        <v>0</v>
      </c>
      <c r="G96">
        <v>0</v>
      </c>
      <c r="I96" s="1">
        <v>3.3089400000000002E-10</v>
      </c>
      <c r="J96">
        <f t="shared" si="37"/>
        <v>0</v>
      </c>
      <c r="K96">
        <v>0</v>
      </c>
      <c r="L96">
        <v>0</v>
      </c>
      <c r="N96" s="1">
        <v>3.3089400000000002E-10</v>
      </c>
      <c r="O96">
        <f t="shared" si="38"/>
        <v>0</v>
      </c>
      <c r="Q96" s="1">
        <v>3.3089400000000002E-10</v>
      </c>
      <c r="R96">
        <f t="shared" si="39"/>
        <v>0</v>
      </c>
      <c r="BJ96" s="14" t="s">
        <v>119</v>
      </c>
      <c r="BK96" s="16">
        <v>2.2314900000000001E-7</v>
      </c>
      <c r="BL96" s="16">
        <v>4.9280300000000005E-7</v>
      </c>
      <c r="BM96" s="16">
        <v>4.32253E-7</v>
      </c>
      <c r="BP96" s="1">
        <f>BK96*1E-24*$BT$77</f>
        <v>1.7752789072135459E-8</v>
      </c>
      <c r="BQ96" s="1">
        <f t="shared" ref="BQ96:BR97" si="53">BL96*1E-24*$BT$77</f>
        <v>3.9205318926437358E-8</v>
      </c>
      <c r="BR96" s="1">
        <f t="shared" si="53"/>
        <v>3.4388217445732523E-8</v>
      </c>
      <c r="BT96">
        <f t="shared" si="46"/>
        <v>3.4000459889760076E-4</v>
      </c>
      <c r="BU96">
        <f t="shared" si="47"/>
        <v>1.5185637158153411E-4</v>
      </c>
      <c r="BV96">
        <f t="shared" si="48"/>
        <v>8.4713920959161499E-5</v>
      </c>
      <c r="CH96" s="1">
        <v>3.0630899999999999E-10</v>
      </c>
      <c r="CI96">
        <v>0</v>
      </c>
      <c r="CJ96">
        <f t="shared" si="43"/>
        <v>0</v>
      </c>
      <c r="CL96" s="1">
        <v>3.0630899999999999E-10</v>
      </c>
      <c r="CM96">
        <v>0</v>
      </c>
      <c r="CN96">
        <f t="shared" si="44"/>
        <v>0</v>
      </c>
    </row>
    <row r="97" spans="4:92" ht="15" thickBot="1" x14ac:dyDescent="0.4">
      <c r="D97" s="1">
        <v>3.3517900000000002E-10</v>
      </c>
      <c r="E97">
        <v>0</v>
      </c>
      <c r="F97">
        <v>0</v>
      </c>
      <c r="G97">
        <v>0</v>
      </c>
      <c r="I97" s="1">
        <v>3.3517900000000002E-10</v>
      </c>
      <c r="J97">
        <f t="shared" si="37"/>
        <v>0</v>
      </c>
      <c r="K97">
        <v>0</v>
      </c>
      <c r="L97">
        <v>0</v>
      </c>
      <c r="N97" s="1">
        <v>3.3517900000000002E-10</v>
      </c>
      <c r="O97">
        <f t="shared" si="38"/>
        <v>0</v>
      </c>
      <c r="Q97" s="1">
        <v>3.3517900000000002E-10</v>
      </c>
      <c r="R97">
        <f t="shared" si="39"/>
        <v>0</v>
      </c>
      <c r="BJ97" s="14" t="s">
        <v>120</v>
      </c>
      <c r="BK97" s="15">
        <v>4.8130599999999998E-4</v>
      </c>
      <c r="BL97" s="15">
        <v>1.58573E-3</v>
      </c>
      <c r="BM97" s="15">
        <v>2.7620499999999998E-3</v>
      </c>
      <c r="BP97" s="1">
        <f>BK97*1E-24*$BT$77</f>
        <v>3.8290666313329775E-5</v>
      </c>
      <c r="BQ97" s="1">
        <f t="shared" si="53"/>
        <v>1.2615396087527775E-4</v>
      </c>
      <c r="BR97" s="1">
        <f t="shared" si="53"/>
        <v>2.1973699661074765E-4</v>
      </c>
      <c r="BT97">
        <f t="shared" si="46"/>
        <v>0.73334970569892122</v>
      </c>
      <c r="BU97">
        <f t="shared" si="47"/>
        <v>0.48863989080420789</v>
      </c>
      <c r="BV97">
        <f t="shared" si="48"/>
        <v>0.54131280843684593</v>
      </c>
      <c r="CH97" s="1">
        <v>3.10276E-10</v>
      </c>
      <c r="CI97">
        <v>0</v>
      </c>
      <c r="CJ97">
        <f t="shared" si="43"/>
        <v>0</v>
      </c>
      <c r="CL97" s="1">
        <v>3.10276E-10</v>
      </c>
      <c r="CM97">
        <v>0</v>
      </c>
      <c r="CN97">
        <f t="shared" si="44"/>
        <v>0</v>
      </c>
    </row>
    <row r="98" spans="4:92" x14ac:dyDescent="0.35">
      <c r="D98" s="1">
        <v>3.3951900000000002E-10</v>
      </c>
      <c r="E98">
        <v>0</v>
      </c>
      <c r="F98">
        <v>0</v>
      </c>
      <c r="G98">
        <v>0</v>
      </c>
      <c r="I98" s="1">
        <v>3.3951900000000002E-10</v>
      </c>
      <c r="J98">
        <f t="shared" si="37"/>
        <v>0</v>
      </c>
      <c r="K98">
        <v>0</v>
      </c>
      <c r="L98">
        <v>0</v>
      </c>
      <c r="N98" s="1">
        <v>3.3951900000000002E-10</v>
      </c>
      <c r="O98">
        <f t="shared" si="38"/>
        <v>0</v>
      </c>
      <c r="Q98" s="1">
        <v>3.3951900000000002E-10</v>
      </c>
      <c r="R98">
        <f t="shared" si="39"/>
        <v>0</v>
      </c>
      <c r="CH98" s="1">
        <v>3.1429399999999999E-10</v>
      </c>
      <c r="CI98">
        <v>0</v>
      </c>
      <c r="CJ98">
        <f t="shared" si="43"/>
        <v>0</v>
      </c>
      <c r="CL98" s="1">
        <v>3.1429399999999999E-10</v>
      </c>
      <c r="CM98">
        <v>0</v>
      </c>
      <c r="CN98">
        <f t="shared" si="44"/>
        <v>0</v>
      </c>
    </row>
    <row r="99" spans="4:92" x14ac:dyDescent="0.35">
      <c r="D99" s="1">
        <v>3.43916E-10</v>
      </c>
      <c r="E99">
        <v>0</v>
      </c>
      <c r="F99">
        <v>0</v>
      </c>
      <c r="G99">
        <v>0</v>
      </c>
      <c r="I99" s="1">
        <v>3.43916E-10</v>
      </c>
      <c r="J99">
        <f t="shared" si="37"/>
        <v>0</v>
      </c>
      <c r="K99">
        <v>0</v>
      </c>
      <c r="L99">
        <v>0</v>
      </c>
      <c r="N99" s="1">
        <v>3.43916E-10</v>
      </c>
      <c r="O99">
        <f t="shared" si="38"/>
        <v>0</v>
      </c>
      <c r="Q99" s="1">
        <v>3.43916E-10</v>
      </c>
      <c r="R99">
        <f t="shared" si="39"/>
        <v>0</v>
      </c>
      <c r="CH99" s="1">
        <v>3.1836400000000001E-10</v>
      </c>
      <c r="CI99">
        <v>0</v>
      </c>
      <c r="CJ99">
        <f t="shared" si="43"/>
        <v>0</v>
      </c>
      <c r="CL99" s="1">
        <v>3.1836400000000001E-10</v>
      </c>
      <c r="CM99">
        <v>0</v>
      </c>
      <c r="CN99">
        <f t="shared" si="44"/>
        <v>0</v>
      </c>
    </row>
    <row r="100" spans="4:92" x14ac:dyDescent="0.35">
      <c r="D100" s="1">
        <v>3.4837000000000001E-10</v>
      </c>
      <c r="E100">
        <v>0</v>
      </c>
      <c r="F100">
        <v>0</v>
      </c>
      <c r="G100">
        <v>0</v>
      </c>
      <c r="I100" s="1">
        <v>3.4837000000000001E-10</v>
      </c>
      <c r="J100">
        <f t="shared" si="37"/>
        <v>0</v>
      </c>
      <c r="K100">
        <v>0</v>
      </c>
      <c r="L100">
        <v>0</v>
      </c>
      <c r="N100" s="1">
        <v>3.4837000000000001E-10</v>
      </c>
      <c r="O100">
        <f t="shared" si="38"/>
        <v>0</v>
      </c>
      <c r="Q100" s="1">
        <v>3.4837000000000001E-10</v>
      </c>
      <c r="R100">
        <f t="shared" si="39"/>
        <v>0</v>
      </c>
      <c r="BS100" t="s">
        <v>137</v>
      </c>
      <c r="BT100">
        <f>BT87+BT90</f>
        <v>25.021089485518193</v>
      </c>
      <c r="BU100">
        <f t="shared" ref="BU100:BV100" si="54">BU87+BU90</f>
        <v>52.153505979141507</v>
      </c>
      <c r="BV100">
        <f t="shared" si="54"/>
        <v>66.639090116643857</v>
      </c>
      <c r="CH100" s="1">
        <v>3.2248700000000002E-10</v>
      </c>
      <c r="CI100">
        <v>0</v>
      </c>
      <c r="CJ100">
        <f t="shared" si="43"/>
        <v>0</v>
      </c>
      <c r="CL100" s="1">
        <v>3.2248700000000002E-10</v>
      </c>
      <c r="CM100">
        <v>0</v>
      </c>
      <c r="CN100">
        <f t="shared" si="44"/>
        <v>0</v>
      </c>
    </row>
    <row r="101" spans="4:92" x14ac:dyDescent="0.35">
      <c r="D101" s="1">
        <v>3.5288099999999998E-10</v>
      </c>
      <c r="E101">
        <v>0</v>
      </c>
      <c r="F101">
        <v>0</v>
      </c>
      <c r="G101">
        <v>0</v>
      </c>
      <c r="I101" s="1">
        <v>3.5288099999999998E-10</v>
      </c>
      <c r="J101">
        <f t="shared" si="37"/>
        <v>0</v>
      </c>
      <c r="K101">
        <v>0</v>
      </c>
      <c r="L101">
        <v>0</v>
      </c>
      <c r="N101" s="1">
        <v>3.5288099999999998E-10</v>
      </c>
      <c r="O101">
        <f t="shared" si="38"/>
        <v>0</v>
      </c>
      <c r="Q101" s="1">
        <v>3.5288099999999998E-10</v>
      </c>
      <c r="R101">
        <f t="shared" si="39"/>
        <v>0</v>
      </c>
      <c r="BS101" t="s">
        <v>138</v>
      </c>
      <c r="BT101">
        <f>BT97+BT95+BT93+BT91+BT88</f>
        <v>74.116380385104392</v>
      </c>
      <c r="BU101">
        <f t="shared" ref="BU101:BV101" si="55">BU97+BU95+BU93+BU91+BU88</f>
        <v>47.678035084546863</v>
      </c>
      <c r="BV101">
        <f t="shared" si="55"/>
        <v>33.277007030452083</v>
      </c>
      <c r="CH101" s="1">
        <v>3.2666300000000001E-10</v>
      </c>
      <c r="CI101">
        <v>0</v>
      </c>
      <c r="CJ101">
        <f t="shared" si="43"/>
        <v>0</v>
      </c>
      <c r="CL101" s="1">
        <v>3.2666300000000001E-10</v>
      </c>
      <c r="CM101">
        <v>0</v>
      </c>
      <c r="CN101">
        <f t="shared" si="44"/>
        <v>0</v>
      </c>
    </row>
    <row r="102" spans="4:92" x14ac:dyDescent="0.35">
      <c r="D102" s="1">
        <v>3.57451E-10</v>
      </c>
      <c r="E102">
        <v>0</v>
      </c>
      <c r="F102">
        <v>0</v>
      </c>
      <c r="G102">
        <v>0</v>
      </c>
      <c r="I102" s="1">
        <v>3.57451E-10</v>
      </c>
      <c r="J102">
        <f t="shared" si="37"/>
        <v>0</v>
      </c>
      <c r="K102">
        <v>0</v>
      </c>
      <c r="L102">
        <v>0</v>
      </c>
      <c r="N102" s="1">
        <v>3.57451E-10</v>
      </c>
      <c r="O102">
        <f t="shared" si="38"/>
        <v>0</v>
      </c>
      <c r="Q102" s="1">
        <v>3.57451E-10</v>
      </c>
      <c r="R102">
        <f t="shared" si="39"/>
        <v>0</v>
      </c>
      <c r="BS102" t="s">
        <v>139</v>
      </c>
      <c r="BT102">
        <f>SUM(BT96,BT94,BT92,BT89,BT86)</f>
        <v>0.86253012937743034</v>
      </c>
      <c r="BU102">
        <f t="shared" ref="BU102:BV102" si="56">SUM(BU96,BU94,BU92,BU89,BU86)</f>
        <v>0.16845893631161646</v>
      </c>
      <c r="BV102">
        <f t="shared" si="56"/>
        <v>8.3902852904058023E-2</v>
      </c>
      <c r="CH102" s="1">
        <v>3.3089400000000002E-10</v>
      </c>
      <c r="CI102">
        <v>0</v>
      </c>
      <c r="CJ102">
        <f t="shared" si="43"/>
        <v>0</v>
      </c>
      <c r="CL102" s="1">
        <v>3.3089400000000002E-10</v>
      </c>
      <c r="CM102">
        <v>0</v>
      </c>
      <c r="CN102">
        <f t="shared" si="44"/>
        <v>0</v>
      </c>
    </row>
    <row r="103" spans="4:92" x14ac:dyDescent="0.35">
      <c r="D103" s="1">
        <v>3.6208E-10</v>
      </c>
      <c r="E103">
        <v>0</v>
      </c>
      <c r="F103">
        <v>0</v>
      </c>
      <c r="G103">
        <v>0</v>
      </c>
      <c r="I103" s="1">
        <v>3.6208E-10</v>
      </c>
      <c r="J103">
        <f t="shared" si="37"/>
        <v>0</v>
      </c>
      <c r="K103">
        <v>0</v>
      </c>
      <c r="L103">
        <v>0</v>
      </c>
      <c r="N103" s="1">
        <v>3.6208E-10</v>
      </c>
      <c r="O103">
        <f t="shared" si="38"/>
        <v>0</v>
      </c>
      <c r="Q103" s="1">
        <v>3.6208E-10</v>
      </c>
      <c r="R103">
        <f t="shared" si="39"/>
        <v>0</v>
      </c>
      <c r="CH103" s="1">
        <v>3.3517900000000002E-10</v>
      </c>
      <c r="CI103">
        <v>0</v>
      </c>
      <c r="CJ103">
        <f t="shared" si="43"/>
        <v>0</v>
      </c>
      <c r="CL103" s="1">
        <v>3.3517900000000002E-10</v>
      </c>
      <c r="CM103">
        <v>0</v>
      </c>
      <c r="CN103">
        <f t="shared" si="44"/>
        <v>0</v>
      </c>
    </row>
    <row r="104" spans="4:92" x14ac:dyDescent="0.35">
      <c r="D104" s="1">
        <v>3.6676900000000001E-10</v>
      </c>
      <c r="E104">
        <v>0</v>
      </c>
      <c r="F104">
        <v>0</v>
      </c>
      <c r="G104">
        <v>0</v>
      </c>
      <c r="I104" s="1">
        <v>3.6676900000000001E-10</v>
      </c>
      <c r="J104">
        <f t="shared" si="37"/>
        <v>0</v>
      </c>
      <c r="K104">
        <v>0</v>
      </c>
      <c r="L104">
        <v>0</v>
      </c>
      <c r="N104" s="1">
        <v>3.6676900000000001E-10</v>
      </c>
      <c r="O104">
        <f t="shared" si="38"/>
        <v>0</v>
      </c>
      <c r="Q104" s="1">
        <v>3.6676900000000001E-10</v>
      </c>
      <c r="R104">
        <f t="shared" si="39"/>
        <v>0</v>
      </c>
      <c r="BS104" t="s">
        <v>140</v>
      </c>
      <c r="BT104">
        <f>BT94/BT102*100</f>
        <v>92.330935063774902</v>
      </c>
      <c r="BU104">
        <f t="shared" ref="BU104:BV104" si="57">BU94/BU102*100</f>
        <v>91.923057219544333</v>
      </c>
      <c r="BV104">
        <f t="shared" si="57"/>
        <v>91.139090461319697</v>
      </c>
      <c r="CH104" s="1">
        <v>3.3951900000000002E-10</v>
      </c>
      <c r="CI104">
        <v>0</v>
      </c>
      <c r="CJ104">
        <f t="shared" si="43"/>
        <v>0</v>
      </c>
      <c r="CL104" s="1">
        <v>3.3951900000000002E-10</v>
      </c>
      <c r="CM104">
        <v>0</v>
      </c>
      <c r="CN104">
        <f t="shared" si="44"/>
        <v>0</v>
      </c>
    </row>
    <row r="105" spans="4:92" x14ac:dyDescent="0.35">
      <c r="D105" s="1">
        <v>3.7151900000000002E-10</v>
      </c>
      <c r="E105">
        <v>0</v>
      </c>
      <c r="F105">
        <v>0</v>
      </c>
      <c r="G105">
        <v>0</v>
      </c>
      <c r="I105" s="1">
        <v>3.7151900000000002E-10</v>
      </c>
      <c r="J105">
        <f t="shared" si="37"/>
        <v>0</v>
      </c>
      <c r="K105">
        <v>0</v>
      </c>
      <c r="L105">
        <v>0</v>
      </c>
      <c r="N105" s="1">
        <v>3.7151900000000002E-10</v>
      </c>
      <c r="O105">
        <f t="shared" si="38"/>
        <v>0</v>
      </c>
      <c r="Q105" s="1">
        <v>3.7151900000000002E-10</v>
      </c>
      <c r="R105">
        <f t="shared" si="39"/>
        <v>0</v>
      </c>
      <c r="BS105" t="s">
        <v>141</v>
      </c>
      <c r="BT105">
        <f>BT87/BT100*100</f>
        <v>92.099906013935183</v>
      </c>
      <c r="BU105">
        <f t="shared" ref="BU105:BV105" si="58">BU87/BU100*100</f>
        <v>99.216552983116841</v>
      </c>
      <c r="BV105">
        <f t="shared" si="58"/>
        <v>99.717126640818051</v>
      </c>
      <c r="CH105" s="1">
        <v>3.43916E-10</v>
      </c>
      <c r="CI105">
        <v>0</v>
      </c>
      <c r="CJ105">
        <f t="shared" si="43"/>
        <v>0</v>
      </c>
      <c r="CL105" s="1">
        <v>3.43916E-10</v>
      </c>
      <c r="CM105">
        <v>0</v>
      </c>
      <c r="CN105">
        <f t="shared" si="44"/>
        <v>0</v>
      </c>
    </row>
    <row r="106" spans="4:92" x14ac:dyDescent="0.35">
      <c r="D106" s="1">
        <v>3.7632999999999998E-10</v>
      </c>
      <c r="E106">
        <v>0</v>
      </c>
      <c r="F106">
        <v>0</v>
      </c>
      <c r="G106">
        <v>0</v>
      </c>
      <c r="I106" s="1">
        <v>3.7632999999999998E-10</v>
      </c>
      <c r="J106">
        <f t="shared" si="37"/>
        <v>0</v>
      </c>
      <c r="K106">
        <v>0</v>
      </c>
      <c r="L106">
        <v>0</v>
      </c>
      <c r="N106" s="1">
        <v>3.7632999999999998E-10</v>
      </c>
      <c r="O106">
        <f t="shared" si="38"/>
        <v>0</v>
      </c>
      <c r="Q106" s="1">
        <v>3.7632999999999998E-10</v>
      </c>
      <c r="R106">
        <f t="shared" si="39"/>
        <v>0</v>
      </c>
      <c r="BI106">
        <f>SQRT(PI())*1.2</f>
        <v>2.126944621086619</v>
      </c>
      <c r="BK106">
        <v>0.97</v>
      </c>
      <c r="BS106" t="s">
        <v>147</v>
      </c>
      <c r="BT106">
        <f>100-BT105</f>
        <v>7.9000939860648174</v>
      </c>
      <c r="BU106">
        <f>100-BU105</f>
        <v>0.78344701688315865</v>
      </c>
      <c r="BV106">
        <f>100-BV105</f>
        <v>0.28287335918194856</v>
      </c>
      <c r="CH106" s="1">
        <v>3.4837000000000001E-10</v>
      </c>
      <c r="CI106">
        <v>0</v>
      </c>
      <c r="CJ106">
        <f t="shared" si="43"/>
        <v>0</v>
      </c>
      <c r="CL106" s="1">
        <v>3.4837000000000001E-10</v>
      </c>
      <c r="CM106">
        <v>0</v>
      </c>
      <c r="CN106">
        <f t="shared" si="44"/>
        <v>0</v>
      </c>
    </row>
    <row r="107" spans="4:92" x14ac:dyDescent="0.35">
      <c r="D107" s="1">
        <v>3.8120300000000001E-10</v>
      </c>
      <c r="E107">
        <v>0</v>
      </c>
      <c r="F107">
        <v>0</v>
      </c>
      <c r="G107">
        <v>0</v>
      </c>
      <c r="I107" s="1">
        <v>3.8120300000000001E-10</v>
      </c>
      <c r="J107">
        <f t="shared" si="37"/>
        <v>0</v>
      </c>
      <c r="K107">
        <v>0</v>
      </c>
      <c r="L107">
        <v>0</v>
      </c>
      <c r="N107" s="1">
        <v>3.8120300000000001E-10</v>
      </c>
      <c r="O107">
        <f t="shared" si="38"/>
        <v>0</v>
      </c>
      <c r="Q107" s="1">
        <v>3.8120300000000001E-10</v>
      </c>
      <c r="R107">
        <f t="shared" si="39"/>
        <v>0</v>
      </c>
      <c r="BI107">
        <f>1.2*SQRT(3/4*PI())</f>
        <v>1.8419880743036792</v>
      </c>
      <c r="BK107">
        <v>0.95</v>
      </c>
      <c r="BS107" t="s">
        <v>142</v>
      </c>
      <c r="BT107">
        <f>BT88/BT101*100</f>
        <v>14.153376663964517</v>
      </c>
      <c r="BU107">
        <f t="shared" ref="BU107:BV107" si="59">BU88/BU101*100</f>
        <v>24.928202604205442</v>
      </c>
      <c r="BV107">
        <f t="shared" si="59"/>
        <v>39.247794371870249</v>
      </c>
      <c r="CH107" s="1">
        <v>3.5288099999999998E-10</v>
      </c>
      <c r="CI107">
        <v>0</v>
      </c>
      <c r="CJ107">
        <f t="shared" si="43"/>
        <v>0</v>
      </c>
      <c r="CL107" s="1">
        <v>3.5288099999999998E-10</v>
      </c>
      <c r="CM107">
        <v>0</v>
      </c>
      <c r="CN107">
        <f t="shared" si="44"/>
        <v>0</v>
      </c>
    </row>
    <row r="108" spans="4:92" x14ac:dyDescent="0.35">
      <c r="D108" s="1">
        <v>3.8614000000000002E-10</v>
      </c>
      <c r="E108">
        <v>0</v>
      </c>
      <c r="F108">
        <v>0</v>
      </c>
      <c r="G108">
        <v>0</v>
      </c>
      <c r="I108" s="1">
        <v>3.8614000000000002E-10</v>
      </c>
      <c r="J108">
        <f t="shared" si="37"/>
        <v>0</v>
      </c>
      <c r="K108">
        <v>0</v>
      </c>
      <c r="L108">
        <v>0</v>
      </c>
      <c r="N108" s="1">
        <v>3.8614000000000002E-10</v>
      </c>
      <c r="O108">
        <f t="shared" si="38"/>
        <v>0</v>
      </c>
      <c r="Q108" s="1">
        <v>3.8614000000000002E-10</v>
      </c>
      <c r="R108">
        <f t="shared" si="39"/>
        <v>0</v>
      </c>
      <c r="BK108">
        <v>0.87</v>
      </c>
      <c r="BS108" t="s">
        <v>143</v>
      </c>
      <c r="BT108">
        <f>BT91/BT101*100</f>
        <v>84.72985603291329</v>
      </c>
      <c r="BU108">
        <f t="shared" ref="BU108:BV108" si="60">BU91/BU101*100</f>
        <v>72.907244583416201</v>
      </c>
      <c r="BV108">
        <f t="shared" si="60"/>
        <v>56.987217460333952</v>
      </c>
      <c r="CH108" s="1">
        <v>3.57451E-10</v>
      </c>
      <c r="CI108">
        <v>0</v>
      </c>
      <c r="CJ108">
        <f t="shared" si="43"/>
        <v>0</v>
      </c>
      <c r="CL108" s="1">
        <v>3.57451E-10</v>
      </c>
      <c r="CM108">
        <v>0</v>
      </c>
      <c r="CN108">
        <f t="shared" si="44"/>
        <v>0</v>
      </c>
    </row>
    <row r="109" spans="4:92" x14ac:dyDescent="0.35">
      <c r="D109" s="1">
        <v>3.9114100000000001E-10</v>
      </c>
      <c r="E109">
        <v>0</v>
      </c>
      <c r="F109">
        <v>0</v>
      </c>
      <c r="G109">
        <v>0</v>
      </c>
      <c r="I109" s="1">
        <v>3.9114100000000001E-10</v>
      </c>
      <c r="J109">
        <f t="shared" si="37"/>
        <v>0</v>
      </c>
      <c r="K109">
        <v>0</v>
      </c>
      <c r="L109">
        <v>0</v>
      </c>
      <c r="N109" s="1">
        <v>3.9114100000000001E-10</v>
      </c>
      <c r="O109">
        <f t="shared" si="38"/>
        <v>0</v>
      </c>
      <c r="Q109" s="1">
        <v>3.9114100000000001E-10</v>
      </c>
      <c r="R109">
        <f t="shared" si="39"/>
        <v>0</v>
      </c>
      <c r="BK109">
        <v>1</v>
      </c>
      <c r="BM109">
        <v>0.97</v>
      </c>
      <c r="BN109">
        <v>0.97</v>
      </c>
      <c r="BO109">
        <v>2.29</v>
      </c>
      <c r="BS109" t="s">
        <v>144</v>
      </c>
      <c r="BT109">
        <f>BT93/BT101*100</f>
        <v>0.11262829322763167</v>
      </c>
      <c r="BU109">
        <f t="shared" ref="BU109:BV109" si="61">BU93/BU101*100</f>
        <v>1.091805231152196</v>
      </c>
      <c r="BV109">
        <f t="shared" si="61"/>
        <v>2.0507969203371537</v>
      </c>
      <c r="CH109" s="1">
        <v>3.6208E-10</v>
      </c>
      <c r="CI109">
        <v>0</v>
      </c>
      <c r="CJ109">
        <f t="shared" si="43"/>
        <v>0</v>
      </c>
      <c r="CL109" s="1">
        <v>3.6208E-10</v>
      </c>
      <c r="CM109">
        <v>0</v>
      </c>
      <c r="CN109">
        <f t="shared" si="44"/>
        <v>0</v>
      </c>
    </row>
    <row r="110" spans="4:92" x14ac:dyDescent="0.35">
      <c r="D110" s="1">
        <v>3.9620599999999999E-10</v>
      </c>
      <c r="E110">
        <v>0</v>
      </c>
      <c r="F110">
        <v>0</v>
      </c>
      <c r="G110">
        <v>0</v>
      </c>
      <c r="I110" s="1">
        <v>3.9620599999999999E-10</v>
      </c>
      <c r="J110">
        <f t="shared" si="37"/>
        <v>0</v>
      </c>
      <c r="K110">
        <v>0</v>
      </c>
      <c r="L110">
        <v>0</v>
      </c>
      <c r="N110" s="1">
        <v>3.9620599999999999E-10</v>
      </c>
      <c r="O110">
        <f t="shared" si="38"/>
        <v>0</v>
      </c>
      <c r="Q110" s="1">
        <v>3.9620599999999999E-10</v>
      </c>
      <c r="R110">
        <f t="shared" si="39"/>
        <v>0</v>
      </c>
      <c r="BK110">
        <v>0.82</v>
      </c>
      <c r="BM110">
        <v>0.13</v>
      </c>
      <c r="BN110">
        <v>0.87</v>
      </c>
      <c r="BO110">
        <v>1</v>
      </c>
      <c r="BS110" t="s">
        <v>145</v>
      </c>
      <c r="BT110">
        <f>BT95/BT101</f>
        <v>1.4682020915229534E-4</v>
      </c>
      <c r="BU110">
        <f t="shared" ref="BU110:BV110" si="62">BU95/BU101</f>
        <v>4.7873359925502083E-4</v>
      </c>
      <c r="BV110">
        <f t="shared" si="62"/>
        <v>8.7504063898282346E-4</v>
      </c>
      <c r="CH110" s="1">
        <v>3.6676900000000001E-10</v>
      </c>
      <c r="CI110">
        <v>0</v>
      </c>
      <c r="CJ110">
        <f t="shared" si="43"/>
        <v>0</v>
      </c>
      <c r="CL110" s="1">
        <v>3.6676900000000001E-10</v>
      </c>
      <c r="CM110">
        <v>0</v>
      </c>
      <c r="CN110">
        <f t="shared" si="44"/>
        <v>0</v>
      </c>
    </row>
    <row r="111" spans="4:92" x14ac:dyDescent="0.35">
      <c r="D111" s="1">
        <v>4.0133700000000001E-10</v>
      </c>
      <c r="E111">
        <v>0</v>
      </c>
      <c r="F111">
        <v>0</v>
      </c>
      <c r="G111">
        <v>0</v>
      </c>
      <c r="I111" s="1">
        <v>4.0133700000000001E-10</v>
      </c>
      <c r="J111">
        <f t="shared" si="37"/>
        <v>0</v>
      </c>
      <c r="K111">
        <v>0</v>
      </c>
      <c r="L111">
        <v>0</v>
      </c>
      <c r="N111" s="1">
        <v>4.0133700000000001E-10</v>
      </c>
      <c r="O111">
        <f t="shared" si="38"/>
        <v>0</v>
      </c>
      <c r="Q111" s="1">
        <v>4.0133700000000001E-10</v>
      </c>
      <c r="R111">
        <f t="shared" si="39"/>
        <v>0</v>
      </c>
      <c r="BK111">
        <f>PRODUCT(BK106:BK110)</f>
        <v>0.65739809999999999</v>
      </c>
      <c r="BN111">
        <v>0.95</v>
      </c>
      <c r="BO111">
        <v>0.13</v>
      </c>
      <c r="BS111" t="s">
        <v>146</v>
      </c>
      <c r="BT111">
        <f>BT97/BT101</f>
        <v>9.8945698897933074E-3</v>
      </c>
      <c r="BU111">
        <f t="shared" ref="BU111:BV111" si="63">BU97/BU101</f>
        <v>1.0248742213006657E-2</v>
      </c>
      <c r="BV111">
        <f t="shared" si="63"/>
        <v>1.6266871835603658E-2</v>
      </c>
      <c r="CH111" s="1">
        <v>3.7151900000000002E-10</v>
      </c>
      <c r="CI111">
        <v>0</v>
      </c>
      <c r="CJ111">
        <f t="shared" si="43"/>
        <v>0</v>
      </c>
      <c r="CL111" s="1">
        <v>3.7151900000000002E-10</v>
      </c>
      <c r="CM111">
        <v>0</v>
      </c>
      <c r="CN111">
        <f t="shared" si="44"/>
        <v>0</v>
      </c>
    </row>
    <row r="112" spans="4:92" x14ac:dyDescent="0.35">
      <c r="D112" s="1">
        <v>4.0653400000000003E-10</v>
      </c>
      <c r="E112">
        <v>0</v>
      </c>
      <c r="F112">
        <v>0</v>
      </c>
      <c r="G112">
        <v>0</v>
      </c>
      <c r="I112" s="1">
        <v>4.0653400000000003E-10</v>
      </c>
      <c r="J112">
        <f t="shared" si="37"/>
        <v>0</v>
      </c>
      <c r="K112">
        <v>0</v>
      </c>
      <c r="L112">
        <v>0</v>
      </c>
      <c r="N112" s="1">
        <v>4.0653400000000003E-10</v>
      </c>
      <c r="O112">
        <f t="shared" si="38"/>
        <v>0</v>
      </c>
      <c r="Q112" s="1">
        <v>4.0653400000000003E-10</v>
      </c>
      <c r="R112">
        <f t="shared" si="39"/>
        <v>0</v>
      </c>
      <c r="BK112">
        <f>1/BK111</f>
        <v>1.5211482965953202</v>
      </c>
      <c r="BN112">
        <v>0.82</v>
      </c>
      <c r="BO112">
        <v>0.97</v>
      </c>
      <c r="CH112" s="1">
        <v>3.7632999999999998E-10</v>
      </c>
      <c r="CI112">
        <v>0</v>
      </c>
      <c r="CJ112">
        <f t="shared" si="43"/>
        <v>0</v>
      </c>
      <c r="CL112" s="1">
        <v>3.7632999999999998E-10</v>
      </c>
      <c r="CM112">
        <v>0</v>
      </c>
      <c r="CN112">
        <f t="shared" si="44"/>
        <v>0</v>
      </c>
    </row>
    <row r="113" spans="4:92" x14ac:dyDescent="0.35">
      <c r="D113" s="1">
        <v>4.1179900000000001E-10</v>
      </c>
      <c r="E113">
        <v>0</v>
      </c>
      <c r="F113">
        <v>0</v>
      </c>
      <c r="G113">
        <v>0</v>
      </c>
      <c r="I113" s="1">
        <v>4.1179900000000001E-10</v>
      </c>
      <c r="J113">
        <f t="shared" si="37"/>
        <v>0</v>
      </c>
      <c r="K113">
        <v>0</v>
      </c>
      <c r="L113">
        <v>0</v>
      </c>
      <c r="N113" s="1">
        <v>4.1179900000000001E-10</v>
      </c>
      <c r="O113">
        <f t="shared" si="38"/>
        <v>0</v>
      </c>
      <c r="Q113" s="1">
        <v>4.1179900000000001E-10</v>
      </c>
      <c r="R113">
        <f t="shared" si="39"/>
        <v>0</v>
      </c>
      <c r="BK113">
        <f>PRODUCT(BK112,BK106:BK110)</f>
        <v>0.99999999999999978</v>
      </c>
      <c r="BN113">
        <v>0.74</v>
      </c>
      <c r="BO113">
        <v>0.95</v>
      </c>
      <c r="CH113" s="1">
        <v>3.8120300000000001E-10</v>
      </c>
      <c r="CI113">
        <v>0</v>
      </c>
      <c r="CJ113">
        <f t="shared" si="43"/>
        <v>0</v>
      </c>
      <c r="CL113" s="1">
        <v>3.8120300000000001E-10</v>
      </c>
      <c r="CM113">
        <v>0</v>
      </c>
      <c r="CN113">
        <f t="shared" si="44"/>
        <v>0</v>
      </c>
    </row>
    <row r="114" spans="4:92" x14ac:dyDescent="0.35">
      <c r="D114" s="1">
        <v>4.17132E-10</v>
      </c>
      <c r="E114">
        <v>0</v>
      </c>
      <c r="F114">
        <v>0</v>
      </c>
      <c r="G114">
        <v>0</v>
      </c>
      <c r="I114" s="1">
        <v>4.17132E-10</v>
      </c>
      <c r="J114">
        <f t="shared" si="37"/>
        <v>0</v>
      </c>
      <c r="K114">
        <v>0</v>
      </c>
      <c r="L114">
        <v>0</v>
      </c>
      <c r="N114" s="1">
        <v>4.17132E-10</v>
      </c>
      <c r="O114">
        <f t="shared" si="38"/>
        <v>0</v>
      </c>
      <c r="Q114" s="1">
        <v>4.17132E-10</v>
      </c>
      <c r="R114">
        <f t="shared" si="39"/>
        <v>0</v>
      </c>
      <c r="CH114" s="1">
        <v>3.8614000000000002E-10</v>
      </c>
      <c r="CI114">
        <v>0</v>
      </c>
      <c r="CJ114">
        <f t="shared" si="43"/>
        <v>0</v>
      </c>
      <c r="CL114" s="1">
        <v>3.8614000000000002E-10</v>
      </c>
      <c r="CM114">
        <v>0</v>
      </c>
      <c r="CN114">
        <f t="shared" si="44"/>
        <v>0</v>
      </c>
    </row>
    <row r="115" spans="4:92" x14ac:dyDescent="0.35">
      <c r="D115" s="1">
        <v>4.2253300000000001E-10</v>
      </c>
      <c r="E115">
        <v>0</v>
      </c>
      <c r="F115">
        <v>0</v>
      </c>
      <c r="G115">
        <v>0</v>
      </c>
      <c r="I115" s="1">
        <v>4.2253300000000001E-10</v>
      </c>
      <c r="J115">
        <f t="shared" si="37"/>
        <v>0</v>
      </c>
      <c r="K115">
        <v>0</v>
      </c>
      <c r="L115">
        <v>0</v>
      </c>
      <c r="N115" s="1">
        <v>4.2253300000000001E-10</v>
      </c>
      <c r="O115">
        <f t="shared" si="38"/>
        <v>0</v>
      </c>
      <c r="Q115" s="1">
        <v>4.2253300000000001E-10</v>
      </c>
      <c r="R115">
        <f t="shared" si="39"/>
        <v>0</v>
      </c>
      <c r="BM115" t="s">
        <v>148</v>
      </c>
      <c r="BN115">
        <f>PRODUCT(BM109:BM110)/PRODUCT(BN109:BN113)</f>
        <v>0.25921189216306739</v>
      </c>
      <c r="CH115" s="1">
        <v>3.9114100000000001E-10</v>
      </c>
      <c r="CI115">
        <v>0</v>
      </c>
      <c r="CJ115">
        <f t="shared" si="43"/>
        <v>0</v>
      </c>
      <c r="CL115" s="1">
        <v>3.9114100000000001E-10</v>
      </c>
      <c r="CM115">
        <v>0</v>
      </c>
      <c r="CN115">
        <f t="shared" si="44"/>
        <v>0</v>
      </c>
    </row>
    <row r="116" spans="4:92" x14ac:dyDescent="0.35">
      <c r="D116" s="1">
        <v>4.2800500000000001E-10</v>
      </c>
      <c r="E116">
        <v>0</v>
      </c>
      <c r="F116">
        <v>0</v>
      </c>
      <c r="G116">
        <v>0</v>
      </c>
      <c r="I116" s="1">
        <v>4.2800500000000001E-10</v>
      </c>
      <c r="J116">
        <f t="shared" si="37"/>
        <v>0</v>
      </c>
      <c r="K116">
        <v>0</v>
      </c>
      <c r="L116">
        <v>0</v>
      </c>
      <c r="N116" s="1">
        <v>4.2800500000000001E-10</v>
      </c>
      <c r="O116">
        <f t="shared" si="38"/>
        <v>0</v>
      </c>
      <c r="Q116" s="1">
        <v>4.2800500000000001E-10</v>
      </c>
      <c r="R116">
        <f t="shared" si="39"/>
        <v>0</v>
      </c>
      <c r="BM116" t="s">
        <v>149</v>
      </c>
      <c r="BN116">
        <f>PRODUCT(BO109:BO113)</f>
        <v>0.27433055000000001</v>
      </c>
      <c r="CH116" s="1">
        <v>3.9620599999999999E-10</v>
      </c>
      <c r="CI116">
        <v>0</v>
      </c>
      <c r="CJ116">
        <f t="shared" si="43"/>
        <v>0</v>
      </c>
      <c r="CL116" s="1">
        <v>3.9620599999999999E-10</v>
      </c>
      <c r="CM116">
        <v>0</v>
      </c>
      <c r="CN116">
        <f t="shared" si="44"/>
        <v>0</v>
      </c>
    </row>
    <row r="117" spans="4:92" x14ac:dyDescent="0.35">
      <c r="D117" s="1">
        <v>4.33548E-10</v>
      </c>
      <c r="E117">
        <v>0</v>
      </c>
      <c r="F117">
        <v>0</v>
      </c>
      <c r="G117">
        <v>0</v>
      </c>
      <c r="I117" s="1">
        <v>4.33548E-10</v>
      </c>
      <c r="J117">
        <f t="shared" si="37"/>
        <v>0</v>
      </c>
      <c r="K117">
        <v>0</v>
      </c>
      <c r="L117">
        <v>0</v>
      </c>
      <c r="N117" s="1">
        <v>4.33548E-10</v>
      </c>
      <c r="O117">
        <f t="shared" si="38"/>
        <v>0</v>
      </c>
      <c r="Q117" s="1">
        <v>4.33548E-10</v>
      </c>
      <c r="R117">
        <f t="shared" si="39"/>
        <v>0</v>
      </c>
      <c r="BM117" t="s">
        <v>150</v>
      </c>
      <c r="BN117">
        <f>SUM(BN115:BN116)</f>
        <v>0.53354244216306745</v>
      </c>
      <c r="CH117" s="1">
        <v>4.0133700000000001E-10</v>
      </c>
      <c r="CI117">
        <v>0</v>
      </c>
      <c r="CJ117">
        <f t="shared" si="43"/>
        <v>0</v>
      </c>
      <c r="CL117" s="1">
        <v>4.0133700000000001E-10</v>
      </c>
      <c r="CM117">
        <v>0</v>
      </c>
      <c r="CN117">
        <f t="shared" si="44"/>
        <v>0</v>
      </c>
    </row>
    <row r="118" spans="4:92" x14ac:dyDescent="0.35">
      <c r="D118" s="1">
        <v>4.3916199999999998E-10</v>
      </c>
      <c r="E118">
        <v>0</v>
      </c>
      <c r="F118">
        <v>0</v>
      </c>
      <c r="G118">
        <v>0</v>
      </c>
      <c r="I118" s="1">
        <v>4.3916199999999998E-10</v>
      </c>
      <c r="J118">
        <f t="shared" si="37"/>
        <v>0</v>
      </c>
      <c r="K118">
        <v>0</v>
      </c>
      <c r="L118">
        <v>0</v>
      </c>
      <c r="N118" s="1">
        <v>4.3916199999999998E-10</v>
      </c>
      <c r="O118">
        <f t="shared" si="38"/>
        <v>0</v>
      </c>
      <c r="Q118" s="1">
        <v>4.3916199999999998E-10</v>
      </c>
      <c r="R118">
        <f t="shared" si="39"/>
        <v>0</v>
      </c>
      <c r="BR118">
        <f>47.685*0.729</f>
        <v>34.762365000000003</v>
      </c>
      <c r="CH118" s="1">
        <v>4.0653400000000003E-10</v>
      </c>
      <c r="CI118">
        <v>0</v>
      </c>
      <c r="CJ118">
        <f t="shared" si="43"/>
        <v>0</v>
      </c>
      <c r="CL118" s="1">
        <v>4.0653400000000003E-10</v>
      </c>
      <c r="CM118">
        <v>0</v>
      </c>
      <c r="CN118">
        <f t="shared" si="44"/>
        <v>0</v>
      </c>
    </row>
    <row r="119" spans="4:92" x14ac:dyDescent="0.35">
      <c r="D119" s="1">
        <v>4.4485000000000002E-10</v>
      </c>
      <c r="E119">
        <v>0</v>
      </c>
      <c r="F119">
        <v>0</v>
      </c>
      <c r="G119">
        <v>0</v>
      </c>
      <c r="I119" s="1">
        <v>4.4485000000000002E-10</v>
      </c>
      <c r="J119">
        <f t="shared" si="37"/>
        <v>0</v>
      </c>
      <c r="K119">
        <v>0</v>
      </c>
      <c r="L119">
        <v>0</v>
      </c>
      <c r="N119" s="1">
        <v>4.4485000000000002E-10</v>
      </c>
      <c r="O119">
        <f t="shared" si="38"/>
        <v>0</v>
      </c>
      <c r="Q119" s="1">
        <v>4.4485000000000002E-10</v>
      </c>
      <c r="R119">
        <f t="shared" si="39"/>
        <v>0</v>
      </c>
      <c r="CH119" s="1">
        <v>4.1179900000000001E-10</v>
      </c>
      <c r="CI119">
        <v>0</v>
      </c>
      <c r="CJ119">
        <f t="shared" si="43"/>
        <v>0</v>
      </c>
      <c r="CL119" s="1">
        <v>4.1179900000000001E-10</v>
      </c>
      <c r="CM119">
        <v>0</v>
      </c>
      <c r="CN119">
        <f t="shared" si="44"/>
        <v>0</v>
      </c>
    </row>
    <row r="120" spans="4:92" x14ac:dyDescent="0.35">
      <c r="D120" s="1">
        <v>4.5061100000000002E-10</v>
      </c>
      <c r="E120">
        <v>0</v>
      </c>
      <c r="F120">
        <v>0</v>
      </c>
      <c r="G120">
        <v>0</v>
      </c>
      <c r="I120" s="1">
        <v>4.5061100000000002E-10</v>
      </c>
      <c r="J120">
        <f t="shared" si="37"/>
        <v>0</v>
      </c>
      <c r="K120">
        <v>0</v>
      </c>
      <c r="L120">
        <v>0</v>
      </c>
      <c r="N120" s="1">
        <v>4.5061100000000002E-10</v>
      </c>
      <c r="O120">
        <f t="shared" si="38"/>
        <v>0</v>
      </c>
      <c r="Q120" s="1">
        <v>4.5061100000000002E-10</v>
      </c>
      <c r="R120">
        <f t="shared" si="39"/>
        <v>0</v>
      </c>
      <c r="BL120" s="1">
        <v>4.0000000000000001E-3</v>
      </c>
      <c r="BM120">
        <f>(2.418-1)*582-681</f>
        <v>144.27600000000007</v>
      </c>
      <c r="BN120" s="1">
        <f>BM120/BL120</f>
        <v>36069.000000000015</v>
      </c>
      <c r="BO120" s="19">
        <f>1/BN120</f>
        <v>2.7724638886578492E-5</v>
      </c>
      <c r="CH120" s="1">
        <v>4.17132E-10</v>
      </c>
      <c r="CI120">
        <v>0</v>
      </c>
      <c r="CJ120">
        <f t="shared" si="43"/>
        <v>0</v>
      </c>
      <c r="CL120" s="1">
        <v>4.17132E-10</v>
      </c>
      <c r="CM120">
        <v>0</v>
      </c>
      <c r="CN120">
        <f t="shared" si="44"/>
        <v>0</v>
      </c>
    </row>
    <row r="121" spans="4:92" x14ac:dyDescent="0.35">
      <c r="D121" s="1">
        <v>4.5644599999999998E-10</v>
      </c>
      <c r="E121">
        <v>0</v>
      </c>
      <c r="F121">
        <v>0</v>
      </c>
      <c r="G121">
        <v>0</v>
      </c>
      <c r="I121" s="1">
        <v>4.5644599999999998E-10</v>
      </c>
      <c r="J121">
        <f t="shared" si="37"/>
        <v>0</v>
      </c>
      <c r="K121">
        <v>0</v>
      </c>
      <c r="L121">
        <v>0</v>
      </c>
      <c r="N121" s="1">
        <v>4.5644599999999998E-10</v>
      </c>
      <c r="O121">
        <f t="shared" si="38"/>
        <v>0</v>
      </c>
      <c r="Q121" s="1">
        <v>4.5644599999999998E-10</v>
      </c>
      <c r="R121">
        <f t="shared" si="39"/>
        <v>0</v>
      </c>
      <c r="BL121">
        <v>0.6643</v>
      </c>
      <c r="BM121">
        <f t="shared" ref="BM121:BM122" si="64">(2.418-1)*582-681</f>
        <v>144.27600000000007</v>
      </c>
      <c r="BN121" s="1">
        <f t="shared" ref="BN121:BN122" si="65">BM121/BL121</f>
        <v>217.18500677404796</v>
      </c>
      <c r="BO121" s="19">
        <f t="shared" ref="BO121:BO122" si="66">1/BN121</f>
        <v>4.6043694030885231E-3</v>
      </c>
      <c r="CH121" s="1">
        <v>4.2253300000000001E-10</v>
      </c>
      <c r="CI121">
        <v>0</v>
      </c>
      <c r="CJ121">
        <f t="shared" si="43"/>
        <v>0</v>
      </c>
      <c r="CL121" s="1">
        <v>4.2253300000000001E-10</v>
      </c>
      <c r="CM121">
        <v>0</v>
      </c>
      <c r="CN121">
        <f t="shared" si="44"/>
        <v>0</v>
      </c>
    </row>
    <row r="122" spans="4:92" x14ac:dyDescent="0.35">
      <c r="D122" s="1">
        <v>4.6235700000000002E-10</v>
      </c>
      <c r="E122">
        <v>0</v>
      </c>
      <c r="F122">
        <v>0</v>
      </c>
      <c r="G122">
        <v>0</v>
      </c>
      <c r="I122" s="1">
        <v>4.6235700000000002E-10</v>
      </c>
      <c r="J122">
        <f t="shared" si="37"/>
        <v>0</v>
      </c>
      <c r="K122">
        <v>0</v>
      </c>
      <c r="L122">
        <v>0</v>
      </c>
      <c r="N122" s="1">
        <v>4.6235700000000002E-10</v>
      </c>
      <c r="O122">
        <f t="shared" si="38"/>
        <v>0</v>
      </c>
      <c r="Q122" s="1">
        <v>4.6235700000000002E-10</v>
      </c>
      <c r="R122">
        <f t="shared" si="39"/>
        <v>0</v>
      </c>
      <c r="BL122">
        <f>0.00053*2+0.00028</f>
        <v>1.34E-3</v>
      </c>
      <c r="BM122">
        <f t="shared" si="64"/>
        <v>144.27600000000007</v>
      </c>
      <c r="BN122" s="1">
        <f t="shared" si="65"/>
        <v>107668.65671641796</v>
      </c>
      <c r="BO122" s="19">
        <f t="shared" si="66"/>
        <v>9.2877540270037935E-6</v>
      </c>
      <c r="BQ122" t="s">
        <v>151</v>
      </c>
      <c r="BR122">
        <f>0.0065/0.084</f>
        <v>7.738095238095237E-2</v>
      </c>
      <c r="CH122" s="1">
        <v>4.2800500000000001E-10</v>
      </c>
      <c r="CI122">
        <v>0</v>
      </c>
      <c r="CJ122">
        <f t="shared" si="43"/>
        <v>0</v>
      </c>
      <c r="CL122" s="1">
        <v>4.2800500000000001E-10</v>
      </c>
      <c r="CM122">
        <v>0</v>
      </c>
      <c r="CN122">
        <f t="shared" si="44"/>
        <v>0</v>
      </c>
    </row>
    <row r="123" spans="4:92" x14ac:dyDescent="0.35">
      <c r="D123" s="1">
        <v>4.68345E-10</v>
      </c>
      <c r="E123">
        <v>0</v>
      </c>
      <c r="F123">
        <v>0</v>
      </c>
      <c r="G123">
        <v>0</v>
      </c>
      <c r="I123" s="1">
        <v>4.68345E-10</v>
      </c>
      <c r="J123">
        <f t="shared" si="37"/>
        <v>0</v>
      </c>
      <c r="K123">
        <v>0</v>
      </c>
      <c r="L123">
        <v>0</v>
      </c>
      <c r="N123" s="1">
        <v>4.68345E-10</v>
      </c>
      <c r="O123">
        <f t="shared" si="38"/>
        <v>0</v>
      </c>
      <c r="Q123" s="1">
        <v>4.68345E-10</v>
      </c>
      <c r="R123">
        <f t="shared" si="39"/>
        <v>0</v>
      </c>
      <c r="BQ123" t="s">
        <v>152</v>
      </c>
      <c r="BR123">
        <f>0.0021/0.033</f>
        <v>6.363636363636363E-2</v>
      </c>
      <c r="CH123" s="1">
        <v>4.33548E-10</v>
      </c>
      <c r="CI123">
        <v>0</v>
      </c>
      <c r="CJ123">
        <f t="shared" si="43"/>
        <v>0</v>
      </c>
      <c r="CL123" s="1">
        <v>4.33548E-10</v>
      </c>
      <c r="CM123">
        <v>0</v>
      </c>
      <c r="CN123">
        <f t="shared" si="44"/>
        <v>0</v>
      </c>
    </row>
    <row r="124" spans="4:92" x14ac:dyDescent="0.35">
      <c r="D124" s="1">
        <v>4.7441000000000002E-10</v>
      </c>
      <c r="E124">
        <v>0</v>
      </c>
      <c r="F124">
        <v>0</v>
      </c>
      <c r="G124">
        <v>0</v>
      </c>
      <c r="I124" s="1">
        <v>4.7441000000000002E-10</v>
      </c>
      <c r="J124">
        <f t="shared" si="37"/>
        <v>0</v>
      </c>
      <c r="K124">
        <v>0</v>
      </c>
      <c r="L124">
        <v>0</v>
      </c>
      <c r="N124" s="1">
        <v>4.7441000000000002E-10</v>
      </c>
      <c r="O124">
        <f t="shared" si="38"/>
        <v>0</v>
      </c>
      <c r="Q124" s="1">
        <v>4.7441000000000002E-10</v>
      </c>
      <c r="R124">
        <f t="shared" si="39"/>
        <v>0</v>
      </c>
      <c r="CH124" s="1">
        <v>4.3916199999999998E-10</v>
      </c>
      <c r="CI124">
        <v>0</v>
      </c>
      <c r="CJ124">
        <f t="shared" si="43"/>
        <v>0</v>
      </c>
      <c r="CL124" s="1">
        <v>4.3916199999999998E-10</v>
      </c>
      <c r="CM124">
        <v>0</v>
      </c>
      <c r="CN124">
        <f t="shared" si="44"/>
        <v>0</v>
      </c>
    </row>
    <row r="125" spans="4:92" x14ac:dyDescent="0.35">
      <c r="D125" s="1">
        <v>4.8055299999999998E-10</v>
      </c>
      <c r="E125">
        <v>0</v>
      </c>
      <c r="F125">
        <v>0</v>
      </c>
      <c r="G125">
        <v>0</v>
      </c>
      <c r="I125" s="1">
        <v>4.8055299999999998E-10</v>
      </c>
      <c r="J125">
        <f t="shared" si="37"/>
        <v>0</v>
      </c>
      <c r="K125">
        <v>0</v>
      </c>
      <c r="L125">
        <v>0</v>
      </c>
      <c r="N125" s="1">
        <v>4.8055299999999998E-10</v>
      </c>
      <c r="O125">
        <f t="shared" si="38"/>
        <v>0</v>
      </c>
      <c r="Q125" s="1">
        <v>4.8055299999999998E-10</v>
      </c>
      <c r="R125">
        <f t="shared" si="39"/>
        <v>0</v>
      </c>
      <c r="BO125">
        <f>(1.005-1)/1.005</f>
        <v>4.9751243781093468E-3</v>
      </c>
      <c r="BP125">
        <f>BO125/0.0065</f>
        <v>0.76540375047836107</v>
      </c>
      <c r="CH125" s="1">
        <v>4.4485000000000002E-10</v>
      </c>
      <c r="CI125">
        <v>0</v>
      </c>
      <c r="CJ125">
        <f t="shared" si="43"/>
        <v>0</v>
      </c>
      <c r="CL125" s="1">
        <v>4.4485000000000002E-10</v>
      </c>
      <c r="CM125">
        <v>0</v>
      </c>
      <c r="CN125">
        <f t="shared" si="44"/>
        <v>0</v>
      </c>
    </row>
    <row r="126" spans="4:92" x14ac:dyDescent="0.35">
      <c r="D126" s="1">
        <v>4.8677700000000002E-10</v>
      </c>
      <c r="E126">
        <v>0</v>
      </c>
      <c r="F126">
        <v>0</v>
      </c>
      <c r="G126">
        <v>0</v>
      </c>
      <c r="I126" s="1">
        <v>4.8677700000000002E-10</v>
      </c>
      <c r="J126">
        <f t="shared" si="37"/>
        <v>0</v>
      </c>
      <c r="K126">
        <v>0</v>
      </c>
      <c r="L126">
        <v>0</v>
      </c>
      <c r="N126" s="1">
        <v>4.8677700000000002E-10</v>
      </c>
      <c r="O126">
        <f t="shared" si="38"/>
        <v>0</v>
      </c>
      <c r="Q126" s="1">
        <v>4.8677700000000002E-10</v>
      </c>
      <c r="R126">
        <f t="shared" si="39"/>
        <v>0</v>
      </c>
      <c r="BP126">
        <f>BO125/0.0021</f>
        <v>2.3691068467187368</v>
      </c>
      <c r="CH126" s="1">
        <v>4.5061100000000002E-10</v>
      </c>
      <c r="CI126">
        <v>0</v>
      </c>
      <c r="CJ126">
        <f t="shared" si="43"/>
        <v>0</v>
      </c>
      <c r="CL126" s="1">
        <v>4.5061100000000002E-10</v>
      </c>
      <c r="CM126">
        <v>0</v>
      </c>
      <c r="CN126">
        <f t="shared" si="44"/>
        <v>0</v>
      </c>
    </row>
    <row r="127" spans="4:92" x14ac:dyDescent="0.35">
      <c r="D127" s="1">
        <v>4.9308000000000002E-10</v>
      </c>
      <c r="E127">
        <v>0</v>
      </c>
      <c r="F127">
        <v>0</v>
      </c>
      <c r="G127">
        <v>0</v>
      </c>
      <c r="I127" s="1">
        <v>4.9308000000000002E-10</v>
      </c>
      <c r="J127">
        <f t="shared" si="37"/>
        <v>0</v>
      </c>
      <c r="K127">
        <v>0</v>
      </c>
      <c r="L127">
        <v>0</v>
      </c>
      <c r="N127" s="1">
        <v>4.9308000000000002E-10</v>
      </c>
      <c r="O127">
        <f t="shared" si="38"/>
        <v>0</v>
      </c>
      <c r="Q127" s="1">
        <v>4.9308000000000002E-10</v>
      </c>
      <c r="R127">
        <f t="shared" si="39"/>
        <v>0</v>
      </c>
      <c r="CH127" s="1">
        <v>4.5644599999999998E-10</v>
      </c>
      <c r="CI127">
        <v>0</v>
      </c>
      <c r="CJ127">
        <f t="shared" si="43"/>
        <v>0</v>
      </c>
      <c r="CL127" s="1">
        <v>4.5644599999999998E-10</v>
      </c>
      <c r="CM127">
        <v>0</v>
      </c>
      <c r="CN127">
        <f t="shared" si="44"/>
        <v>0</v>
      </c>
    </row>
    <row r="128" spans="4:92" x14ac:dyDescent="0.35">
      <c r="D128" s="1">
        <v>4.99466E-10</v>
      </c>
      <c r="E128">
        <v>0</v>
      </c>
      <c r="F128">
        <v>0</v>
      </c>
      <c r="G128">
        <v>0</v>
      </c>
      <c r="I128" s="1">
        <v>4.99466E-10</v>
      </c>
      <c r="J128">
        <f t="shared" si="37"/>
        <v>0</v>
      </c>
      <c r="K128">
        <v>0</v>
      </c>
      <c r="L128">
        <v>0</v>
      </c>
      <c r="N128" s="1">
        <v>4.99466E-10</v>
      </c>
      <c r="O128">
        <f t="shared" si="38"/>
        <v>0</v>
      </c>
      <c r="Q128" s="1">
        <v>4.99466E-10</v>
      </c>
      <c r="R128">
        <f t="shared" si="39"/>
        <v>0</v>
      </c>
      <c r="BP128">
        <f>1/BO125*(10^-4+0.033)</f>
        <v>6.6531000000001432</v>
      </c>
      <c r="CH128" s="1">
        <v>4.6235700000000002E-10</v>
      </c>
      <c r="CI128">
        <v>0</v>
      </c>
      <c r="CJ128">
        <f t="shared" si="43"/>
        <v>0</v>
      </c>
      <c r="CL128" s="1">
        <v>4.6235700000000002E-10</v>
      </c>
      <c r="CM128">
        <v>0</v>
      </c>
      <c r="CN128">
        <f t="shared" si="44"/>
        <v>0</v>
      </c>
    </row>
    <row r="129" spans="4:92" x14ac:dyDescent="0.35">
      <c r="D129" s="1">
        <v>5.0593399999999996E-10</v>
      </c>
      <c r="E129">
        <v>0</v>
      </c>
      <c r="F129">
        <v>0</v>
      </c>
      <c r="G129">
        <v>0</v>
      </c>
      <c r="I129" s="1">
        <v>5.0593399999999996E-10</v>
      </c>
      <c r="J129">
        <f t="shared" si="37"/>
        <v>0</v>
      </c>
      <c r="K129">
        <v>0</v>
      </c>
      <c r="L129">
        <v>0</v>
      </c>
      <c r="N129" s="1">
        <v>5.0593399999999996E-10</v>
      </c>
      <c r="O129">
        <f t="shared" si="38"/>
        <v>0</v>
      </c>
      <c r="Q129" s="1">
        <v>5.0593399999999996E-10</v>
      </c>
      <c r="R129">
        <f t="shared" si="39"/>
        <v>0</v>
      </c>
      <c r="CH129" s="1">
        <v>4.68345E-10</v>
      </c>
      <c r="CI129">
        <v>0</v>
      </c>
      <c r="CJ129">
        <f t="shared" si="43"/>
        <v>0</v>
      </c>
      <c r="CL129" s="1">
        <v>4.68345E-10</v>
      </c>
      <c r="CM129">
        <v>0</v>
      </c>
      <c r="CN129">
        <f t="shared" si="44"/>
        <v>0</v>
      </c>
    </row>
    <row r="130" spans="4:92" x14ac:dyDescent="0.35">
      <c r="D130" s="1">
        <v>5.1248600000000002E-10</v>
      </c>
      <c r="E130">
        <v>0</v>
      </c>
      <c r="F130">
        <v>0</v>
      </c>
      <c r="G130">
        <v>0</v>
      </c>
      <c r="I130" s="1">
        <v>5.1248600000000002E-10</v>
      </c>
      <c r="J130">
        <f t="shared" si="37"/>
        <v>0</v>
      </c>
      <c r="K130">
        <v>0</v>
      </c>
      <c r="L130">
        <v>0</v>
      </c>
      <c r="N130" s="1">
        <v>5.1248600000000002E-10</v>
      </c>
      <c r="O130">
        <f t="shared" si="38"/>
        <v>0</v>
      </c>
      <c r="Q130" s="1">
        <v>5.1248600000000002E-10</v>
      </c>
      <c r="R130">
        <f t="shared" si="39"/>
        <v>0</v>
      </c>
      <c r="BO130" t="s">
        <v>153</v>
      </c>
      <c r="BP130">
        <v>4.0313927630139065E-2</v>
      </c>
      <c r="BR130" t="s">
        <v>160</v>
      </c>
      <c r="BS130">
        <f>1/BP130</f>
        <v>24.80532309266713</v>
      </c>
      <c r="CH130" s="1">
        <v>4.7441000000000002E-10</v>
      </c>
      <c r="CI130">
        <v>0</v>
      </c>
      <c r="CJ130">
        <f t="shared" si="43"/>
        <v>0</v>
      </c>
      <c r="CL130" s="1">
        <v>4.7441000000000002E-10</v>
      </c>
      <c r="CM130">
        <v>0</v>
      </c>
      <c r="CN130">
        <f t="shared" si="44"/>
        <v>0</v>
      </c>
    </row>
    <row r="131" spans="4:92" x14ac:dyDescent="0.35">
      <c r="D131" s="1">
        <v>5.1912199999999998E-10</v>
      </c>
      <c r="E131">
        <v>0</v>
      </c>
      <c r="F131">
        <v>0</v>
      </c>
      <c r="G131">
        <v>0</v>
      </c>
      <c r="I131" s="1">
        <v>5.1912199999999998E-10</v>
      </c>
      <c r="J131">
        <f t="shared" si="37"/>
        <v>0</v>
      </c>
      <c r="K131">
        <v>0</v>
      </c>
      <c r="L131">
        <v>0</v>
      </c>
      <c r="N131" s="1">
        <v>5.1912199999999998E-10</v>
      </c>
      <c r="O131">
        <f t="shared" si="38"/>
        <v>0</v>
      </c>
      <c r="Q131" s="1">
        <v>5.1912199999999998E-10</v>
      </c>
      <c r="R131">
        <f t="shared" si="39"/>
        <v>0</v>
      </c>
      <c r="BO131" t="s">
        <v>154</v>
      </c>
      <c r="BP131">
        <f>(BP130*0.0001)/(1+BP130*0.0001)</f>
        <v>4.0313765109518158E-6</v>
      </c>
      <c r="CH131" s="1">
        <v>4.8055299999999998E-10</v>
      </c>
      <c r="CI131">
        <v>0</v>
      </c>
      <c r="CJ131">
        <f t="shared" si="43"/>
        <v>0</v>
      </c>
      <c r="CL131" s="1">
        <v>4.8055299999999998E-10</v>
      </c>
      <c r="CM131">
        <v>0</v>
      </c>
      <c r="CN131">
        <f t="shared" si="44"/>
        <v>0</v>
      </c>
    </row>
    <row r="132" spans="4:92" x14ac:dyDescent="0.35">
      <c r="D132" s="1">
        <v>5.2584499999999996E-10</v>
      </c>
      <c r="E132">
        <v>0</v>
      </c>
      <c r="F132">
        <v>0</v>
      </c>
      <c r="G132">
        <v>0</v>
      </c>
      <c r="I132" s="1">
        <v>5.2584499999999996E-10</v>
      </c>
      <c r="J132">
        <f t="shared" ref="J132:J195" si="67">E132/SUM($E$3:$E$2002)/$C$3</f>
        <v>0</v>
      </c>
      <c r="K132">
        <v>0</v>
      </c>
      <c r="L132">
        <v>0</v>
      </c>
      <c r="N132" s="1">
        <v>5.2584499999999996E-10</v>
      </c>
      <c r="O132">
        <f t="shared" ref="O132:O195" si="68">F132/SUM($F$3:$F$2002)/$C$3</f>
        <v>0</v>
      </c>
      <c r="Q132" s="1">
        <v>5.2584499999999996E-10</v>
      </c>
      <c r="R132">
        <f t="shared" ref="R132:R195" si="69">G132/SUM($G$3:$G$2002)/$C$3</f>
        <v>0</v>
      </c>
      <c r="BO132" t="s">
        <v>155</v>
      </c>
      <c r="BP132">
        <f>1/(1+BP130*0.0001)</f>
        <v>0.99999596862348916</v>
      </c>
      <c r="BR132" t="s">
        <v>157</v>
      </c>
      <c r="BS132">
        <v>6.4999999999999997E-3</v>
      </c>
      <c r="CH132" s="1">
        <v>4.8677700000000002E-10</v>
      </c>
      <c r="CI132">
        <v>0</v>
      </c>
      <c r="CJ132">
        <f t="shared" si="43"/>
        <v>0</v>
      </c>
      <c r="CL132" s="1">
        <v>4.8677700000000002E-10</v>
      </c>
      <c r="CM132">
        <v>0</v>
      </c>
      <c r="CN132">
        <f t="shared" si="44"/>
        <v>0</v>
      </c>
    </row>
    <row r="133" spans="4:92" x14ac:dyDescent="0.35">
      <c r="D133" s="1">
        <v>5.3265499999999996E-10</v>
      </c>
      <c r="E133">
        <v>0</v>
      </c>
      <c r="F133">
        <v>0</v>
      </c>
      <c r="G133">
        <v>0</v>
      </c>
      <c r="I133" s="1">
        <v>5.3265499999999996E-10</v>
      </c>
      <c r="J133">
        <f t="shared" si="67"/>
        <v>0</v>
      </c>
      <c r="K133">
        <v>0</v>
      </c>
      <c r="L133">
        <v>0</v>
      </c>
      <c r="N133" s="1">
        <v>5.3265499999999996E-10</v>
      </c>
      <c r="O133">
        <f t="shared" si="68"/>
        <v>0</v>
      </c>
      <c r="Q133" s="1">
        <v>5.3265499999999996E-10</v>
      </c>
      <c r="R133">
        <f t="shared" si="69"/>
        <v>0</v>
      </c>
      <c r="BO133" t="s">
        <v>156</v>
      </c>
      <c r="BP133">
        <f>BP130*BS132/(BP130+BS133)</f>
        <v>4.9709923235938666E-3</v>
      </c>
      <c r="BR133" t="s">
        <v>158</v>
      </c>
      <c r="BS133">
        <v>1.24E-2</v>
      </c>
      <c r="BU133">
        <f>1/BS133</f>
        <v>80.645161290322577</v>
      </c>
      <c r="CH133" s="1">
        <v>4.9308000000000002E-10</v>
      </c>
      <c r="CI133">
        <v>0</v>
      </c>
      <c r="CJ133">
        <f t="shared" si="43"/>
        <v>0</v>
      </c>
      <c r="CL133" s="1">
        <v>4.9308000000000002E-10</v>
      </c>
      <c r="CM133">
        <v>0</v>
      </c>
      <c r="CN133">
        <f t="shared" si="44"/>
        <v>0</v>
      </c>
    </row>
    <row r="134" spans="4:92" x14ac:dyDescent="0.35">
      <c r="D134" s="1">
        <v>5.3955299999999999E-10</v>
      </c>
      <c r="E134">
        <v>0</v>
      </c>
      <c r="F134">
        <v>0</v>
      </c>
      <c r="G134">
        <v>0</v>
      </c>
      <c r="I134" s="1">
        <v>5.3955299999999999E-10</v>
      </c>
      <c r="J134">
        <f t="shared" si="67"/>
        <v>0</v>
      </c>
      <c r="K134">
        <v>0</v>
      </c>
      <c r="L134">
        <v>0</v>
      </c>
      <c r="N134" s="1">
        <v>5.3955299999999999E-10</v>
      </c>
      <c r="O134">
        <f t="shared" si="68"/>
        <v>0</v>
      </c>
      <c r="Q134" s="1">
        <v>5.3955299999999999E-10</v>
      </c>
      <c r="R134">
        <f t="shared" si="69"/>
        <v>0</v>
      </c>
      <c r="CH134" s="1">
        <v>4.99466E-10</v>
      </c>
      <c r="CI134">
        <v>0</v>
      </c>
      <c r="CJ134">
        <f t="shared" si="43"/>
        <v>0</v>
      </c>
      <c r="CL134" s="1">
        <v>4.99466E-10</v>
      </c>
      <c r="CM134">
        <v>0</v>
      </c>
      <c r="CN134">
        <f t="shared" si="44"/>
        <v>0</v>
      </c>
    </row>
    <row r="135" spans="4:92" x14ac:dyDescent="0.35">
      <c r="D135" s="1">
        <v>5.4653999999999996E-10</v>
      </c>
      <c r="E135">
        <v>0</v>
      </c>
      <c r="F135">
        <v>0</v>
      </c>
      <c r="G135">
        <v>0</v>
      </c>
      <c r="I135" s="1">
        <v>5.4653999999999996E-10</v>
      </c>
      <c r="J135">
        <f t="shared" si="67"/>
        <v>0</v>
      </c>
      <c r="K135">
        <v>0</v>
      </c>
      <c r="L135">
        <v>0</v>
      </c>
      <c r="N135" s="1">
        <v>5.4653999999999996E-10</v>
      </c>
      <c r="O135">
        <f t="shared" si="68"/>
        <v>0</v>
      </c>
      <c r="Q135" s="1">
        <v>5.4653999999999996E-10</v>
      </c>
      <c r="R135">
        <f t="shared" si="69"/>
        <v>0</v>
      </c>
      <c r="BO135" t="s">
        <v>149</v>
      </c>
      <c r="BP135">
        <f>PRODUCT(BP132:BP133)</f>
        <v>4.9709722836521779E-3</v>
      </c>
      <c r="CH135" s="1">
        <v>5.0593399999999996E-10</v>
      </c>
      <c r="CI135">
        <v>0</v>
      </c>
      <c r="CJ135">
        <f t="shared" si="43"/>
        <v>0</v>
      </c>
      <c r="CL135" s="1">
        <v>5.0593399999999996E-10</v>
      </c>
      <c r="CM135">
        <v>0</v>
      </c>
      <c r="CN135">
        <f t="shared" si="44"/>
        <v>0</v>
      </c>
    </row>
    <row r="136" spans="4:92" x14ac:dyDescent="0.35">
      <c r="D136" s="1">
        <v>5.5361799999999998E-10</v>
      </c>
      <c r="E136">
        <v>0</v>
      </c>
      <c r="F136">
        <v>0</v>
      </c>
      <c r="G136">
        <v>0</v>
      </c>
      <c r="I136" s="1">
        <v>5.5361799999999998E-10</v>
      </c>
      <c r="J136">
        <f t="shared" si="67"/>
        <v>0</v>
      </c>
      <c r="K136">
        <v>0</v>
      </c>
      <c r="L136">
        <v>0</v>
      </c>
      <c r="N136" s="1">
        <v>5.5361799999999998E-10</v>
      </c>
      <c r="O136">
        <f t="shared" si="68"/>
        <v>0</v>
      </c>
      <c r="Q136" s="1">
        <v>5.5361799999999998E-10</v>
      </c>
      <c r="R136">
        <f t="shared" si="69"/>
        <v>0</v>
      </c>
      <c r="CH136" s="1">
        <v>5.1248600000000002E-10</v>
      </c>
      <c r="CI136">
        <v>0</v>
      </c>
      <c r="CJ136">
        <f t="shared" si="43"/>
        <v>0</v>
      </c>
      <c r="CL136" s="1">
        <v>5.1248600000000002E-10</v>
      </c>
      <c r="CM136">
        <v>0</v>
      </c>
      <c r="CN136">
        <f t="shared" si="44"/>
        <v>0</v>
      </c>
    </row>
    <row r="137" spans="4:92" x14ac:dyDescent="0.35">
      <c r="D137" s="1">
        <v>5.6078699999999996E-10</v>
      </c>
      <c r="E137">
        <v>0</v>
      </c>
      <c r="F137">
        <v>0</v>
      </c>
      <c r="G137">
        <v>0</v>
      </c>
      <c r="I137" s="1">
        <v>5.6078699999999996E-10</v>
      </c>
      <c r="J137">
        <f t="shared" si="67"/>
        <v>0</v>
      </c>
      <c r="K137">
        <v>0</v>
      </c>
      <c r="L137">
        <v>0</v>
      </c>
      <c r="N137" s="1">
        <v>5.6078699999999996E-10</v>
      </c>
      <c r="O137">
        <f t="shared" si="68"/>
        <v>0</v>
      </c>
      <c r="Q137" s="1">
        <v>5.6078699999999996E-10</v>
      </c>
      <c r="R137">
        <f t="shared" si="69"/>
        <v>0</v>
      </c>
      <c r="BO137" t="s">
        <v>159</v>
      </c>
      <c r="BP137">
        <f>SUM(BP135,BP131)</f>
        <v>4.9750036601631294E-3</v>
      </c>
      <c r="CH137" s="1">
        <v>5.1912199999999998E-10</v>
      </c>
      <c r="CI137">
        <v>0</v>
      </c>
      <c r="CJ137">
        <f t="shared" si="43"/>
        <v>0</v>
      </c>
      <c r="CL137" s="1">
        <v>5.1912199999999998E-10</v>
      </c>
      <c r="CM137">
        <v>0</v>
      </c>
      <c r="CN137">
        <f t="shared" si="44"/>
        <v>0</v>
      </c>
    </row>
    <row r="138" spans="4:92" x14ac:dyDescent="0.35">
      <c r="D138" s="1">
        <v>5.6804900000000001E-10</v>
      </c>
      <c r="E138">
        <v>0</v>
      </c>
      <c r="F138">
        <v>0</v>
      </c>
      <c r="G138">
        <v>0</v>
      </c>
      <c r="I138" s="1">
        <v>5.6804900000000001E-10</v>
      </c>
      <c r="J138">
        <f t="shared" si="67"/>
        <v>0</v>
      </c>
      <c r="K138">
        <v>0</v>
      </c>
      <c r="L138">
        <v>0</v>
      </c>
      <c r="N138" s="1">
        <v>5.6804900000000001E-10</v>
      </c>
      <c r="O138">
        <f t="shared" si="68"/>
        <v>0</v>
      </c>
      <c r="Q138" s="1">
        <v>5.6804900000000001E-10</v>
      </c>
      <c r="R138">
        <f t="shared" si="69"/>
        <v>0</v>
      </c>
      <c r="CH138" s="1">
        <v>5.2584499999999996E-10</v>
      </c>
      <c r="CI138">
        <v>0</v>
      </c>
      <c r="CJ138">
        <f t="shared" ref="CJ138:CJ201" si="70">CI138/$CG$9</f>
        <v>0</v>
      </c>
      <c r="CL138" s="1">
        <v>5.2584499999999996E-10</v>
      </c>
      <c r="CM138">
        <v>0</v>
      </c>
      <c r="CN138">
        <f t="shared" ref="CN138:CN201" si="71">CM138/$CG$9</f>
        <v>0</v>
      </c>
    </row>
    <row r="139" spans="4:92" x14ac:dyDescent="0.35">
      <c r="D139" s="1">
        <v>5.7540600000000005E-10</v>
      </c>
      <c r="E139">
        <v>0</v>
      </c>
      <c r="F139">
        <v>0</v>
      </c>
      <c r="G139">
        <v>0</v>
      </c>
      <c r="I139" s="1">
        <v>5.7540600000000005E-10</v>
      </c>
      <c r="J139">
        <f t="shared" si="67"/>
        <v>0</v>
      </c>
      <c r="K139">
        <v>0</v>
      </c>
      <c r="L139">
        <v>0</v>
      </c>
      <c r="N139" s="1">
        <v>5.7540600000000005E-10</v>
      </c>
      <c r="O139">
        <f t="shared" si="68"/>
        <v>0</v>
      </c>
      <c r="Q139" s="1">
        <v>5.7540600000000005E-10</v>
      </c>
      <c r="R139">
        <f t="shared" si="69"/>
        <v>0</v>
      </c>
      <c r="CH139" s="1">
        <v>5.3265499999999996E-10</v>
      </c>
      <c r="CI139">
        <v>0</v>
      </c>
      <c r="CJ139">
        <f t="shared" si="70"/>
        <v>0</v>
      </c>
      <c r="CL139" s="1">
        <v>5.3265499999999996E-10</v>
      </c>
      <c r="CM139">
        <v>0</v>
      </c>
      <c r="CN139">
        <f t="shared" si="71"/>
        <v>0</v>
      </c>
    </row>
    <row r="140" spans="4:92" x14ac:dyDescent="0.35">
      <c r="D140" s="1">
        <v>5.8285699999999997E-10</v>
      </c>
      <c r="E140">
        <v>0</v>
      </c>
      <c r="F140">
        <v>0</v>
      </c>
      <c r="G140">
        <v>0</v>
      </c>
      <c r="I140" s="1">
        <v>5.8285699999999997E-10</v>
      </c>
      <c r="J140">
        <f t="shared" si="67"/>
        <v>0</v>
      </c>
      <c r="K140">
        <v>0</v>
      </c>
      <c r="L140">
        <v>0</v>
      </c>
      <c r="N140" s="1">
        <v>5.8285699999999997E-10</v>
      </c>
      <c r="O140">
        <f t="shared" si="68"/>
        <v>0</v>
      </c>
      <c r="Q140" s="1">
        <v>5.8285699999999997E-10</v>
      </c>
      <c r="R140">
        <f t="shared" si="69"/>
        <v>0</v>
      </c>
      <c r="CH140" s="1">
        <v>5.3955299999999999E-10</v>
      </c>
      <c r="CI140">
        <v>0</v>
      </c>
      <c r="CJ140">
        <f t="shared" si="70"/>
        <v>0</v>
      </c>
      <c r="CL140" s="1">
        <v>5.3955299999999999E-10</v>
      </c>
      <c r="CM140">
        <v>0</v>
      </c>
      <c r="CN140">
        <f t="shared" si="71"/>
        <v>0</v>
      </c>
    </row>
    <row r="141" spans="4:92" x14ac:dyDescent="0.35">
      <c r="D141" s="1">
        <v>5.9040499999999999E-10</v>
      </c>
      <c r="E141">
        <v>0</v>
      </c>
      <c r="F141">
        <v>0</v>
      </c>
      <c r="G141">
        <v>0</v>
      </c>
      <c r="I141" s="1">
        <v>5.9040499999999999E-10</v>
      </c>
      <c r="J141">
        <f t="shared" si="67"/>
        <v>0</v>
      </c>
      <c r="K141">
        <v>0</v>
      </c>
      <c r="L141">
        <v>0</v>
      </c>
      <c r="N141" s="1">
        <v>5.9040499999999999E-10</v>
      </c>
      <c r="O141">
        <f t="shared" si="68"/>
        <v>0</v>
      </c>
      <c r="Q141" s="1">
        <v>5.9040499999999999E-10</v>
      </c>
      <c r="R141">
        <f t="shared" si="69"/>
        <v>0</v>
      </c>
      <c r="CH141" s="1">
        <v>5.4653999999999996E-10</v>
      </c>
      <c r="CI141">
        <v>0</v>
      </c>
      <c r="CJ141">
        <f t="shared" si="70"/>
        <v>0</v>
      </c>
      <c r="CL141" s="1">
        <v>5.4653999999999996E-10</v>
      </c>
      <c r="CM141">
        <v>0</v>
      </c>
      <c r="CN141">
        <f t="shared" si="71"/>
        <v>0</v>
      </c>
    </row>
    <row r="142" spans="4:92" x14ac:dyDescent="0.35">
      <c r="D142" s="1">
        <v>5.9805100000000003E-10</v>
      </c>
      <c r="E142">
        <v>0</v>
      </c>
      <c r="F142">
        <v>0</v>
      </c>
      <c r="G142">
        <v>0</v>
      </c>
      <c r="I142" s="1">
        <v>5.9805100000000003E-10</v>
      </c>
      <c r="J142">
        <f t="shared" si="67"/>
        <v>0</v>
      </c>
      <c r="K142">
        <v>0</v>
      </c>
      <c r="L142">
        <v>0</v>
      </c>
      <c r="N142" s="1">
        <v>5.9805100000000003E-10</v>
      </c>
      <c r="O142">
        <f t="shared" si="68"/>
        <v>0</v>
      </c>
      <c r="Q142" s="1">
        <v>5.9805100000000003E-10</v>
      </c>
      <c r="R142">
        <f t="shared" si="69"/>
        <v>0</v>
      </c>
      <c r="CH142" s="1">
        <v>5.5361799999999998E-10</v>
      </c>
      <c r="CI142">
        <v>0</v>
      </c>
      <c r="CJ142">
        <f t="shared" si="70"/>
        <v>0</v>
      </c>
      <c r="CL142" s="1">
        <v>5.5361799999999998E-10</v>
      </c>
      <c r="CM142">
        <v>0</v>
      </c>
      <c r="CN142">
        <f t="shared" si="71"/>
        <v>0</v>
      </c>
    </row>
    <row r="143" spans="4:92" x14ac:dyDescent="0.35">
      <c r="D143" s="1">
        <v>6.0579599999999998E-10</v>
      </c>
      <c r="E143">
        <v>0</v>
      </c>
      <c r="F143">
        <v>0</v>
      </c>
      <c r="G143">
        <v>0</v>
      </c>
      <c r="I143" s="1">
        <v>6.0579599999999998E-10</v>
      </c>
      <c r="J143">
        <f t="shared" si="67"/>
        <v>0</v>
      </c>
      <c r="K143">
        <v>0</v>
      </c>
      <c r="L143">
        <v>0</v>
      </c>
      <c r="N143" s="1">
        <v>6.0579599999999998E-10</v>
      </c>
      <c r="O143">
        <f t="shared" si="68"/>
        <v>0</v>
      </c>
      <c r="Q143" s="1">
        <v>6.0579599999999998E-10</v>
      </c>
      <c r="R143">
        <f t="shared" si="69"/>
        <v>0</v>
      </c>
      <c r="CH143" s="1">
        <v>5.6078699999999996E-10</v>
      </c>
      <c r="CI143">
        <v>0</v>
      </c>
      <c r="CJ143">
        <f t="shared" si="70"/>
        <v>0</v>
      </c>
      <c r="CL143" s="1">
        <v>5.6078699999999996E-10</v>
      </c>
      <c r="CM143">
        <v>0</v>
      </c>
      <c r="CN143">
        <f t="shared" si="71"/>
        <v>0</v>
      </c>
    </row>
    <row r="144" spans="4:92" x14ac:dyDescent="0.35">
      <c r="D144" s="1">
        <v>6.1364099999999997E-10</v>
      </c>
      <c r="E144">
        <v>0</v>
      </c>
      <c r="F144">
        <v>0</v>
      </c>
      <c r="G144">
        <v>0</v>
      </c>
      <c r="I144" s="1">
        <v>6.1364099999999997E-10</v>
      </c>
      <c r="J144">
        <f t="shared" si="67"/>
        <v>0</v>
      </c>
      <c r="K144">
        <v>0</v>
      </c>
      <c r="L144">
        <v>0</v>
      </c>
      <c r="N144" s="1">
        <v>6.1364099999999997E-10</v>
      </c>
      <c r="O144">
        <f t="shared" si="68"/>
        <v>0</v>
      </c>
      <c r="Q144" s="1">
        <v>6.1364099999999997E-10</v>
      </c>
      <c r="R144">
        <f t="shared" si="69"/>
        <v>0</v>
      </c>
      <c r="CH144" s="1">
        <v>5.6804900000000001E-10</v>
      </c>
      <c r="CI144">
        <v>0</v>
      </c>
      <c r="CJ144">
        <f t="shared" si="70"/>
        <v>0</v>
      </c>
      <c r="CL144" s="1">
        <v>5.6804900000000001E-10</v>
      </c>
      <c r="CM144">
        <v>0</v>
      </c>
      <c r="CN144">
        <f t="shared" si="71"/>
        <v>0</v>
      </c>
    </row>
    <row r="145" spans="4:92" x14ac:dyDescent="0.35">
      <c r="D145" s="1">
        <v>6.21588E-10</v>
      </c>
      <c r="E145">
        <v>0</v>
      </c>
      <c r="F145">
        <v>0</v>
      </c>
      <c r="G145">
        <v>0</v>
      </c>
      <c r="I145" s="1">
        <v>6.21588E-10</v>
      </c>
      <c r="J145">
        <f t="shared" si="67"/>
        <v>0</v>
      </c>
      <c r="K145">
        <v>0</v>
      </c>
      <c r="L145">
        <v>0</v>
      </c>
      <c r="N145" s="1">
        <v>6.21588E-10</v>
      </c>
      <c r="O145">
        <f t="shared" si="68"/>
        <v>0</v>
      </c>
      <c r="Q145" s="1">
        <v>6.21588E-10</v>
      </c>
      <c r="R145">
        <f t="shared" si="69"/>
        <v>0</v>
      </c>
      <c r="CH145" s="1">
        <v>5.7540600000000005E-10</v>
      </c>
      <c r="CI145">
        <v>0</v>
      </c>
      <c r="CJ145">
        <f t="shared" si="70"/>
        <v>0</v>
      </c>
      <c r="CL145" s="1">
        <v>5.7540600000000005E-10</v>
      </c>
      <c r="CM145">
        <v>0</v>
      </c>
      <c r="CN145">
        <f t="shared" si="71"/>
        <v>0</v>
      </c>
    </row>
    <row r="146" spans="4:92" x14ac:dyDescent="0.35">
      <c r="D146" s="1">
        <v>6.2963699999999998E-10</v>
      </c>
      <c r="E146">
        <v>0</v>
      </c>
      <c r="F146">
        <v>0</v>
      </c>
      <c r="G146">
        <v>0</v>
      </c>
      <c r="I146" s="1">
        <v>6.2963699999999998E-10</v>
      </c>
      <c r="J146">
        <f t="shared" si="67"/>
        <v>0</v>
      </c>
      <c r="K146">
        <v>0</v>
      </c>
      <c r="L146">
        <v>0</v>
      </c>
      <c r="N146" s="1">
        <v>6.2963699999999998E-10</v>
      </c>
      <c r="O146">
        <f t="shared" si="68"/>
        <v>0</v>
      </c>
      <c r="Q146" s="1">
        <v>6.2963699999999998E-10</v>
      </c>
      <c r="R146">
        <f t="shared" si="69"/>
        <v>0</v>
      </c>
      <c r="CH146" s="1">
        <v>5.8285699999999997E-10</v>
      </c>
      <c r="CI146">
        <v>0</v>
      </c>
      <c r="CJ146">
        <f t="shared" si="70"/>
        <v>0</v>
      </c>
      <c r="CL146" s="1">
        <v>5.8285699999999997E-10</v>
      </c>
      <c r="CM146">
        <v>0</v>
      </c>
      <c r="CN146">
        <f t="shared" si="71"/>
        <v>0</v>
      </c>
    </row>
    <row r="147" spans="4:92" x14ac:dyDescent="0.35">
      <c r="D147" s="1">
        <v>6.3779100000000004E-10</v>
      </c>
      <c r="E147">
        <v>0</v>
      </c>
      <c r="F147">
        <v>0</v>
      </c>
      <c r="G147">
        <v>0</v>
      </c>
      <c r="I147" s="1">
        <v>6.3779100000000004E-10</v>
      </c>
      <c r="J147">
        <f t="shared" si="67"/>
        <v>0</v>
      </c>
      <c r="K147">
        <v>0</v>
      </c>
      <c r="L147">
        <v>0</v>
      </c>
      <c r="N147" s="1">
        <v>6.3779100000000004E-10</v>
      </c>
      <c r="O147">
        <f t="shared" si="68"/>
        <v>0</v>
      </c>
      <c r="Q147" s="1">
        <v>6.3779100000000004E-10</v>
      </c>
      <c r="R147">
        <f t="shared" si="69"/>
        <v>0</v>
      </c>
      <c r="CH147" s="1">
        <v>5.9040499999999999E-10</v>
      </c>
      <c r="CI147">
        <v>0</v>
      </c>
      <c r="CJ147">
        <f t="shared" si="70"/>
        <v>0</v>
      </c>
      <c r="CL147" s="1">
        <v>5.9040499999999999E-10</v>
      </c>
      <c r="CM147">
        <v>0</v>
      </c>
      <c r="CN147">
        <f t="shared" si="71"/>
        <v>0</v>
      </c>
    </row>
    <row r="148" spans="4:92" x14ac:dyDescent="0.35">
      <c r="D148" s="1">
        <v>6.4605099999999996E-10</v>
      </c>
      <c r="E148">
        <v>0</v>
      </c>
      <c r="F148">
        <v>0</v>
      </c>
      <c r="G148">
        <v>0</v>
      </c>
      <c r="I148" s="1">
        <v>6.4605099999999996E-10</v>
      </c>
      <c r="J148">
        <f t="shared" si="67"/>
        <v>0</v>
      </c>
      <c r="K148">
        <v>0</v>
      </c>
      <c r="L148">
        <v>0</v>
      </c>
      <c r="N148" s="1">
        <v>6.4605099999999996E-10</v>
      </c>
      <c r="O148">
        <f t="shared" si="68"/>
        <v>0</v>
      </c>
      <c r="Q148" s="1">
        <v>6.4605099999999996E-10</v>
      </c>
      <c r="R148">
        <f t="shared" si="69"/>
        <v>0</v>
      </c>
      <c r="CH148" s="1">
        <v>5.9805100000000003E-10</v>
      </c>
      <c r="CI148">
        <v>0</v>
      </c>
      <c r="CJ148">
        <f t="shared" si="70"/>
        <v>0</v>
      </c>
      <c r="CL148" s="1">
        <v>5.9805100000000003E-10</v>
      </c>
      <c r="CM148">
        <v>0</v>
      </c>
      <c r="CN148">
        <f t="shared" si="71"/>
        <v>0</v>
      </c>
    </row>
    <row r="149" spans="4:92" x14ac:dyDescent="0.35">
      <c r="D149" s="1">
        <v>6.5441699999999997E-10</v>
      </c>
      <c r="E149">
        <v>0</v>
      </c>
      <c r="F149">
        <v>0</v>
      </c>
      <c r="G149">
        <v>0</v>
      </c>
      <c r="I149" s="1">
        <v>6.5441699999999997E-10</v>
      </c>
      <c r="J149">
        <f t="shared" si="67"/>
        <v>0</v>
      </c>
      <c r="K149">
        <v>0</v>
      </c>
      <c r="L149">
        <v>0</v>
      </c>
      <c r="N149" s="1">
        <v>6.5441699999999997E-10</v>
      </c>
      <c r="O149">
        <f t="shared" si="68"/>
        <v>0</v>
      </c>
      <c r="Q149" s="1">
        <v>6.5441699999999997E-10</v>
      </c>
      <c r="R149">
        <f t="shared" si="69"/>
        <v>0</v>
      </c>
      <c r="CH149" s="1">
        <v>6.0579599999999998E-10</v>
      </c>
      <c r="CI149">
        <v>0</v>
      </c>
      <c r="CJ149">
        <f t="shared" si="70"/>
        <v>0</v>
      </c>
      <c r="CL149" s="1">
        <v>6.0579599999999998E-10</v>
      </c>
      <c r="CM149">
        <v>0</v>
      </c>
      <c r="CN149">
        <f t="shared" si="71"/>
        <v>0</v>
      </c>
    </row>
    <row r="150" spans="4:92" x14ac:dyDescent="0.35">
      <c r="D150" s="1">
        <v>6.6289199999999999E-10</v>
      </c>
      <c r="E150">
        <v>0</v>
      </c>
      <c r="F150">
        <v>0</v>
      </c>
      <c r="G150">
        <v>0</v>
      </c>
      <c r="I150" s="1">
        <v>6.6289199999999999E-10</v>
      </c>
      <c r="J150">
        <f t="shared" si="67"/>
        <v>0</v>
      </c>
      <c r="K150">
        <v>0</v>
      </c>
      <c r="L150">
        <v>0</v>
      </c>
      <c r="N150" s="1">
        <v>6.6289199999999999E-10</v>
      </c>
      <c r="O150">
        <f t="shared" si="68"/>
        <v>0</v>
      </c>
      <c r="Q150" s="1">
        <v>6.6289199999999999E-10</v>
      </c>
      <c r="R150">
        <f t="shared" si="69"/>
        <v>0</v>
      </c>
      <c r="CH150" s="1">
        <v>6.1364099999999997E-10</v>
      </c>
      <c r="CI150">
        <v>0</v>
      </c>
      <c r="CJ150">
        <f t="shared" si="70"/>
        <v>0</v>
      </c>
      <c r="CL150" s="1">
        <v>6.1364099999999997E-10</v>
      </c>
      <c r="CM150">
        <v>0</v>
      </c>
      <c r="CN150">
        <f t="shared" si="71"/>
        <v>0</v>
      </c>
    </row>
    <row r="151" spans="4:92" x14ac:dyDescent="0.35">
      <c r="D151" s="1">
        <v>6.7147600000000001E-10</v>
      </c>
      <c r="E151">
        <v>0</v>
      </c>
      <c r="F151">
        <v>0</v>
      </c>
      <c r="G151">
        <v>0</v>
      </c>
      <c r="I151" s="1">
        <v>6.7147600000000001E-10</v>
      </c>
      <c r="J151">
        <f t="shared" si="67"/>
        <v>0</v>
      </c>
      <c r="K151">
        <v>0</v>
      </c>
      <c r="L151">
        <v>0</v>
      </c>
      <c r="N151" s="1">
        <v>6.7147600000000001E-10</v>
      </c>
      <c r="O151">
        <f t="shared" si="68"/>
        <v>0</v>
      </c>
      <c r="Q151" s="1">
        <v>6.7147600000000001E-10</v>
      </c>
      <c r="R151">
        <f t="shared" si="69"/>
        <v>0</v>
      </c>
      <c r="CH151" s="1">
        <v>6.21588E-10</v>
      </c>
      <c r="CI151">
        <v>0</v>
      </c>
      <c r="CJ151">
        <f t="shared" si="70"/>
        <v>0</v>
      </c>
      <c r="CL151" s="1">
        <v>6.21588E-10</v>
      </c>
      <c r="CM151">
        <v>0</v>
      </c>
      <c r="CN151">
        <f t="shared" si="71"/>
        <v>0</v>
      </c>
    </row>
    <row r="152" spans="4:92" x14ac:dyDescent="0.35">
      <c r="D152" s="1">
        <v>6.8017199999999995E-10</v>
      </c>
      <c r="E152">
        <v>0</v>
      </c>
      <c r="F152">
        <v>0</v>
      </c>
      <c r="G152">
        <v>0</v>
      </c>
      <c r="I152" s="1">
        <v>6.8017199999999995E-10</v>
      </c>
      <c r="J152">
        <f t="shared" si="67"/>
        <v>0</v>
      </c>
      <c r="K152">
        <v>0</v>
      </c>
      <c r="L152">
        <v>0</v>
      </c>
      <c r="N152" s="1">
        <v>6.8017199999999995E-10</v>
      </c>
      <c r="O152">
        <f t="shared" si="68"/>
        <v>0</v>
      </c>
      <c r="Q152" s="1">
        <v>6.8017199999999995E-10</v>
      </c>
      <c r="R152">
        <f t="shared" si="69"/>
        <v>0</v>
      </c>
      <c r="CH152" s="1">
        <v>6.2963699999999998E-10</v>
      </c>
      <c r="CI152">
        <v>0</v>
      </c>
      <c r="CJ152">
        <f t="shared" si="70"/>
        <v>0</v>
      </c>
      <c r="CL152" s="1">
        <v>6.2963699999999998E-10</v>
      </c>
      <c r="CM152">
        <v>0</v>
      </c>
      <c r="CN152">
        <f t="shared" si="71"/>
        <v>0</v>
      </c>
    </row>
    <row r="153" spans="4:92" x14ac:dyDescent="0.35">
      <c r="D153" s="1">
        <v>6.8898000000000003E-10</v>
      </c>
      <c r="E153">
        <v>0</v>
      </c>
      <c r="F153">
        <v>0</v>
      </c>
      <c r="G153">
        <v>0</v>
      </c>
      <c r="I153" s="1">
        <v>6.8898000000000003E-10</v>
      </c>
      <c r="J153">
        <f t="shared" si="67"/>
        <v>0</v>
      </c>
      <c r="K153">
        <v>0</v>
      </c>
      <c r="L153">
        <v>0</v>
      </c>
      <c r="N153" s="1">
        <v>6.8898000000000003E-10</v>
      </c>
      <c r="O153">
        <f t="shared" si="68"/>
        <v>0</v>
      </c>
      <c r="Q153" s="1">
        <v>6.8898000000000003E-10</v>
      </c>
      <c r="R153">
        <f t="shared" si="69"/>
        <v>0</v>
      </c>
      <c r="CH153" s="1">
        <v>6.3779100000000004E-10</v>
      </c>
      <c r="CI153">
        <v>0</v>
      </c>
      <c r="CJ153">
        <f t="shared" si="70"/>
        <v>0</v>
      </c>
      <c r="CL153" s="1">
        <v>6.3779100000000004E-10</v>
      </c>
      <c r="CM153">
        <v>0</v>
      </c>
      <c r="CN153">
        <f t="shared" si="71"/>
        <v>0</v>
      </c>
    </row>
    <row r="154" spans="4:92" x14ac:dyDescent="0.35">
      <c r="D154" s="1">
        <v>6.9790299999999996E-10</v>
      </c>
      <c r="E154">
        <v>0</v>
      </c>
      <c r="F154">
        <v>0</v>
      </c>
      <c r="G154">
        <v>0</v>
      </c>
      <c r="I154" s="1">
        <v>6.9790299999999996E-10</v>
      </c>
      <c r="J154">
        <f t="shared" si="67"/>
        <v>0</v>
      </c>
      <c r="K154">
        <v>0</v>
      </c>
      <c r="L154">
        <v>0</v>
      </c>
      <c r="N154" s="1">
        <v>6.9790299999999996E-10</v>
      </c>
      <c r="O154">
        <f t="shared" si="68"/>
        <v>0</v>
      </c>
      <c r="Q154" s="1">
        <v>6.9790299999999996E-10</v>
      </c>
      <c r="R154">
        <f t="shared" si="69"/>
        <v>0</v>
      </c>
      <c r="CH154" s="1">
        <v>6.4605099999999996E-10</v>
      </c>
      <c r="CI154">
        <v>0</v>
      </c>
      <c r="CJ154">
        <f t="shared" si="70"/>
        <v>0</v>
      </c>
      <c r="CL154" s="1">
        <v>6.4605099999999996E-10</v>
      </c>
      <c r="CM154">
        <v>0</v>
      </c>
      <c r="CN154">
        <f t="shared" si="71"/>
        <v>0</v>
      </c>
    </row>
    <row r="155" spans="4:92" x14ac:dyDescent="0.35">
      <c r="D155" s="1">
        <v>7.0694100000000005E-10</v>
      </c>
      <c r="E155">
        <v>0</v>
      </c>
      <c r="F155">
        <v>0</v>
      </c>
      <c r="G155">
        <v>0</v>
      </c>
      <c r="I155" s="1">
        <v>7.0694100000000005E-10</v>
      </c>
      <c r="J155">
        <f t="shared" si="67"/>
        <v>0</v>
      </c>
      <c r="K155">
        <v>0</v>
      </c>
      <c r="L155">
        <v>0</v>
      </c>
      <c r="N155" s="1">
        <v>7.0694100000000005E-10</v>
      </c>
      <c r="O155">
        <f t="shared" si="68"/>
        <v>0</v>
      </c>
      <c r="Q155" s="1">
        <v>7.0694100000000005E-10</v>
      </c>
      <c r="R155">
        <f t="shared" si="69"/>
        <v>0</v>
      </c>
      <c r="CH155" s="1">
        <v>6.5441699999999997E-10</v>
      </c>
      <c r="CI155">
        <v>0</v>
      </c>
      <c r="CJ155">
        <f t="shared" si="70"/>
        <v>0</v>
      </c>
      <c r="CL155" s="1">
        <v>6.5441699999999997E-10</v>
      </c>
      <c r="CM155">
        <v>0</v>
      </c>
      <c r="CN155">
        <f t="shared" si="71"/>
        <v>0</v>
      </c>
    </row>
    <row r="156" spans="4:92" x14ac:dyDescent="0.35">
      <c r="D156" s="1">
        <v>7.1609600000000001E-10</v>
      </c>
      <c r="E156">
        <v>0</v>
      </c>
      <c r="F156">
        <v>0</v>
      </c>
      <c r="G156">
        <v>0</v>
      </c>
      <c r="I156" s="1">
        <v>7.1609600000000001E-10</v>
      </c>
      <c r="J156">
        <f t="shared" si="67"/>
        <v>0</v>
      </c>
      <c r="K156">
        <v>0</v>
      </c>
      <c r="L156">
        <v>0</v>
      </c>
      <c r="N156" s="1">
        <v>7.1609600000000001E-10</v>
      </c>
      <c r="O156">
        <f t="shared" si="68"/>
        <v>0</v>
      </c>
      <c r="Q156" s="1">
        <v>7.1609600000000001E-10</v>
      </c>
      <c r="R156">
        <f t="shared" si="69"/>
        <v>0</v>
      </c>
      <c r="CH156" s="1">
        <v>6.6289199999999999E-10</v>
      </c>
      <c r="CI156">
        <v>0</v>
      </c>
      <c r="CJ156">
        <f t="shared" si="70"/>
        <v>0</v>
      </c>
      <c r="CL156" s="1">
        <v>6.6289199999999999E-10</v>
      </c>
      <c r="CM156">
        <v>0</v>
      </c>
      <c r="CN156">
        <f t="shared" si="71"/>
        <v>0</v>
      </c>
    </row>
    <row r="157" spans="4:92" x14ac:dyDescent="0.35">
      <c r="D157" s="1">
        <v>7.2536900000000004E-10</v>
      </c>
      <c r="E157">
        <v>0</v>
      </c>
      <c r="F157">
        <v>0</v>
      </c>
      <c r="G157">
        <v>0</v>
      </c>
      <c r="I157" s="1">
        <v>7.2536900000000004E-10</v>
      </c>
      <c r="J157">
        <f t="shared" si="67"/>
        <v>0</v>
      </c>
      <c r="K157">
        <v>0</v>
      </c>
      <c r="L157">
        <v>0</v>
      </c>
      <c r="N157" s="1">
        <v>7.2536900000000004E-10</v>
      </c>
      <c r="O157">
        <f t="shared" si="68"/>
        <v>0</v>
      </c>
      <c r="Q157" s="1">
        <v>7.2536900000000004E-10</v>
      </c>
      <c r="R157">
        <f t="shared" si="69"/>
        <v>0</v>
      </c>
      <c r="CH157" s="1">
        <v>6.7147600000000001E-10</v>
      </c>
      <c r="CI157">
        <v>0</v>
      </c>
      <c r="CJ157">
        <f t="shared" si="70"/>
        <v>0</v>
      </c>
      <c r="CL157" s="1">
        <v>6.7147600000000001E-10</v>
      </c>
      <c r="CM157">
        <v>0</v>
      </c>
      <c r="CN157">
        <f t="shared" si="71"/>
        <v>0</v>
      </c>
    </row>
    <row r="158" spans="4:92" x14ac:dyDescent="0.35">
      <c r="D158" s="1">
        <v>7.3476299999999998E-10</v>
      </c>
      <c r="E158">
        <v>0</v>
      </c>
      <c r="F158">
        <v>0</v>
      </c>
      <c r="G158">
        <v>0</v>
      </c>
      <c r="I158" s="1">
        <v>7.3476299999999998E-10</v>
      </c>
      <c r="J158">
        <f t="shared" si="67"/>
        <v>0</v>
      </c>
      <c r="K158">
        <v>0</v>
      </c>
      <c r="L158">
        <v>0</v>
      </c>
      <c r="N158" s="1">
        <v>7.3476299999999998E-10</v>
      </c>
      <c r="O158">
        <f t="shared" si="68"/>
        <v>0</v>
      </c>
      <c r="Q158" s="1">
        <v>7.3476299999999998E-10</v>
      </c>
      <c r="R158">
        <f t="shared" si="69"/>
        <v>0</v>
      </c>
      <c r="CH158" s="1">
        <v>6.8017199999999995E-10</v>
      </c>
      <c r="CI158">
        <v>0</v>
      </c>
      <c r="CJ158">
        <f t="shared" si="70"/>
        <v>0</v>
      </c>
      <c r="CL158" s="1">
        <v>6.8017199999999995E-10</v>
      </c>
      <c r="CM158">
        <v>0</v>
      </c>
      <c r="CN158">
        <f t="shared" si="71"/>
        <v>0</v>
      </c>
    </row>
    <row r="159" spans="4:92" x14ac:dyDescent="0.35">
      <c r="D159" s="1">
        <v>7.4427800000000002E-10</v>
      </c>
      <c r="E159">
        <v>0</v>
      </c>
      <c r="F159">
        <v>0</v>
      </c>
      <c r="G159">
        <v>0</v>
      </c>
      <c r="I159" s="1">
        <v>7.4427800000000002E-10</v>
      </c>
      <c r="J159">
        <f t="shared" si="67"/>
        <v>0</v>
      </c>
      <c r="K159">
        <v>0</v>
      </c>
      <c r="L159">
        <v>0</v>
      </c>
      <c r="N159" s="1">
        <v>7.4427800000000002E-10</v>
      </c>
      <c r="O159">
        <f t="shared" si="68"/>
        <v>0</v>
      </c>
      <c r="Q159" s="1">
        <v>7.4427800000000002E-10</v>
      </c>
      <c r="R159">
        <f t="shared" si="69"/>
        <v>0</v>
      </c>
      <c r="CH159" s="1">
        <v>6.8898000000000003E-10</v>
      </c>
      <c r="CI159">
        <v>0</v>
      </c>
      <c r="CJ159">
        <f t="shared" si="70"/>
        <v>0</v>
      </c>
      <c r="CL159" s="1">
        <v>6.8898000000000003E-10</v>
      </c>
      <c r="CM159">
        <v>0</v>
      </c>
      <c r="CN159">
        <f t="shared" si="71"/>
        <v>0</v>
      </c>
    </row>
    <row r="160" spans="4:92" x14ac:dyDescent="0.35">
      <c r="D160" s="1">
        <v>7.5391599999999998E-10</v>
      </c>
      <c r="E160">
        <v>0</v>
      </c>
      <c r="F160">
        <v>0</v>
      </c>
      <c r="G160">
        <v>0</v>
      </c>
      <c r="I160" s="1">
        <v>7.5391599999999998E-10</v>
      </c>
      <c r="J160">
        <f t="shared" si="67"/>
        <v>0</v>
      </c>
      <c r="K160">
        <v>0</v>
      </c>
      <c r="L160">
        <v>0</v>
      </c>
      <c r="N160" s="1">
        <v>7.5391599999999998E-10</v>
      </c>
      <c r="O160">
        <f t="shared" si="68"/>
        <v>0</v>
      </c>
      <c r="Q160" s="1">
        <v>7.5391599999999998E-10</v>
      </c>
      <c r="R160">
        <f t="shared" si="69"/>
        <v>0</v>
      </c>
      <c r="CH160" s="1">
        <v>6.9790299999999996E-10</v>
      </c>
      <c r="CI160">
        <v>0</v>
      </c>
      <c r="CJ160">
        <f t="shared" si="70"/>
        <v>0</v>
      </c>
      <c r="CL160" s="1">
        <v>6.9790299999999996E-10</v>
      </c>
      <c r="CM160">
        <v>0</v>
      </c>
      <c r="CN160">
        <f t="shared" si="71"/>
        <v>0</v>
      </c>
    </row>
    <row r="161" spans="4:92" x14ac:dyDescent="0.35">
      <c r="D161" s="1">
        <v>7.6367999999999999E-10</v>
      </c>
      <c r="E161">
        <v>0</v>
      </c>
      <c r="F161">
        <v>0</v>
      </c>
      <c r="G161">
        <v>0</v>
      </c>
      <c r="I161" s="1">
        <v>7.6367999999999999E-10</v>
      </c>
      <c r="J161">
        <f t="shared" si="67"/>
        <v>0</v>
      </c>
      <c r="K161">
        <v>0</v>
      </c>
      <c r="L161">
        <v>0</v>
      </c>
      <c r="N161" s="1">
        <v>7.6367999999999999E-10</v>
      </c>
      <c r="O161">
        <f t="shared" si="68"/>
        <v>0</v>
      </c>
      <c r="Q161" s="1">
        <v>7.6367999999999999E-10</v>
      </c>
      <c r="R161">
        <f t="shared" si="69"/>
        <v>0</v>
      </c>
      <c r="CH161" s="1">
        <v>7.0694100000000005E-10</v>
      </c>
      <c r="CI161">
        <v>0</v>
      </c>
      <c r="CJ161">
        <f t="shared" si="70"/>
        <v>0</v>
      </c>
      <c r="CL161" s="1">
        <v>7.0694100000000005E-10</v>
      </c>
      <c r="CM161">
        <v>0</v>
      </c>
      <c r="CN161">
        <f t="shared" si="71"/>
        <v>0</v>
      </c>
    </row>
    <row r="162" spans="4:92" x14ac:dyDescent="0.35">
      <c r="D162" s="1">
        <v>7.7356900000000004E-10</v>
      </c>
      <c r="E162">
        <v>0</v>
      </c>
      <c r="F162">
        <v>0</v>
      </c>
      <c r="G162">
        <v>0</v>
      </c>
      <c r="I162" s="1">
        <v>7.7356900000000004E-10</v>
      </c>
      <c r="J162">
        <f t="shared" si="67"/>
        <v>0</v>
      </c>
      <c r="K162">
        <v>0</v>
      </c>
      <c r="L162">
        <v>0</v>
      </c>
      <c r="N162" s="1">
        <v>7.7356900000000004E-10</v>
      </c>
      <c r="O162">
        <f t="shared" si="68"/>
        <v>0</v>
      </c>
      <c r="Q162" s="1">
        <v>7.7356900000000004E-10</v>
      </c>
      <c r="R162">
        <f t="shared" si="69"/>
        <v>0</v>
      </c>
      <c r="CH162" s="1">
        <v>7.1609600000000001E-10</v>
      </c>
      <c r="CI162">
        <v>0</v>
      </c>
      <c r="CJ162">
        <f t="shared" si="70"/>
        <v>0</v>
      </c>
      <c r="CL162" s="1">
        <v>7.1609600000000001E-10</v>
      </c>
      <c r="CM162">
        <v>0</v>
      </c>
      <c r="CN162">
        <f t="shared" si="71"/>
        <v>0</v>
      </c>
    </row>
    <row r="163" spans="4:92" x14ac:dyDescent="0.35">
      <c r="D163" s="1">
        <v>7.8358699999999995E-10</v>
      </c>
      <c r="E163">
        <v>0</v>
      </c>
      <c r="F163">
        <v>0</v>
      </c>
      <c r="G163">
        <v>0</v>
      </c>
      <c r="I163" s="1">
        <v>7.8358699999999995E-10</v>
      </c>
      <c r="J163">
        <f t="shared" si="67"/>
        <v>0</v>
      </c>
      <c r="K163">
        <v>0</v>
      </c>
      <c r="L163">
        <v>0</v>
      </c>
      <c r="N163" s="1">
        <v>7.8358699999999995E-10</v>
      </c>
      <c r="O163">
        <f t="shared" si="68"/>
        <v>0</v>
      </c>
      <c r="Q163" s="1">
        <v>7.8358699999999995E-10</v>
      </c>
      <c r="R163">
        <f t="shared" si="69"/>
        <v>0</v>
      </c>
      <c r="CH163" s="1">
        <v>7.2536900000000004E-10</v>
      </c>
      <c r="CI163">
        <v>0</v>
      </c>
      <c r="CJ163">
        <f t="shared" si="70"/>
        <v>0</v>
      </c>
      <c r="CL163" s="1">
        <v>7.2536900000000004E-10</v>
      </c>
      <c r="CM163">
        <v>0</v>
      </c>
      <c r="CN163">
        <f t="shared" si="71"/>
        <v>0</v>
      </c>
    </row>
    <row r="164" spans="4:92" x14ac:dyDescent="0.35">
      <c r="D164" s="1">
        <v>7.9373500000000005E-10</v>
      </c>
      <c r="E164">
        <v>0</v>
      </c>
      <c r="F164">
        <v>0</v>
      </c>
      <c r="G164">
        <v>0</v>
      </c>
      <c r="I164" s="1">
        <v>7.9373500000000005E-10</v>
      </c>
      <c r="J164">
        <f t="shared" si="67"/>
        <v>0</v>
      </c>
      <c r="K164">
        <v>0</v>
      </c>
      <c r="L164">
        <v>0</v>
      </c>
      <c r="N164" s="1">
        <v>7.9373500000000005E-10</v>
      </c>
      <c r="O164">
        <f t="shared" si="68"/>
        <v>0</v>
      </c>
      <c r="Q164" s="1">
        <v>7.9373500000000005E-10</v>
      </c>
      <c r="R164">
        <f t="shared" si="69"/>
        <v>0</v>
      </c>
      <c r="CH164" s="1">
        <v>7.3476299999999998E-10</v>
      </c>
      <c r="CI164">
        <v>0</v>
      </c>
      <c r="CJ164">
        <f t="shared" si="70"/>
        <v>0</v>
      </c>
      <c r="CL164" s="1">
        <v>7.3476299999999998E-10</v>
      </c>
      <c r="CM164">
        <v>0</v>
      </c>
      <c r="CN164">
        <f t="shared" si="71"/>
        <v>0</v>
      </c>
    </row>
    <row r="165" spans="4:92" x14ac:dyDescent="0.35">
      <c r="D165" s="1">
        <v>8.0401400000000003E-10</v>
      </c>
      <c r="E165">
        <v>0</v>
      </c>
      <c r="F165">
        <v>0</v>
      </c>
      <c r="G165">
        <v>0</v>
      </c>
      <c r="I165" s="1">
        <v>8.0401400000000003E-10</v>
      </c>
      <c r="J165">
        <f t="shared" si="67"/>
        <v>0</v>
      </c>
      <c r="K165">
        <v>0</v>
      </c>
      <c r="L165">
        <v>0</v>
      </c>
      <c r="N165" s="1">
        <v>8.0401400000000003E-10</v>
      </c>
      <c r="O165">
        <f t="shared" si="68"/>
        <v>0</v>
      </c>
      <c r="Q165" s="1">
        <v>8.0401400000000003E-10</v>
      </c>
      <c r="R165">
        <f t="shared" si="69"/>
        <v>0</v>
      </c>
      <c r="CH165" s="1">
        <v>7.4427800000000002E-10</v>
      </c>
      <c r="CI165">
        <v>0</v>
      </c>
      <c r="CJ165">
        <f t="shared" si="70"/>
        <v>0</v>
      </c>
      <c r="CL165" s="1">
        <v>7.4427800000000002E-10</v>
      </c>
      <c r="CM165">
        <v>0</v>
      </c>
      <c r="CN165">
        <f t="shared" si="71"/>
        <v>0</v>
      </c>
    </row>
    <row r="166" spans="4:92" x14ac:dyDescent="0.35">
      <c r="D166" s="1">
        <v>8.1442600000000002E-10</v>
      </c>
      <c r="E166">
        <v>0</v>
      </c>
      <c r="F166">
        <v>0</v>
      </c>
      <c r="G166">
        <v>0</v>
      </c>
      <c r="I166" s="1">
        <v>8.1442600000000002E-10</v>
      </c>
      <c r="J166">
        <f t="shared" si="67"/>
        <v>0</v>
      </c>
      <c r="K166">
        <v>0</v>
      </c>
      <c r="L166">
        <v>0</v>
      </c>
      <c r="N166" s="1">
        <v>8.1442600000000002E-10</v>
      </c>
      <c r="O166">
        <f t="shared" si="68"/>
        <v>0</v>
      </c>
      <c r="Q166" s="1">
        <v>8.1442600000000002E-10</v>
      </c>
      <c r="R166">
        <f t="shared" si="69"/>
        <v>0</v>
      </c>
      <c r="CH166" s="1">
        <v>7.5391599999999998E-10</v>
      </c>
      <c r="CI166">
        <v>0</v>
      </c>
      <c r="CJ166">
        <f t="shared" si="70"/>
        <v>0</v>
      </c>
      <c r="CL166" s="1">
        <v>7.5391599999999998E-10</v>
      </c>
      <c r="CM166">
        <v>0</v>
      </c>
      <c r="CN166">
        <f t="shared" si="71"/>
        <v>0</v>
      </c>
    </row>
    <row r="167" spans="4:92" x14ac:dyDescent="0.35">
      <c r="D167" s="1">
        <v>8.2497300000000002E-10</v>
      </c>
      <c r="E167">
        <v>0</v>
      </c>
      <c r="F167">
        <v>0</v>
      </c>
      <c r="G167">
        <v>0</v>
      </c>
      <c r="I167" s="1">
        <v>8.2497300000000002E-10</v>
      </c>
      <c r="J167">
        <f t="shared" si="67"/>
        <v>0</v>
      </c>
      <c r="K167">
        <v>0</v>
      </c>
      <c r="L167">
        <v>0</v>
      </c>
      <c r="N167" s="1">
        <v>8.2497300000000002E-10</v>
      </c>
      <c r="O167">
        <f t="shared" si="68"/>
        <v>0</v>
      </c>
      <c r="Q167" s="1">
        <v>8.2497300000000002E-10</v>
      </c>
      <c r="R167">
        <f t="shared" si="69"/>
        <v>0</v>
      </c>
      <c r="CH167" s="1">
        <v>7.6367999999999999E-10</v>
      </c>
      <c r="CI167">
        <v>0</v>
      </c>
      <c r="CJ167">
        <f t="shared" si="70"/>
        <v>0</v>
      </c>
      <c r="CL167" s="1">
        <v>7.6367999999999999E-10</v>
      </c>
      <c r="CM167">
        <v>0</v>
      </c>
      <c r="CN167">
        <f t="shared" si="71"/>
        <v>0</v>
      </c>
    </row>
    <row r="168" spans="4:92" x14ac:dyDescent="0.35">
      <c r="D168" s="1">
        <v>8.3565599999999995E-10</v>
      </c>
      <c r="E168">
        <v>0</v>
      </c>
      <c r="F168">
        <v>0</v>
      </c>
      <c r="G168">
        <v>0</v>
      </c>
      <c r="I168" s="1">
        <v>8.3565599999999995E-10</v>
      </c>
      <c r="J168">
        <f t="shared" si="67"/>
        <v>0</v>
      </c>
      <c r="K168">
        <v>0</v>
      </c>
      <c r="L168">
        <v>0</v>
      </c>
      <c r="N168" s="1">
        <v>8.3565599999999995E-10</v>
      </c>
      <c r="O168">
        <f t="shared" si="68"/>
        <v>0</v>
      </c>
      <c r="Q168" s="1">
        <v>8.3565599999999995E-10</v>
      </c>
      <c r="R168">
        <f t="shared" si="69"/>
        <v>0</v>
      </c>
      <c r="CH168" s="1">
        <v>7.7356900000000004E-10</v>
      </c>
      <c r="CI168">
        <v>0</v>
      </c>
      <c r="CJ168">
        <f t="shared" si="70"/>
        <v>0</v>
      </c>
      <c r="CL168" s="1">
        <v>7.7356900000000004E-10</v>
      </c>
      <c r="CM168">
        <v>0</v>
      </c>
      <c r="CN168">
        <f t="shared" si="71"/>
        <v>0</v>
      </c>
    </row>
    <row r="169" spans="4:92" x14ac:dyDescent="0.35">
      <c r="D169" s="1">
        <v>8.4647800000000004E-10</v>
      </c>
      <c r="E169">
        <v>0</v>
      </c>
      <c r="F169">
        <v>0</v>
      </c>
      <c r="G169">
        <v>0</v>
      </c>
      <c r="I169" s="1">
        <v>8.4647800000000004E-10</v>
      </c>
      <c r="J169">
        <f t="shared" si="67"/>
        <v>0</v>
      </c>
      <c r="K169">
        <v>0</v>
      </c>
      <c r="L169">
        <v>0</v>
      </c>
      <c r="N169" s="1">
        <v>8.4647800000000004E-10</v>
      </c>
      <c r="O169">
        <f t="shared" si="68"/>
        <v>0</v>
      </c>
      <c r="Q169" s="1">
        <v>8.4647800000000004E-10</v>
      </c>
      <c r="R169">
        <f t="shared" si="69"/>
        <v>0</v>
      </c>
      <c r="CH169" s="1">
        <v>7.8358699999999995E-10</v>
      </c>
      <c r="CI169">
        <v>0</v>
      </c>
      <c r="CJ169">
        <f t="shared" si="70"/>
        <v>0</v>
      </c>
      <c r="CL169" s="1">
        <v>7.8358699999999995E-10</v>
      </c>
      <c r="CM169">
        <v>0</v>
      </c>
      <c r="CN169">
        <f t="shared" si="71"/>
        <v>0</v>
      </c>
    </row>
    <row r="170" spans="4:92" x14ac:dyDescent="0.35">
      <c r="D170" s="1">
        <v>8.5743999999999999E-10</v>
      </c>
      <c r="E170">
        <v>0</v>
      </c>
      <c r="F170">
        <v>0</v>
      </c>
      <c r="G170">
        <v>0</v>
      </c>
      <c r="I170" s="1">
        <v>8.5743999999999999E-10</v>
      </c>
      <c r="J170">
        <f t="shared" si="67"/>
        <v>0</v>
      </c>
      <c r="K170">
        <v>0</v>
      </c>
      <c r="L170">
        <v>0</v>
      </c>
      <c r="N170" s="1">
        <v>8.5743999999999999E-10</v>
      </c>
      <c r="O170">
        <f t="shared" si="68"/>
        <v>0</v>
      </c>
      <c r="Q170" s="1">
        <v>8.5743999999999999E-10</v>
      </c>
      <c r="R170">
        <f t="shared" si="69"/>
        <v>0</v>
      </c>
      <c r="CH170" s="1">
        <v>7.9373500000000005E-10</v>
      </c>
      <c r="CI170">
        <v>0</v>
      </c>
      <c r="CJ170">
        <f t="shared" si="70"/>
        <v>0</v>
      </c>
      <c r="CL170" s="1">
        <v>7.9373500000000005E-10</v>
      </c>
      <c r="CM170">
        <v>0</v>
      </c>
      <c r="CN170">
        <f t="shared" si="71"/>
        <v>0</v>
      </c>
    </row>
    <row r="171" spans="4:92" x14ac:dyDescent="0.35">
      <c r="D171" s="1">
        <v>8.6854400000000001E-10</v>
      </c>
      <c r="E171">
        <v>0</v>
      </c>
      <c r="F171">
        <v>0</v>
      </c>
      <c r="G171">
        <v>0</v>
      </c>
      <c r="I171" s="1">
        <v>8.6854400000000001E-10</v>
      </c>
      <c r="J171">
        <f t="shared" si="67"/>
        <v>0</v>
      </c>
      <c r="K171">
        <v>0</v>
      </c>
      <c r="L171">
        <v>0</v>
      </c>
      <c r="N171" s="1">
        <v>8.6854400000000001E-10</v>
      </c>
      <c r="O171">
        <f t="shared" si="68"/>
        <v>0</v>
      </c>
      <c r="Q171" s="1">
        <v>8.6854400000000001E-10</v>
      </c>
      <c r="R171">
        <f t="shared" si="69"/>
        <v>0</v>
      </c>
      <c r="CH171" s="1">
        <v>8.0401400000000003E-10</v>
      </c>
      <c r="CI171">
        <v>0</v>
      </c>
      <c r="CJ171">
        <f t="shared" si="70"/>
        <v>0</v>
      </c>
      <c r="CL171" s="1">
        <v>8.0401400000000003E-10</v>
      </c>
      <c r="CM171">
        <v>0</v>
      </c>
      <c r="CN171">
        <f t="shared" si="71"/>
        <v>0</v>
      </c>
    </row>
    <row r="172" spans="4:92" x14ac:dyDescent="0.35">
      <c r="D172" s="1">
        <v>8.7979100000000003E-10</v>
      </c>
      <c r="E172">
        <v>0</v>
      </c>
      <c r="F172">
        <v>0</v>
      </c>
      <c r="G172">
        <v>0</v>
      </c>
      <c r="I172" s="1">
        <v>8.7979100000000003E-10</v>
      </c>
      <c r="J172">
        <f t="shared" si="67"/>
        <v>0</v>
      </c>
      <c r="K172">
        <v>0</v>
      </c>
      <c r="L172">
        <v>0</v>
      </c>
      <c r="N172" s="1">
        <v>8.7979100000000003E-10</v>
      </c>
      <c r="O172">
        <f t="shared" si="68"/>
        <v>0</v>
      </c>
      <c r="Q172" s="1">
        <v>8.7979100000000003E-10</v>
      </c>
      <c r="R172">
        <f t="shared" si="69"/>
        <v>0</v>
      </c>
      <c r="CH172" s="1">
        <v>8.1442600000000002E-10</v>
      </c>
      <c r="CI172">
        <v>0</v>
      </c>
      <c r="CJ172">
        <f t="shared" si="70"/>
        <v>0</v>
      </c>
      <c r="CL172" s="1">
        <v>8.1442600000000002E-10</v>
      </c>
      <c r="CM172">
        <v>0</v>
      </c>
      <c r="CN172">
        <f t="shared" si="71"/>
        <v>0</v>
      </c>
    </row>
    <row r="173" spans="4:92" x14ac:dyDescent="0.35">
      <c r="D173" s="1">
        <v>8.9118499999999996E-10</v>
      </c>
      <c r="E173">
        <v>0</v>
      </c>
      <c r="F173">
        <v>0</v>
      </c>
      <c r="G173">
        <v>0</v>
      </c>
      <c r="I173" s="1">
        <v>8.9118499999999996E-10</v>
      </c>
      <c r="J173">
        <f t="shared" si="67"/>
        <v>0</v>
      </c>
      <c r="K173">
        <v>0</v>
      </c>
      <c r="L173">
        <v>0</v>
      </c>
      <c r="N173" s="1">
        <v>8.9118499999999996E-10</v>
      </c>
      <c r="O173">
        <f t="shared" si="68"/>
        <v>0</v>
      </c>
      <c r="Q173" s="1">
        <v>8.9118499999999996E-10</v>
      </c>
      <c r="R173">
        <f t="shared" si="69"/>
        <v>0</v>
      </c>
      <c r="CH173" s="1">
        <v>8.2497300000000002E-10</v>
      </c>
      <c r="CI173">
        <v>0</v>
      </c>
      <c r="CJ173">
        <f t="shared" si="70"/>
        <v>0</v>
      </c>
      <c r="CL173" s="1">
        <v>8.2497300000000002E-10</v>
      </c>
      <c r="CM173">
        <v>0</v>
      </c>
      <c r="CN173">
        <f t="shared" si="71"/>
        <v>0</v>
      </c>
    </row>
    <row r="174" spans="4:92" x14ac:dyDescent="0.35">
      <c r="D174" s="1">
        <v>9.0272600000000001E-10</v>
      </c>
      <c r="E174">
        <v>0</v>
      </c>
      <c r="F174">
        <v>0</v>
      </c>
      <c r="G174">
        <v>0</v>
      </c>
      <c r="I174" s="1">
        <v>9.0272600000000001E-10</v>
      </c>
      <c r="J174">
        <f t="shared" si="67"/>
        <v>0</v>
      </c>
      <c r="K174">
        <v>0</v>
      </c>
      <c r="L174">
        <v>0</v>
      </c>
      <c r="N174" s="1">
        <v>9.0272600000000001E-10</v>
      </c>
      <c r="O174">
        <f t="shared" si="68"/>
        <v>0</v>
      </c>
      <c r="Q174" s="1">
        <v>9.0272600000000001E-10</v>
      </c>
      <c r="R174">
        <f t="shared" si="69"/>
        <v>0</v>
      </c>
      <c r="CH174" s="1">
        <v>8.3565599999999995E-10</v>
      </c>
      <c r="CI174">
        <v>0</v>
      </c>
      <c r="CJ174">
        <f t="shared" si="70"/>
        <v>0</v>
      </c>
      <c r="CL174" s="1">
        <v>8.3565599999999995E-10</v>
      </c>
      <c r="CM174">
        <v>0</v>
      </c>
      <c r="CN174">
        <f t="shared" si="71"/>
        <v>0</v>
      </c>
    </row>
    <row r="175" spans="4:92" x14ac:dyDescent="0.35">
      <c r="D175" s="1">
        <v>9.14416E-10</v>
      </c>
      <c r="E175">
        <v>0</v>
      </c>
      <c r="F175">
        <v>0</v>
      </c>
      <c r="G175">
        <v>0</v>
      </c>
      <c r="I175" s="1">
        <v>9.14416E-10</v>
      </c>
      <c r="J175">
        <f t="shared" si="67"/>
        <v>0</v>
      </c>
      <c r="K175">
        <v>0</v>
      </c>
      <c r="L175">
        <v>0</v>
      </c>
      <c r="N175" s="1">
        <v>9.14416E-10</v>
      </c>
      <c r="O175">
        <f t="shared" si="68"/>
        <v>0</v>
      </c>
      <c r="Q175" s="1">
        <v>9.14416E-10</v>
      </c>
      <c r="R175">
        <f t="shared" si="69"/>
        <v>0</v>
      </c>
      <c r="CH175" s="1">
        <v>8.4647800000000004E-10</v>
      </c>
      <c r="CI175">
        <v>0</v>
      </c>
      <c r="CJ175">
        <f t="shared" si="70"/>
        <v>0</v>
      </c>
      <c r="CL175" s="1">
        <v>8.4647800000000004E-10</v>
      </c>
      <c r="CM175">
        <v>0</v>
      </c>
      <c r="CN175">
        <f t="shared" si="71"/>
        <v>0</v>
      </c>
    </row>
    <row r="176" spans="4:92" x14ac:dyDescent="0.35">
      <c r="D176" s="1">
        <v>9.2625800000000005E-10</v>
      </c>
      <c r="E176">
        <v>0</v>
      </c>
      <c r="F176">
        <v>0</v>
      </c>
      <c r="G176">
        <v>0</v>
      </c>
      <c r="I176" s="1">
        <v>9.2625800000000005E-10</v>
      </c>
      <c r="J176">
        <f t="shared" si="67"/>
        <v>0</v>
      </c>
      <c r="K176">
        <v>0</v>
      </c>
      <c r="L176">
        <v>0</v>
      </c>
      <c r="N176" s="1">
        <v>9.2625800000000005E-10</v>
      </c>
      <c r="O176">
        <f t="shared" si="68"/>
        <v>0</v>
      </c>
      <c r="Q176" s="1">
        <v>9.2625800000000005E-10</v>
      </c>
      <c r="R176">
        <f t="shared" si="69"/>
        <v>0</v>
      </c>
      <c r="CH176" s="1">
        <v>8.5743999999999999E-10</v>
      </c>
      <c r="CI176">
        <v>0</v>
      </c>
      <c r="CJ176">
        <f t="shared" si="70"/>
        <v>0</v>
      </c>
      <c r="CL176" s="1">
        <v>8.5743999999999999E-10</v>
      </c>
      <c r="CM176">
        <v>0</v>
      </c>
      <c r="CN176">
        <f t="shared" si="71"/>
        <v>0</v>
      </c>
    </row>
    <row r="177" spans="4:92" x14ac:dyDescent="0.35">
      <c r="D177" s="1">
        <v>9.3825300000000007E-10</v>
      </c>
      <c r="E177">
        <v>0</v>
      </c>
      <c r="F177">
        <v>0</v>
      </c>
      <c r="G177">
        <v>0</v>
      </c>
      <c r="I177" s="1">
        <v>9.3825300000000007E-10</v>
      </c>
      <c r="J177">
        <f t="shared" si="67"/>
        <v>0</v>
      </c>
      <c r="K177">
        <v>0</v>
      </c>
      <c r="L177">
        <v>0</v>
      </c>
      <c r="N177" s="1">
        <v>9.3825300000000007E-10</v>
      </c>
      <c r="O177">
        <f t="shared" si="68"/>
        <v>0</v>
      </c>
      <c r="Q177" s="1">
        <v>9.3825300000000007E-10</v>
      </c>
      <c r="R177">
        <f t="shared" si="69"/>
        <v>0</v>
      </c>
      <c r="CH177" s="1">
        <v>8.6854400000000001E-10</v>
      </c>
      <c r="CI177">
        <v>0</v>
      </c>
      <c r="CJ177">
        <f t="shared" si="70"/>
        <v>0</v>
      </c>
      <c r="CL177" s="1">
        <v>8.6854400000000001E-10</v>
      </c>
      <c r="CM177">
        <v>0</v>
      </c>
      <c r="CN177">
        <f t="shared" si="71"/>
        <v>0</v>
      </c>
    </row>
    <row r="178" spans="4:92" x14ac:dyDescent="0.35">
      <c r="D178" s="1">
        <v>9.5040300000000007E-10</v>
      </c>
      <c r="E178">
        <v>0</v>
      </c>
      <c r="F178">
        <v>0</v>
      </c>
      <c r="G178">
        <v>0</v>
      </c>
      <c r="I178" s="1">
        <v>9.5040300000000007E-10</v>
      </c>
      <c r="J178">
        <f t="shared" si="67"/>
        <v>0</v>
      </c>
      <c r="K178">
        <v>0</v>
      </c>
      <c r="L178">
        <v>0</v>
      </c>
      <c r="N178" s="1">
        <v>9.5040300000000007E-10</v>
      </c>
      <c r="O178">
        <f t="shared" si="68"/>
        <v>0</v>
      </c>
      <c r="Q178" s="1">
        <v>9.5040300000000007E-10</v>
      </c>
      <c r="R178">
        <f t="shared" si="69"/>
        <v>0</v>
      </c>
      <c r="CH178" s="1">
        <v>8.7979100000000003E-10</v>
      </c>
      <c r="CI178">
        <v>0</v>
      </c>
      <c r="CJ178">
        <f t="shared" si="70"/>
        <v>0</v>
      </c>
      <c r="CL178" s="1">
        <v>8.7979100000000003E-10</v>
      </c>
      <c r="CM178">
        <v>0</v>
      </c>
      <c r="CN178">
        <f t="shared" si="71"/>
        <v>0</v>
      </c>
    </row>
    <row r="179" spans="4:92" x14ac:dyDescent="0.35">
      <c r="D179" s="1">
        <v>9.6271099999999999E-10</v>
      </c>
      <c r="E179">
        <v>0</v>
      </c>
      <c r="F179">
        <v>0</v>
      </c>
      <c r="G179">
        <v>0</v>
      </c>
      <c r="I179" s="1">
        <v>9.6271099999999999E-10</v>
      </c>
      <c r="J179">
        <f t="shared" si="67"/>
        <v>0</v>
      </c>
      <c r="K179">
        <v>0</v>
      </c>
      <c r="L179">
        <v>0</v>
      </c>
      <c r="N179" s="1">
        <v>9.6271099999999999E-10</v>
      </c>
      <c r="O179">
        <f t="shared" si="68"/>
        <v>0</v>
      </c>
      <c r="Q179" s="1">
        <v>9.6271099999999999E-10</v>
      </c>
      <c r="R179">
        <f t="shared" si="69"/>
        <v>0</v>
      </c>
      <c r="CH179" s="1">
        <v>8.9118499999999996E-10</v>
      </c>
      <c r="CI179">
        <v>0</v>
      </c>
      <c r="CJ179">
        <f t="shared" si="70"/>
        <v>0</v>
      </c>
      <c r="CL179" s="1">
        <v>8.9118499999999996E-10</v>
      </c>
      <c r="CM179">
        <v>0</v>
      </c>
      <c r="CN179">
        <f t="shared" si="71"/>
        <v>0</v>
      </c>
    </row>
    <row r="180" spans="4:92" x14ac:dyDescent="0.35">
      <c r="D180" s="1">
        <v>9.7517799999999992E-10</v>
      </c>
      <c r="E180">
        <v>0</v>
      </c>
      <c r="F180">
        <v>0</v>
      </c>
      <c r="G180">
        <v>0</v>
      </c>
      <c r="I180" s="1">
        <v>9.7517799999999992E-10</v>
      </c>
      <c r="J180">
        <f t="shared" si="67"/>
        <v>0</v>
      </c>
      <c r="K180">
        <v>0</v>
      </c>
      <c r="L180">
        <v>0</v>
      </c>
      <c r="N180" s="1">
        <v>9.7517799999999992E-10</v>
      </c>
      <c r="O180">
        <f t="shared" si="68"/>
        <v>0</v>
      </c>
      <c r="Q180" s="1">
        <v>9.7517799999999992E-10</v>
      </c>
      <c r="R180">
        <f t="shared" si="69"/>
        <v>0</v>
      </c>
      <c r="CH180" s="1">
        <v>9.0272600000000001E-10</v>
      </c>
      <c r="CI180">
        <v>0</v>
      </c>
      <c r="CJ180">
        <f t="shared" si="70"/>
        <v>0</v>
      </c>
      <c r="CL180" s="1">
        <v>9.0272600000000001E-10</v>
      </c>
      <c r="CM180">
        <v>0</v>
      </c>
      <c r="CN180">
        <f t="shared" si="71"/>
        <v>0</v>
      </c>
    </row>
    <row r="181" spans="4:92" x14ac:dyDescent="0.35">
      <c r="D181" s="1">
        <v>9.87807E-10</v>
      </c>
      <c r="E181">
        <v>1.96235</v>
      </c>
      <c r="F181">
        <v>0</v>
      </c>
      <c r="G181">
        <v>0.36326900000000001</v>
      </c>
      <c r="I181" s="1">
        <v>9.87807E-10</v>
      </c>
      <c r="J181">
        <f t="shared" si="67"/>
        <v>3.4828667590758302E-3</v>
      </c>
      <c r="K181">
        <v>0</v>
      </c>
      <c r="L181">
        <v>1.1943096782369989E-3</v>
      </c>
      <c r="N181" s="1">
        <v>9.87807E-10</v>
      </c>
      <c r="O181">
        <f t="shared" si="68"/>
        <v>0</v>
      </c>
      <c r="Q181" s="1">
        <v>9.87807E-10</v>
      </c>
      <c r="R181">
        <f t="shared" si="69"/>
        <v>1.1943096782369989E-3</v>
      </c>
      <c r="CH181" s="1">
        <v>9.14416E-10</v>
      </c>
      <c r="CI181">
        <v>0</v>
      </c>
      <c r="CJ181">
        <f t="shared" si="70"/>
        <v>0</v>
      </c>
      <c r="CL181" s="1">
        <v>9.14416E-10</v>
      </c>
      <c r="CM181">
        <v>0</v>
      </c>
      <c r="CN181">
        <f t="shared" si="71"/>
        <v>0</v>
      </c>
    </row>
    <row r="182" spans="4:92" x14ac:dyDescent="0.35">
      <c r="D182" s="1">
        <v>1.0006E-9</v>
      </c>
      <c r="E182">
        <v>3.7348300000000001E-2</v>
      </c>
      <c r="F182">
        <v>0</v>
      </c>
      <c r="G182">
        <v>8.5502900000000003E-3</v>
      </c>
      <c r="I182" s="1">
        <v>1.0006E-9</v>
      </c>
      <c r="J182">
        <f t="shared" si="67"/>
        <v>6.6287437296094908E-5</v>
      </c>
      <c r="K182">
        <v>0</v>
      </c>
      <c r="L182">
        <v>2.8110557462192009E-5</v>
      </c>
      <c r="N182" s="1">
        <v>1.0006E-9</v>
      </c>
      <c r="O182">
        <f t="shared" si="68"/>
        <v>0</v>
      </c>
      <c r="Q182" s="1">
        <v>1.0006E-9</v>
      </c>
      <c r="R182">
        <f t="shared" si="69"/>
        <v>2.8110557462192009E-5</v>
      </c>
      <c r="CH182" s="1">
        <v>9.2625800000000005E-10</v>
      </c>
      <c r="CI182">
        <v>0</v>
      </c>
      <c r="CJ182">
        <f t="shared" si="70"/>
        <v>0</v>
      </c>
      <c r="CL182" s="1">
        <v>9.2625800000000005E-10</v>
      </c>
      <c r="CM182">
        <v>0</v>
      </c>
      <c r="CN182">
        <f t="shared" si="71"/>
        <v>0</v>
      </c>
    </row>
    <row r="183" spans="4:92" x14ac:dyDescent="0.35">
      <c r="D183" s="1">
        <v>1.01356E-9</v>
      </c>
      <c r="E183">
        <v>3.9386200000000003E-2</v>
      </c>
      <c r="F183">
        <v>0</v>
      </c>
      <c r="G183">
        <v>8.4800299999999995E-3</v>
      </c>
      <c r="I183" s="1">
        <v>1.01356E-9</v>
      </c>
      <c r="J183">
        <f t="shared" si="67"/>
        <v>6.9904393582343854E-5</v>
      </c>
      <c r="K183">
        <v>0</v>
      </c>
      <c r="L183">
        <v>2.7879565558140378E-5</v>
      </c>
      <c r="N183" s="1">
        <v>1.01356E-9</v>
      </c>
      <c r="O183">
        <f t="shared" si="68"/>
        <v>0</v>
      </c>
      <c r="Q183" s="1">
        <v>1.01356E-9</v>
      </c>
      <c r="R183">
        <f t="shared" si="69"/>
        <v>2.7879565558140378E-5</v>
      </c>
      <c r="CH183" s="1">
        <v>9.3825300000000007E-10</v>
      </c>
      <c r="CI183">
        <v>0</v>
      </c>
      <c r="CJ183">
        <f t="shared" si="70"/>
        <v>0</v>
      </c>
      <c r="CL183" s="1">
        <v>9.3825300000000007E-10</v>
      </c>
      <c r="CM183">
        <v>0</v>
      </c>
      <c r="CN183">
        <f t="shared" si="71"/>
        <v>0</v>
      </c>
    </row>
    <row r="184" spans="4:92" x14ac:dyDescent="0.35">
      <c r="D184" s="1">
        <v>1.02668E-9</v>
      </c>
      <c r="E184">
        <v>4.2998599999999998E-2</v>
      </c>
      <c r="F184">
        <v>0</v>
      </c>
      <c r="G184">
        <v>8.0588900000000008E-3</v>
      </c>
      <c r="I184" s="1">
        <v>1.02668E-9</v>
      </c>
      <c r="J184">
        <f t="shared" si="67"/>
        <v>7.6315843058984376E-5</v>
      </c>
      <c r="K184">
        <v>0</v>
      </c>
      <c r="L184">
        <v>2.649499495648505E-5</v>
      </c>
      <c r="N184" s="1">
        <v>1.02668E-9</v>
      </c>
      <c r="O184">
        <f t="shared" si="68"/>
        <v>0</v>
      </c>
      <c r="Q184" s="1">
        <v>1.02668E-9</v>
      </c>
      <c r="R184">
        <f t="shared" si="69"/>
        <v>2.649499495648505E-5</v>
      </c>
      <c r="CH184" s="1">
        <v>9.5040300000000007E-10</v>
      </c>
      <c r="CI184">
        <v>0</v>
      </c>
      <c r="CJ184">
        <f t="shared" si="70"/>
        <v>0</v>
      </c>
      <c r="CL184" s="1">
        <v>9.5040300000000007E-10</v>
      </c>
      <c r="CM184">
        <v>0</v>
      </c>
      <c r="CN184">
        <f t="shared" si="71"/>
        <v>0</v>
      </c>
    </row>
    <row r="185" spans="4:92" x14ac:dyDescent="0.35">
      <c r="D185" s="1">
        <v>1.03998E-9</v>
      </c>
      <c r="E185">
        <v>4.14478E-2</v>
      </c>
      <c r="F185">
        <v>0</v>
      </c>
      <c r="G185">
        <v>9.8565400000000004E-3</v>
      </c>
      <c r="I185" s="1">
        <v>1.03998E-9</v>
      </c>
      <c r="J185">
        <f t="shared" si="67"/>
        <v>7.3563413691147446E-5</v>
      </c>
      <c r="K185">
        <v>0</v>
      </c>
      <c r="L185">
        <v>3.2405080301182064E-5</v>
      </c>
      <c r="N185" s="1">
        <v>1.03998E-9</v>
      </c>
      <c r="O185">
        <f t="shared" si="68"/>
        <v>0</v>
      </c>
      <c r="Q185" s="1">
        <v>1.03998E-9</v>
      </c>
      <c r="R185">
        <f t="shared" si="69"/>
        <v>3.2405080301182064E-5</v>
      </c>
      <c r="CH185" s="1">
        <v>9.6271099999999999E-10</v>
      </c>
      <c r="CI185">
        <v>0</v>
      </c>
      <c r="CJ185">
        <f t="shared" si="70"/>
        <v>0</v>
      </c>
      <c r="CL185" s="1">
        <v>9.6271099999999999E-10</v>
      </c>
      <c r="CM185">
        <v>0</v>
      </c>
      <c r="CN185">
        <f t="shared" si="71"/>
        <v>0</v>
      </c>
    </row>
    <row r="186" spans="4:92" x14ac:dyDescent="0.35">
      <c r="D186" s="1">
        <v>1.0534499999999999E-9</v>
      </c>
      <c r="E186">
        <v>4.0947999999999998E-2</v>
      </c>
      <c r="F186">
        <v>0</v>
      </c>
      <c r="G186">
        <v>1.1022499999999999E-2</v>
      </c>
      <c r="I186" s="1">
        <v>1.0534499999999999E-9</v>
      </c>
      <c r="J186">
        <f t="shared" si="67"/>
        <v>7.2676346243349604E-5</v>
      </c>
      <c r="K186">
        <v>0</v>
      </c>
      <c r="L186">
        <v>3.6238375496855819E-5</v>
      </c>
      <c r="N186" s="1">
        <v>1.0534499999999999E-9</v>
      </c>
      <c r="O186">
        <f t="shared" si="68"/>
        <v>0</v>
      </c>
      <c r="Q186" s="1">
        <v>1.0534499999999999E-9</v>
      </c>
      <c r="R186">
        <f t="shared" si="69"/>
        <v>3.6238375496855819E-5</v>
      </c>
      <c r="CH186" s="1">
        <v>9.7517799999999992E-10</v>
      </c>
      <c r="CI186">
        <v>0</v>
      </c>
      <c r="CJ186">
        <f t="shared" si="70"/>
        <v>0</v>
      </c>
      <c r="CL186" s="1">
        <v>9.7517799999999992E-10</v>
      </c>
      <c r="CM186">
        <v>0</v>
      </c>
      <c r="CN186">
        <f t="shared" si="71"/>
        <v>0</v>
      </c>
    </row>
    <row r="187" spans="4:92" x14ac:dyDescent="0.35">
      <c r="D187" s="1">
        <v>1.0670900000000001E-9</v>
      </c>
      <c r="E187">
        <v>4.4061200000000002E-2</v>
      </c>
      <c r="F187">
        <v>0</v>
      </c>
      <c r="G187">
        <v>8.1864499999999996E-3</v>
      </c>
      <c r="I187" s="1">
        <v>1.0670900000000001E-9</v>
      </c>
      <c r="J187">
        <f t="shared" si="67"/>
        <v>7.8201793179092413E-5</v>
      </c>
      <c r="K187">
        <v>0</v>
      </c>
      <c r="L187">
        <v>2.6914370522679551E-5</v>
      </c>
      <c r="N187" s="1">
        <v>1.0670900000000001E-9</v>
      </c>
      <c r="O187">
        <f t="shared" si="68"/>
        <v>0</v>
      </c>
      <c r="Q187" s="1">
        <v>1.0670900000000001E-9</v>
      </c>
      <c r="R187">
        <f t="shared" si="69"/>
        <v>2.6914370522679551E-5</v>
      </c>
      <c r="CH187" s="1">
        <v>9.87807E-10</v>
      </c>
      <c r="CI187">
        <v>6.3515799999999997E-2</v>
      </c>
      <c r="CJ187">
        <f t="shared" si="70"/>
        <v>4.9363847767771523</v>
      </c>
      <c r="CL187" s="1">
        <v>9.87807E-10</v>
      </c>
      <c r="CM187">
        <v>1</v>
      </c>
      <c r="CN187">
        <f t="shared" si="71"/>
        <v>77.7190049842268</v>
      </c>
    </row>
    <row r="188" spans="4:92" x14ac:dyDescent="0.35">
      <c r="D188" s="1">
        <v>1.0809099999999999E-9</v>
      </c>
      <c r="E188">
        <v>5.0709900000000002E-2</v>
      </c>
      <c r="F188">
        <v>0</v>
      </c>
      <c r="G188">
        <v>8.2121E-3</v>
      </c>
      <c r="I188" s="1">
        <v>1.0809099999999999E-9</v>
      </c>
      <c r="J188">
        <f t="shared" si="67"/>
        <v>9.0002204023777321E-5</v>
      </c>
      <c r="K188">
        <v>0</v>
      </c>
      <c r="L188">
        <v>2.699869933479063E-5</v>
      </c>
      <c r="N188" s="1">
        <v>1.0809099999999999E-9</v>
      </c>
      <c r="O188">
        <f t="shared" si="68"/>
        <v>0</v>
      </c>
      <c r="Q188" s="1">
        <v>1.0809099999999999E-9</v>
      </c>
      <c r="R188">
        <f t="shared" si="69"/>
        <v>2.699869933479063E-5</v>
      </c>
      <c r="CH188" s="1">
        <v>1.0006E-9</v>
      </c>
      <c r="CI188" s="1">
        <v>4.1742200000000002E-5</v>
      </c>
      <c r="CJ188">
        <f t="shared" si="70"/>
        <v>3.2441622498525923E-3</v>
      </c>
      <c r="CL188" s="1">
        <v>1.0006E-9</v>
      </c>
      <c r="CM188">
        <v>0</v>
      </c>
      <c r="CN188">
        <f t="shared" si="71"/>
        <v>0</v>
      </c>
    </row>
    <row r="189" spans="4:92" x14ac:dyDescent="0.35">
      <c r="D189" s="1">
        <v>1.0949100000000001E-9</v>
      </c>
      <c r="E189">
        <v>4.8012899999999997E-2</v>
      </c>
      <c r="F189">
        <v>0</v>
      </c>
      <c r="G189">
        <v>1.05775E-2</v>
      </c>
      <c r="I189" s="1">
        <v>1.0949100000000001E-9</v>
      </c>
      <c r="J189">
        <f t="shared" si="67"/>
        <v>8.5215447507749339E-5</v>
      </c>
      <c r="K189">
        <v>0</v>
      </c>
      <c r="L189">
        <v>3.4775361017735764E-5</v>
      </c>
      <c r="N189" s="1">
        <v>1.0949100000000001E-9</v>
      </c>
      <c r="O189">
        <f t="shared" si="68"/>
        <v>0</v>
      </c>
      <c r="Q189" s="1">
        <v>1.0949100000000001E-9</v>
      </c>
      <c r="R189">
        <f t="shared" si="69"/>
        <v>3.4775361017735764E-5</v>
      </c>
      <c r="CH189" s="1">
        <v>1.01356E-9</v>
      </c>
      <c r="CI189">
        <v>0</v>
      </c>
      <c r="CJ189">
        <f t="shared" si="70"/>
        <v>0</v>
      </c>
      <c r="CL189" s="1">
        <v>1.01356E-9</v>
      </c>
      <c r="CM189">
        <v>0</v>
      </c>
      <c r="CN189">
        <f t="shared" si="71"/>
        <v>0</v>
      </c>
    </row>
    <row r="190" spans="4:92" x14ac:dyDescent="0.35">
      <c r="D190" s="1">
        <v>1.1090800000000001E-9</v>
      </c>
      <c r="E190">
        <v>4.9109399999999997E-2</v>
      </c>
      <c r="F190">
        <v>0</v>
      </c>
      <c r="G190">
        <v>8.9045200000000008E-3</v>
      </c>
      <c r="I190" s="1">
        <v>1.1090800000000001E-9</v>
      </c>
      <c r="J190">
        <f t="shared" si="67"/>
        <v>8.7161564867713993E-5</v>
      </c>
      <c r="K190">
        <v>0</v>
      </c>
      <c r="L190">
        <v>2.9275149864301443E-5</v>
      </c>
      <c r="N190" s="1">
        <v>1.1090800000000001E-9</v>
      </c>
      <c r="O190">
        <f t="shared" si="68"/>
        <v>0</v>
      </c>
      <c r="Q190" s="1">
        <v>1.1090800000000001E-9</v>
      </c>
      <c r="R190">
        <f t="shared" si="69"/>
        <v>2.9275149864301443E-5</v>
      </c>
      <c r="CH190" s="1">
        <v>1.02668E-9</v>
      </c>
      <c r="CI190">
        <v>1.6593900000000002E-2</v>
      </c>
      <c r="CJ190">
        <f t="shared" si="70"/>
        <v>1.2896613968077613</v>
      </c>
      <c r="CL190" s="1">
        <v>1.02668E-9</v>
      </c>
      <c r="CM190">
        <v>0</v>
      </c>
      <c r="CN190">
        <f t="shared" si="71"/>
        <v>0</v>
      </c>
    </row>
    <row r="191" spans="4:92" x14ac:dyDescent="0.35">
      <c r="D191" s="1">
        <v>1.1234500000000001E-9</v>
      </c>
      <c r="E191">
        <v>4.44132E-2</v>
      </c>
      <c r="F191">
        <v>0</v>
      </c>
      <c r="G191">
        <v>1.07156E-2</v>
      </c>
      <c r="I191" s="1">
        <v>1.1234500000000001E-9</v>
      </c>
      <c r="J191">
        <f t="shared" si="67"/>
        <v>7.8826538560494643E-5</v>
      </c>
      <c r="K191">
        <v>0</v>
      </c>
      <c r="L191">
        <v>3.5229388657210999E-5</v>
      </c>
      <c r="N191" s="1">
        <v>1.1234500000000001E-9</v>
      </c>
      <c r="O191">
        <f t="shared" si="68"/>
        <v>0</v>
      </c>
      <c r="Q191" s="1">
        <v>1.1234500000000001E-9</v>
      </c>
      <c r="R191">
        <f t="shared" si="69"/>
        <v>3.5229388657210999E-5</v>
      </c>
      <c r="CH191" s="1">
        <v>1.03998E-9</v>
      </c>
      <c r="CI191">
        <v>0</v>
      </c>
      <c r="CJ191">
        <f t="shared" si="70"/>
        <v>0</v>
      </c>
      <c r="CL191" s="1">
        <v>1.03998E-9</v>
      </c>
      <c r="CM191">
        <v>0</v>
      </c>
      <c r="CN191">
        <f t="shared" si="71"/>
        <v>0</v>
      </c>
    </row>
    <row r="192" spans="4:92" x14ac:dyDescent="0.35">
      <c r="D192" s="1">
        <v>1.138E-9</v>
      </c>
      <c r="E192">
        <v>5.3087500000000003E-2</v>
      </c>
      <c r="F192">
        <v>0</v>
      </c>
      <c r="G192">
        <v>1.03143E-2</v>
      </c>
      <c r="I192" s="1">
        <v>1.138E-9</v>
      </c>
      <c r="J192">
        <f t="shared" si="67"/>
        <v>9.4222075099976131E-5</v>
      </c>
      <c r="K192">
        <v>0</v>
      </c>
      <c r="L192">
        <v>3.3910045487613519E-5</v>
      </c>
      <c r="N192" s="1">
        <v>1.138E-9</v>
      </c>
      <c r="O192">
        <f t="shared" si="68"/>
        <v>0</v>
      </c>
      <c r="Q192" s="1">
        <v>1.138E-9</v>
      </c>
      <c r="R192">
        <f t="shared" si="69"/>
        <v>3.3910045487613519E-5</v>
      </c>
      <c r="CH192" s="1">
        <v>1.0534499999999999E-9</v>
      </c>
      <c r="CI192">
        <v>0</v>
      </c>
      <c r="CJ192">
        <f t="shared" si="70"/>
        <v>0</v>
      </c>
      <c r="CL192" s="1">
        <v>1.0534499999999999E-9</v>
      </c>
      <c r="CM192">
        <v>0</v>
      </c>
      <c r="CN192">
        <f t="shared" si="71"/>
        <v>0</v>
      </c>
    </row>
    <row r="193" spans="4:92" x14ac:dyDescent="0.35">
      <c r="D193" s="1">
        <v>1.15273E-9</v>
      </c>
      <c r="E193">
        <v>6.6163E-2</v>
      </c>
      <c r="F193">
        <v>0</v>
      </c>
      <c r="G193">
        <v>8.4148599999999997E-3</v>
      </c>
      <c r="I193" s="1">
        <v>1.15273E-9</v>
      </c>
      <c r="J193">
        <f t="shared" si="67"/>
        <v>1.1742905872078587E-4</v>
      </c>
      <c r="K193">
        <v>0</v>
      </c>
      <c r="L193">
        <v>2.7665307909591491E-5</v>
      </c>
      <c r="N193" s="1">
        <v>1.15273E-9</v>
      </c>
      <c r="O193">
        <f t="shared" si="68"/>
        <v>0</v>
      </c>
      <c r="Q193" s="1">
        <v>1.15273E-9</v>
      </c>
      <c r="R193">
        <f t="shared" si="69"/>
        <v>2.7665307909591491E-5</v>
      </c>
      <c r="CH193" s="1">
        <v>1.0670900000000001E-9</v>
      </c>
      <c r="CI193">
        <v>9.0466000000000001E-3</v>
      </c>
      <c r="CJ193">
        <f t="shared" si="70"/>
        <v>0.70309275049030617</v>
      </c>
      <c r="CL193" s="1">
        <v>1.0670900000000001E-9</v>
      </c>
      <c r="CM193">
        <v>0</v>
      </c>
      <c r="CN193">
        <f t="shared" si="71"/>
        <v>0</v>
      </c>
    </row>
    <row r="194" spans="4:92" x14ac:dyDescent="0.35">
      <c r="D194" s="1">
        <v>1.1676600000000001E-9</v>
      </c>
      <c r="E194">
        <v>5.9179099999999998E-2</v>
      </c>
      <c r="F194">
        <v>0</v>
      </c>
      <c r="G194">
        <v>1.27911E-2</v>
      </c>
      <c r="I194" s="1">
        <v>1.1676600000000001E-9</v>
      </c>
      <c r="J194">
        <f t="shared" si="67"/>
        <v>1.0503371988790197E-4</v>
      </c>
      <c r="K194">
        <v>0</v>
      </c>
      <c r="L194">
        <v>4.2052953941286684E-5</v>
      </c>
      <c r="N194" s="1">
        <v>1.1676600000000001E-9</v>
      </c>
      <c r="O194">
        <f t="shared" si="68"/>
        <v>0</v>
      </c>
      <c r="Q194" s="1">
        <v>1.1676600000000001E-9</v>
      </c>
      <c r="R194">
        <f t="shared" si="69"/>
        <v>4.2052953941286684E-5</v>
      </c>
      <c r="CH194" s="1">
        <v>1.0809099999999999E-9</v>
      </c>
      <c r="CI194">
        <v>3.5881300000000001E-3</v>
      </c>
      <c r="CJ194">
        <f t="shared" si="70"/>
        <v>0.27886589335405371</v>
      </c>
      <c r="CL194" s="1">
        <v>1.0809099999999999E-9</v>
      </c>
      <c r="CM194">
        <v>0</v>
      </c>
      <c r="CN194">
        <f t="shared" si="71"/>
        <v>0</v>
      </c>
    </row>
    <row r="195" spans="4:92" x14ac:dyDescent="0.35">
      <c r="D195" s="1">
        <v>1.1827799999999999E-9</v>
      </c>
      <c r="E195">
        <v>4.7607299999999998E-2</v>
      </c>
      <c r="F195">
        <v>0</v>
      </c>
      <c r="G195">
        <v>6.1790500000000002E-3</v>
      </c>
      <c r="I195" s="1">
        <v>1.1827799999999999E-9</v>
      </c>
      <c r="J195">
        <f t="shared" si="67"/>
        <v>8.4495570443269942E-5</v>
      </c>
      <c r="K195">
        <v>0</v>
      </c>
      <c r="L195">
        <v>2.0314695769004035E-5</v>
      </c>
      <c r="N195" s="1">
        <v>1.1827799999999999E-9</v>
      </c>
      <c r="O195">
        <f t="shared" si="68"/>
        <v>0</v>
      </c>
      <c r="Q195" s="1">
        <v>1.1827799999999999E-9</v>
      </c>
      <c r="R195">
        <f t="shared" si="69"/>
        <v>2.0314695769004035E-5</v>
      </c>
      <c r="CH195" s="1">
        <v>1.0949100000000001E-9</v>
      </c>
      <c r="CI195">
        <v>0</v>
      </c>
      <c r="CJ195">
        <f t="shared" si="70"/>
        <v>0</v>
      </c>
      <c r="CL195" s="1">
        <v>1.0949100000000001E-9</v>
      </c>
      <c r="CM195">
        <v>0</v>
      </c>
      <c r="CN195">
        <f t="shared" si="71"/>
        <v>0</v>
      </c>
    </row>
    <row r="196" spans="4:92" x14ac:dyDescent="0.35">
      <c r="D196" s="1">
        <v>1.1981E-9</v>
      </c>
      <c r="E196">
        <v>5.1507900000000002E-2</v>
      </c>
      <c r="F196">
        <v>0</v>
      </c>
      <c r="G196">
        <v>1.21148E-2</v>
      </c>
      <c r="I196" s="1">
        <v>1.1981E-9</v>
      </c>
      <c r="J196">
        <f t="shared" ref="J196:J259" si="72">E196/SUM($E$3:$E$2002)/$C$3</f>
        <v>9.1418530200933557E-5</v>
      </c>
      <c r="K196">
        <v>0</v>
      </c>
      <c r="L196">
        <v>3.9829500700322879E-5</v>
      </c>
      <c r="N196" s="1">
        <v>1.1981E-9</v>
      </c>
      <c r="O196">
        <f t="shared" ref="O196:O259" si="73">F196/SUM($F$3:$F$2002)/$C$3</f>
        <v>0</v>
      </c>
      <c r="Q196" s="1">
        <v>1.1981E-9</v>
      </c>
      <c r="R196">
        <f t="shared" ref="R196:R259" si="74">G196/SUM($G$3:$G$2002)/$C$3</f>
        <v>3.9829500700322879E-5</v>
      </c>
      <c r="CH196" s="1">
        <v>1.1090800000000001E-9</v>
      </c>
      <c r="CI196" s="1">
        <v>4.4304800000000003E-5</v>
      </c>
      <c r="CJ196">
        <f t="shared" si="70"/>
        <v>3.4433249720251719E-3</v>
      </c>
      <c r="CL196" s="1">
        <v>1.1090800000000001E-9</v>
      </c>
      <c r="CM196">
        <v>0</v>
      </c>
      <c r="CN196">
        <f t="shared" si="71"/>
        <v>0</v>
      </c>
    </row>
    <row r="197" spans="4:92" x14ac:dyDescent="0.35">
      <c r="D197" s="1">
        <v>1.2136099999999999E-9</v>
      </c>
      <c r="E197">
        <v>4.6250199999999998E-2</v>
      </c>
      <c r="F197">
        <v>0</v>
      </c>
      <c r="G197">
        <v>1.1748400000000001E-2</v>
      </c>
      <c r="I197" s="1">
        <v>1.2136099999999999E-9</v>
      </c>
      <c r="J197">
        <f t="shared" si="72"/>
        <v>8.208692851968761E-5</v>
      </c>
      <c r="K197">
        <v>0</v>
      </c>
      <c r="L197">
        <v>3.8624897317964258E-5</v>
      </c>
      <c r="N197" s="1">
        <v>1.2136099999999999E-9</v>
      </c>
      <c r="O197">
        <f t="shared" si="73"/>
        <v>0</v>
      </c>
      <c r="Q197" s="1">
        <v>1.2136099999999999E-9</v>
      </c>
      <c r="R197">
        <f t="shared" si="74"/>
        <v>3.8624897317964258E-5</v>
      </c>
      <c r="CH197" s="1">
        <v>1.1234500000000001E-9</v>
      </c>
      <c r="CI197">
        <v>5.92364E-3</v>
      </c>
      <c r="CJ197">
        <f t="shared" si="70"/>
        <v>0.46037940668476524</v>
      </c>
      <c r="CL197" s="1">
        <v>1.1234500000000001E-9</v>
      </c>
      <c r="CM197">
        <v>0</v>
      </c>
      <c r="CN197">
        <f t="shared" si="71"/>
        <v>0</v>
      </c>
    </row>
    <row r="198" spans="4:92" x14ac:dyDescent="0.35">
      <c r="D198" s="1">
        <v>1.2293299999999999E-9</v>
      </c>
      <c r="E198">
        <v>6.33436E-2</v>
      </c>
      <c r="F198">
        <v>0</v>
      </c>
      <c r="G198">
        <v>1.1158599999999999E-2</v>
      </c>
      <c r="I198" s="1">
        <v>1.2293299999999999E-9</v>
      </c>
      <c r="J198">
        <f t="shared" si="72"/>
        <v>1.1242506119713392E-4</v>
      </c>
      <c r="K198">
        <v>0</v>
      </c>
      <c r="L198">
        <v>3.6685827790357486E-5</v>
      </c>
      <c r="N198" s="1">
        <v>1.2293299999999999E-9</v>
      </c>
      <c r="O198">
        <f t="shared" si="73"/>
        <v>0</v>
      </c>
      <c r="Q198" s="1">
        <v>1.2293299999999999E-9</v>
      </c>
      <c r="R198">
        <f t="shared" si="74"/>
        <v>3.6685827790357486E-5</v>
      </c>
      <c r="CH198" s="1">
        <v>1.138E-9</v>
      </c>
      <c r="CI198">
        <v>0</v>
      </c>
      <c r="CJ198">
        <f t="shared" si="70"/>
        <v>0</v>
      </c>
      <c r="CL198" s="1">
        <v>1.138E-9</v>
      </c>
      <c r="CM198">
        <v>0</v>
      </c>
      <c r="CN198">
        <f t="shared" si="71"/>
        <v>0</v>
      </c>
    </row>
    <row r="199" spans="4:92" x14ac:dyDescent="0.35">
      <c r="D199" s="1">
        <v>1.24525E-9</v>
      </c>
      <c r="E199">
        <v>5.5638300000000002E-2</v>
      </c>
      <c r="F199">
        <v>0</v>
      </c>
      <c r="G199">
        <v>1.30811E-2</v>
      </c>
      <c r="I199" s="1">
        <v>1.24525E-9</v>
      </c>
      <c r="J199">
        <f t="shared" si="72"/>
        <v>9.874934930134215E-5</v>
      </c>
      <c r="K199">
        <v>0</v>
      </c>
      <c r="L199">
        <v>4.3006379107454814E-5</v>
      </c>
      <c r="N199" s="1">
        <v>1.24525E-9</v>
      </c>
      <c r="O199">
        <f t="shared" si="73"/>
        <v>0</v>
      </c>
      <c r="Q199" s="1">
        <v>1.24525E-9</v>
      </c>
      <c r="R199">
        <f t="shared" si="74"/>
        <v>4.3006379107454814E-5</v>
      </c>
      <c r="CH199" s="1">
        <v>1.15273E-9</v>
      </c>
      <c r="CI199">
        <v>3.58471E-2</v>
      </c>
      <c r="CJ199">
        <f t="shared" si="70"/>
        <v>2.7860009435700768</v>
      </c>
      <c r="CL199" s="1">
        <v>1.15273E-9</v>
      </c>
      <c r="CM199">
        <v>0</v>
      </c>
      <c r="CN199">
        <f t="shared" si="71"/>
        <v>0</v>
      </c>
    </row>
    <row r="200" spans="4:92" x14ac:dyDescent="0.35">
      <c r="D200" s="1">
        <v>1.26138E-9</v>
      </c>
      <c r="E200">
        <v>5.8473400000000002E-2</v>
      </c>
      <c r="F200">
        <v>0</v>
      </c>
      <c r="G200">
        <v>1.06567E-2</v>
      </c>
      <c r="I200" s="1">
        <v>1.26138E-9</v>
      </c>
      <c r="J200">
        <f t="shared" si="72"/>
        <v>1.0378121188888051E-4</v>
      </c>
      <c r="K200">
        <v>0</v>
      </c>
      <c r="L200">
        <v>3.5035744718289266E-5</v>
      </c>
      <c r="N200" s="1">
        <v>1.26138E-9</v>
      </c>
      <c r="O200">
        <f t="shared" si="73"/>
        <v>0</v>
      </c>
      <c r="Q200" s="1">
        <v>1.26138E-9</v>
      </c>
      <c r="R200">
        <f t="shared" si="74"/>
        <v>3.5035744718289266E-5</v>
      </c>
      <c r="CH200" s="1">
        <v>1.1676600000000001E-9</v>
      </c>
      <c r="CI200">
        <v>0</v>
      </c>
      <c r="CJ200">
        <f t="shared" si="70"/>
        <v>0</v>
      </c>
      <c r="CL200" s="1">
        <v>1.1676600000000001E-9</v>
      </c>
      <c r="CM200">
        <v>0</v>
      </c>
      <c r="CN200">
        <f t="shared" si="71"/>
        <v>0</v>
      </c>
    </row>
    <row r="201" spans="4:92" x14ac:dyDescent="0.35">
      <c r="D201" s="1">
        <v>1.2777099999999999E-9</v>
      </c>
      <c r="E201">
        <v>5.0782099999999997E-2</v>
      </c>
      <c r="F201">
        <v>0</v>
      </c>
      <c r="G201">
        <v>1.51734E-2</v>
      </c>
      <c r="I201" s="1">
        <v>1.2777099999999999E-9</v>
      </c>
      <c r="J201">
        <f t="shared" si="72"/>
        <v>9.0130347820758123E-5</v>
      </c>
      <c r="K201">
        <v>0</v>
      </c>
      <c r="L201">
        <v>4.9885177297708525E-5</v>
      </c>
      <c r="N201" s="1">
        <v>1.2777099999999999E-9</v>
      </c>
      <c r="O201">
        <f t="shared" si="73"/>
        <v>0</v>
      </c>
      <c r="Q201" s="1">
        <v>1.2777099999999999E-9</v>
      </c>
      <c r="R201">
        <f t="shared" si="74"/>
        <v>4.9885177297708525E-5</v>
      </c>
      <c r="CH201" s="1">
        <v>1.1827799999999999E-9</v>
      </c>
      <c r="CI201">
        <v>0</v>
      </c>
      <c r="CJ201">
        <f t="shared" si="70"/>
        <v>0</v>
      </c>
      <c r="CL201" s="1">
        <v>1.1827799999999999E-9</v>
      </c>
      <c r="CM201">
        <v>0</v>
      </c>
      <c r="CN201">
        <f t="shared" si="71"/>
        <v>0</v>
      </c>
    </row>
    <row r="202" spans="4:92" x14ac:dyDescent="0.35">
      <c r="D202" s="1">
        <v>1.29426E-9</v>
      </c>
      <c r="E202">
        <v>6.4131800000000003E-2</v>
      </c>
      <c r="F202">
        <v>0</v>
      </c>
      <c r="G202">
        <v>1.1343799999999999E-2</v>
      </c>
      <c r="I202" s="1">
        <v>1.29426E-9</v>
      </c>
      <c r="J202">
        <f t="shared" si="72"/>
        <v>1.1382399389492156E-4</v>
      </c>
      <c r="K202">
        <v>0</v>
      </c>
      <c r="L202">
        <v>3.7294704827510367E-5</v>
      </c>
      <c r="N202" s="1">
        <v>1.29426E-9</v>
      </c>
      <c r="O202">
        <f t="shared" si="73"/>
        <v>0</v>
      </c>
      <c r="Q202" s="1">
        <v>1.29426E-9</v>
      </c>
      <c r="R202">
        <f t="shared" si="74"/>
        <v>3.7294704827510367E-5</v>
      </c>
      <c r="CH202" s="1">
        <v>1.1981E-9</v>
      </c>
      <c r="CI202">
        <v>7.6424299999999995E-4</v>
      </c>
      <c r="CJ202">
        <f t="shared" ref="CJ202:CJ265" si="75">CI202/$CG$9</f>
        <v>5.9396205526160442E-2</v>
      </c>
      <c r="CL202" s="1">
        <v>1.1981E-9</v>
      </c>
      <c r="CM202">
        <v>0</v>
      </c>
      <c r="CN202">
        <f t="shared" ref="CN202:CN265" si="76">CM202/$CG$9</f>
        <v>0</v>
      </c>
    </row>
    <row r="203" spans="4:92" x14ac:dyDescent="0.35">
      <c r="D203" s="1">
        <v>1.3110200000000001E-9</v>
      </c>
      <c r="E203">
        <v>6.5905400000000003E-2</v>
      </c>
      <c r="F203">
        <v>0</v>
      </c>
      <c r="G203">
        <v>1.44741E-2</v>
      </c>
      <c r="I203" s="1">
        <v>1.3110200000000001E-9</v>
      </c>
      <c r="J203">
        <f t="shared" si="72"/>
        <v>1.1697185869166878E-4</v>
      </c>
      <c r="K203">
        <v>0</v>
      </c>
      <c r="L203">
        <v>4.7586107578048623E-5</v>
      </c>
      <c r="N203" s="1">
        <v>1.3110200000000001E-9</v>
      </c>
      <c r="O203">
        <f t="shared" si="73"/>
        <v>0</v>
      </c>
      <c r="Q203" s="1">
        <v>1.3110200000000001E-9</v>
      </c>
      <c r="R203">
        <f t="shared" si="74"/>
        <v>4.7586107578048623E-5</v>
      </c>
      <c r="CH203" s="1">
        <v>1.2136099999999999E-9</v>
      </c>
      <c r="CI203">
        <v>0</v>
      </c>
      <c r="CJ203">
        <f t="shared" si="75"/>
        <v>0</v>
      </c>
      <c r="CL203" s="1">
        <v>1.2136099999999999E-9</v>
      </c>
      <c r="CM203">
        <v>0</v>
      </c>
      <c r="CN203">
        <f t="shared" si="76"/>
        <v>0</v>
      </c>
    </row>
    <row r="204" spans="4:92" x14ac:dyDescent="0.35">
      <c r="D204" s="1">
        <v>1.328E-9</v>
      </c>
      <c r="E204">
        <v>6.1012200000000003E-2</v>
      </c>
      <c r="F204">
        <v>0</v>
      </c>
      <c r="G204">
        <v>1.0966500000000001E-2</v>
      </c>
      <c r="I204" s="1">
        <v>1.328E-9</v>
      </c>
      <c r="J204">
        <f t="shared" si="72"/>
        <v>1.0828718795224418E-4</v>
      </c>
      <c r="K204">
        <v>0</v>
      </c>
      <c r="L204">
        <v>3.6054265809595774E-5</v>
      </c>
      <c r="N204" s="1">
        <v>1.328E-9</v>
      </c>
      <c r="O204">
        <f t="shared" si="73"/>
        <v>0</v>
      </c>
      <c r="Q204" s="1">
        <v>1.328E-9</v>
      </c>
      <c r="R204">
        <f t="shared" si="74"/>
        <v>3.6054265809595774E-5</v>
      </c>
      <c r="CH204" s="1">
        <v>1.2293299999999999E-9</v>
      </c>
      <c r="CI204">
        <v>1.0202500000000001E-3</v>
      </c>
      <c r="CJ204">
        <f t="shared" si="75"/>
        <v>7.9292814835157405E-2</v>
      </c>
      <c r="CL204" s="1">
        <v>1.2293299999999999E-9</v>
      </c>
      <c r="CM204">
        <v>0</v>
      </c>
      <c r="CN204">
        <f t="shared" si="76"/>
        <v>0</v>
      </c>
    </row>
    <row r="205" spans="4:92" x14ac:dyDescent="0.35">
      <c r="D205" s="1">
        <v>1.34519E-9</v>
      </c>
      <c r="E205">
        <v>7.7982099999999999E-2</v>
      </c>
      <c r="F205">
        <v>0</v>
      </c>
      <c r="G205">
        <v>8.49981E-3</v>
      </c>
      <c r="I205" s="1">
        <v>1.34519E-9</v>
      </c>
      <c r="J205">
        <f t="shared" si="72"/>
        <v>1.3840612729274965E-4</v>
      </c>
      <c r="K205">
        <v>0</v>
      </c>
      <c r="L205">
        <v>2.7944595729819013E-5</v>
      </c>
      <c r="N205" s="1">
        <v>1.34519E-9</v>
      </c>
      <c r="O205">
        <f t="shared" si="73"/>
        <v>0</v>
      </c>
      <c r="Q205" s="1">
        <v>1.34519E-9</v>
      </c>
      <c r="R205">
        <f t="shared" si="74"/>
        <v>2.7944595729819013E-5</v>
      </c>
      <c r="CH205" s="1">
        <v>1.24525E-9</v>
      </c>
      <c r="CI205">
        <v>0</v>
      </c>
      <c r="CJ205">
        <f t="shared" si="75"/>
        <v>0</v>
      </c>
      <c r="CL205" s="1">
        <v>1.24525E-9</v>
      </c>
      <c r="CM205">
        <v>0</v>
      </c>
      <c r="CN205">
        <f t="shared" si="76"/>
        <v>0</v>
      </c>
    </row>
    <row r="206" spans="4:92" x14ac:dyDescent="0.35">
      <c r="D206" s="1">
        <v>1.36262E-9</v>
      </c>
      <c r="E206">
        <v>7.1021200000000007E-2</v>
      </c>
      <c r="F206">
        <v>0</v>
      </c>
      <c r="G206">
        <v>1.23307E-2</v>
      </c>
      <c r="I206" s="1">
        <v>1.36262E-9</v>
      </c>
      <c r="J206">
        <f t="shared" si="72"/>
        <v>1.2605160989103694E-4</v>
      </c>
      <c r="K206">
        <v>0</v>
      </c>
      <c r="L206">
        <v>4.0539309298170117E-5</v>
      </c>
      <c r="N206" s="1">
        <v>1.36262E-9</v>
      </c>
      <c r="O206">
        <f t="shared" si="73"/>
        <v>0</v>
      </c>
      <c r="Q206" s="1">
        <v>1.36262E-9</v>
      </c>
      <c r="R206">
        <f t="shared" si="74"/>
        <v>4.0539309298170117E-5</v>
      </c>
      <c r="CH206" s="1">
        <v>1.26138E-9</v>
      </c>
      <c r="CI206">
        <v>8.9774199999999998E-3</v>
      </c>
      <c r="CJ206">
        <f t="shared" si="75"/>
        <v>0.69771614972549734</v>
      </c>
      <c r="CL206" s="1">
        <v>1.26138E-9</v>
      </c>
      <c r="CM206">
        <v>0</v>
      </c>
      <c r="CN206">
        <f t="shared" si="76"/>
        <v>0</v>
      </c>
    </row>
    <row r="207" spans="4:92" x14ac:dyDescent="0.35">
      <c r="D207" s="1">
        <v>1.3802599999999999E-9</v>
      </c>
      <c r="E207">
        <v>6.8779199999999999E-2</v>
      </c>
      <c r="F207">
        <v>0</v>
      </c>
      <c r="G207">
        <v>1.18589E-2</v>
      </c>
      <c r="I207" s="1">
        <v>1.3802599999999999E-9</v>
      </c>
      <c r="J207">
        <f t="shared" si="72"/>
        <v>1.2207240777426469E-4</v>
      </c>
      <c r="K207">
        <v>0</v>
      </c>
      <c r="L207">
        <v>3.8988185183004178E-5</v>
      </c>
      <c r="N207" s="1">
        <v>1.3802599999999999E-9</v>
      </c>
      <c r="O207">
        <f t="shared" si="73"/>
        <v>0</v>
      </c>
      <c r="Q207" s="1">
        <v>1.3802599999999999E-9</v>
      </c>
      <c r="R207">
        <f t="shared" si="74"/>
        <v>3.8988185183004178E-5</v>
      </c>
      <c r="CH207" s="1">
        <v>1.2777099999999999E-9</v>
      </c>
      <c r="CI207">
        <v>3.7221400000000001E-3</v>
      </c>
      <c r="CJ207">
        <f t="shared" si="75"/>
        <v>0.28928101721198995</v>
      </c>
      <c r="CL207" s="1">
        <v>1.2777099999999999E-9</v>
      </c>
      <c r="CM207">
        <v>0</v>
      </c>
      <c r="CN207">
        <f t="shared" si="76"/>
        <v>0</v>
      </c>
    </row>
    <row r="208" spans="4:92" x14ac:dyDescent="0.35">
      <c r="D208" s="1">
        <v>1.3981400000000001E-9</v>
      </c>
      <c r="E208">
        <v>7.7090000000000006E-2</v>
      </c>
      <c r="F208">
        <v>0</v>
      </c>
      <c r="G208">
        <v>1.50533E-2</v>
      </c>
      <c r="I208" s="1">
        <v>1.3981400000000001E-9</v>
      </c>
      <c r="J208">
        <f t="shared" si="72"/>
        <v>1.3682278821675837E-4</v>
      </c>
      <c r="K208">
        <v>0</v>
      </c>
      <c r="L208">
        <v>4.949032777199544E-5</v>
      </c>
      <c r="N208" s="1">
        <v>1.3981400000000001E-9</v>
      </c>
      <c r="O208">
        <f t="shared" si="73"/>
        <v>0</v>
      </c>
      <c r="Q208" s="1">
        <v>1.3981400000000001E-9</v>
      </c>
      <c r="R208">
        <f t="shared" si="74"/>
        <v>4.949032777199544E-5</v>
      </c>
      <c r="CH208" s="1">
        <v>1.29426E-9</v>
      </c>
      <c r="CI208">
        <v>0</v>
      </c>
      <c r="CJ208">
        <f t="shared" si="75"/>
        <v>0</v>
      </c>
      <c r="CL208" s="1">
        <v>1.29426E-9</v>
      </c>
      <c r="CM208">
        <v>0</v>
      </c>
      <c r="CN208">
        <f t="shared" si="76"/>
        <v>0</v>
      </c>
    </row>
    <row r="209" spans="4:92" x14ac:dyDescent="0.35">
      <c r="D209" s="1">
        <v>1.4162400000000001E-9</v>
      </c>
      <c r="E209">
        <v>7.4699500000000002E-2</v>
      </c>
      <c r="F209">
        <v>0</v>
      </c>
      <c r="G209">
        <v>2.1154099999999999E-2</v>
      </c>
      <c r="I209" s="1">
        <v>1.4162400000000001E-9</v>
      </c>
      <c r="J209">
        <f t="shared" si="72"/>
        <v>1.3258002164220702E-4</v>
      </c>
      <c r="K209">
        <v>0</v>
      </c>
      <c r="L209">
        <v>6.9547763129783422E-5</v>
      </c>
      <c r="N209" s="1">
        <v>1.4162400000000001E-9</v>
      </c>
      <c r="O209">
        <f t="shared" si="73"/>
        <v>0</v>
      </c>
      <c r="Q209" s="1">
        <v>1.4162400000000001E-9</v>
      </c>
      <c r="R209">
        <f t="shared" si="74"/>
        <v>6.9547763129783422E-5</v>
      </c>
      <c r="CH209" s="1">
        <v>1.3110200000000001E-9</v>
      </c>
      <c r="CI209">
        <v>6.1022400000000001E-3</v>
      </c>
      <c r="CJ209">
        <f t="shared" si="75"/>
        <v>0.47426002097494818</v>
      </c>
      <c r="CL209" s="1">
        <v>1.3110200000000001E-9</v>
      </c>
      <c r="CM209">
        <v>0</v>
      </c>
      <c r="CN209">
        <f t="shared" si="76"/>
        <v>0</v>
      </c>
    </row>
    <row r="210" spans="4:92" x14ac:dyDescent="0.35">
      <c r="D210" s="1">
        <v>1.43458E-9</v>
      </c>
      <c r="E210">
        <v>7.2536400000000001E-2</v>
      </c>
      <c r="F210">
        <v>0</v>
      </c>
      <c r="G210">
        <v>1.3287999999999999E-2</v>
      </c>
      <c r="I210" s="1">
        <v>1.43458E-9</v>
      </c>
      <c r="J210">
        <f t="shared" si="72"/>
        <v>1.2874085478280022E-4</v>
      </c>
      <c r="K210">
        <v>0</v>
      </c>
      <c r="L210">
        <v>4.3686598648420978E-5</v>
      </c>
      <c r="N210" s="1">
        <v>1.43458E-9</v>
      </c>
      <c r="O210">
        <f t="shared" si="73"/>
        <v>0</v>
      </c>
      <c r="Q210" s="1">
        <v>1.43458E-9</v>
      </c>
      <c r="R210">
        <f t="shared" si="74"/>
        <v>4.3686598648420978E-5</v>
      </c>
      <c r="CH210" s="1">
        <v>1.328E-9</v>
      </c>
      <c r="CI210">
        <v>8.9870599999999998E-3</v>
      </c>
      <c r="CJ210">
        <f t="shared" si="75"/>
        <v>0.69846536093354528</v>
      </c>
      <c r="CL210" s="1">
        <v>1.328E-9</v>
      </c>
      <c r="CM210">
        <v>0</v>
      </c>
      <c r="CN210">
        <f t="shared" si="76"/>
        <v>0</v>
      </c>
    </row>
    <row r="211" spans="4:92" x14ac:dyDescent="0.35">
      <c r="D211" s="1">
        <v>1.45316E-9</v>
      </c>
      <c r="E211">
        <v>6.7560700000000001E-2</v>
      </c>
      <c r="F211">
        <v>0</v>
      </c>
      <c r="G211">
        <v>1.8260599999999998E-2</v>
      </c>
      <c r="I211" s="1">
        <v>1.45316E-9</v>
      </c>
      <c r="J211">
        <f t="shared" si="72"/>
        <v>1.199097593446095E-4</v>
      </c>
      <c r="K211">
        <v>0</v>
      </c>
      <c r="L211">
        <v>6.0034881342516256E-5</v>
      </c>
      <c r="N211" s="1">
        <v>1.45316E-9</v>
      </c>
      <c r="O211">
        <f t="shared" si="73"/>
        <v>0</v>
      </c>
      <c r="Q211" s="1">
        <v>1.45316E-9</v>
      </c>
      <c r="R211">
        <f t="shared" si="74"/>
        <v>6.0034881342516256E-5</v>
      </c>
      <c r="CH211" s="1">
        <v>1.34519E-9</v>
      </c>
      <c r="CI211">
        <v>0</v>
      </c>
      <c r="CJ211">
        <f t="shared" si="75"/>
        <v>0</v>
      </c>
      <c r="CL211" s="1">
        <v>1.34519E-9</v>
      </c>
      <c r="CM211">
        <v>0</v>
      </c>
      <c r="CN211">
        <f t="shared" si="76"/>
        <v>0</v>
      </c>
    </row>
    <row r="212" spans="4:92" x14ac:dyDescent="0.35">
      <c r="D212" s="1">
        <v>1.4719799999999999E-9</v>
      </c>
      <c r="E212">
        <v>9.3709299999999995E-2</v>
      </c>
      <c r="F212">
        <v>0</v>
      </c>
      <c r="G212">
        <v>1.5606200000000001E-2</v>
      </c>
      <c r="I212" s="1">
        <v>1.4719799999999999E-9</v>
      </c>
      <c r="J212">
        <f t="shared" si="72"/>
        <v>1.6631946695862853E-4</v>
      </c>
      <c r="K212">
        <v>0</v>
      </c>
      <c r="L212">
        <v>5.1308082166389778E-5</v>
      </c>
      <c r="N212" s="1">
        <v>1.4719799999999999E-9</v>
      </c>
      <c r="O212">
        <f t="shared" si="73"/>
        <v>0</v>
      </c>
      <c r="Q212" s="1">
        <v>1.4719799999999999E-9</v>
      </c>
      <c r="R212">
        <f t="shared" si="74"/>
        <v>5.1308082166389778E-5</v>
      </c>
      <c r="CH212" s="1">
        <v>1.36262E-9</v>
      </c>
      <c r="CI212">
        <v>1.1019999999999999E-3</v>
      </c>
      <c r="CJ212">
        <f t="shared" si="75"/>
        <v>8.5646343492617932E-2</v>
      </c>
      <c r="CL212" s="1">
        <v>1.36262E-9</v>
      </c>
      <c r="CM212">
        <v>0</v>
      </c>
      <c r="CN212">
        <f t="shared" si="76"/>
        <v>0</v>
      </c>
    </row>
    <row r="213" spans="4:92" x14ac:dyDescent="0.35">
      <c r="D213" s="1">
        <v>1.4910400000000001E-9</v>
      </c>
      <c r="E213">
        <v>7.49832E-2</v>
      </c>
      <c r="F213">
        <v>0</v>
      </c>
      <c r="G213">
        <v>1.36033E-2</v>
      </c>
      <c r="I213" s="1">
        <v>1.4910400000000001E-9</v>
      </c>
      <c r="J213">
        <f t="shared" si="72"/>
        <v>1.3308354512147925E-4</v>
      </c>
      <c r="K213">
        <v>0</v>
      </c>
      <c r="L213">
        <v>4.4723201941154803E-5</v>
      </c>
      <c r="N213" s="1">
        <v>1.4910400000000001E-9</v>
      </c>
      <c r="O213">
        <f t="shared" si="73"/>
        <v>0</v>
      </c>
      <c r="Q213" s="1">
        <v>1.4910400000000001E-9</v>
      </c>
      <c r="R213">
        <f t="shared" si="74"/>
        <v>4.4723201941154803E-5</v>
      </c>
      <c r="CH213" s="1">
        <v>1.3802599999999999E-9</v>
      </c>
      <c r="CI213">
        <v>0</v>
      </c>
      <c r="CJ213">
        <f t="shared" si="75"/>
        <v>0</v>
      </c>
      <c r="CL213" s="1">
        <v>1.3802599999999999E-9</v>
      </c>
      <c r="CM213">
        <v>0</v>
      </c>
      <c r="CN213">
        <f t="shared" si="76"/>
        <v>0</v>
      </c>
    </row>
    <row r="214" spans="4:92" x14ac:dyDescent="0.35">
      <c r="D214" s="1">
        <v>1.5103500000000001E-9</v>
      </c>
      <c r="E214">
        <v>8.2858699999999993E-2</v>
      </c>
      <c r="F214">
        <v>0</v>
      </c>
      <c r="G214">
        <v>1.84174E-2</v>
      </c>
      <c r="I214" s="1">
        <v>1.5103500000000001E-9</v>
      </c>
      <c r="J214">
        <f t="shared" si="72"/>
        <v>1.4706133560793766E-4</v>
      </c>
      <c r="K214">
        <v>0</v>
      </c>
      <c r="L214">
        <v>6.0550388466844407E-5</v>
      </c>
      <c r="N214" s="1">
        <v>1.5103500000000001E-9</v>
      </c>
      <c r="O214">
        <f t="shared" si="73"/>
        <v>0</v>
      </c>
      <c r="Q214" s="1">
        <v>1.5103500000000001E-9</v>
      </c>
      <c r="R214">
        <f t="shared" si="74"/>
        <v>6.0550388466844407E-5</v>
      </c>
      <c r="CH214" s="1">
        <v>1.3981400000000001E-9</v>
      </c>
      <c r="CI214">
        <v>0</v>
      </c>
      <c r="CJ214">
        <f t="shared" si="75"/>
        <v>0</v>
      </c>
      <c r="CL214" s="1">
        <v>1.3981400000000001E-9</v>
      </c>
      <c r="CM214">
        <v>0</v>
      </c>
      <c r="CN214">
        <f t="shared" si="76"/>
        <v>0</v>
      </c>
    </row>
    <row r="215" spans="4:92" x14ac:dyDescent="0.35">
      <c r="D215" s="1">
        <v>1.5299099999999999E-9</v>
      </c>
      <c r="E215">
        <v>9.2927999999999997E-2</v>
      </c>
      <c r="F215">
        <v>0</v>
      </c>
      <c r="G215">
        <v>1.5810999999999999E-2</v>
      </c>
      <c r="I215" s="1">
        <v>1.5299099999999999E-9</v>
      </c>
      <c r="J215">
        <f t="shared" si="72"/>
        <v>1.6493278069019225E-4</v>
      </c>
      <c r="K215">
        <v>0</v>
      </c>
      <c r="L215">
        <v>5.1981397594083676E-5</v>
      </c>
      <c r="N215" s="1">
        <v>1.5299099999999999E-9</v>
      </c>
      <c r="O215">
        <f t="shared" si="73"/>
        <v>0</v>
      </c>
      <c r="Q215" s="1">
        <v>1.5299099999999999E-9</v>
      </c>
      <c r="R215">
        <f t="shared" si="74"/>
        <v>5.1981397594083676E-5</v>
      </c>
      <c r="CH215" s="1">
        <v>1.4162400000000001E-9</v>
      </c>
      <c r="CI215" s="1">
        <v>9.9844099999999995E-5</v>
      </c>
      <c r="CJ215">
        <f t="shared" si="75"/>
        <v>7.7597841055456387E-3</v>
      </c>
      <c r="CL215" s="1">
        <v>1.4162400000000001E-9</v>
      </c>
      <c r="CM215">
        <v>0</v>
      </c>
      <c r="CN215">
        <f t="shared" si="76"/>
        <v>0</v>
      </c>
    </row>
    <row r="216" spans="4:92" x14ac:dyDescent="0.35">
      <c r="D216" s="1">
        <v>1.5497199999999999E-9</v>
      </c>
      <c r="E216">
        <v>9.7788200000000006E-2</v>
      </c>
      <c r="F216">
        <v>0</v>
      </c>
      <c r="G216">
        <v>2.0685800000000001E-2</v>
      </c>
      <c r="I216" s="1">
        <v>1.5497199999999999E-9</v>
      </c>
      <c r="J216">
        <f t="shared" si="72"/>
        <v>1.735588815501104E-4</v>
      </c>
      <c r="K216">
        <v>0</v>
      </c>
      <c r="L216">
        <v>6.8008145870071234E-5</v>
      </c>
      <c r="N216" s="1">
        <v>1.5497199999999999E-9</v>
      </c>
      <c r="O216">
        <f t="shared" si="73"/>
        <v>0</v>
      </c>
      <c r="Q216" s="1">
        <v>1.5497199999999999E-9</v>
      </c>
      <c r="R216">
        <f t="shared" si="74"/>
        <v>6.8008145870071234E-5</v>
      </c>
      <c r="CH216" s="1">
        <v>1.43458E-9</v>
      </c>
      <c r="CI216">
        <v>0</v>
      </c>
      <c r="CJ216">
        <f t="shared" si="75"/>
        <v>0</v>
      </c>
      <c r="CL216" s="1">
        <v>1.43458E-9</v>
      </c>
      <c r="CM216">
        <v>0</v>
      </c>
      <c r="CN216">
        <f t="shared" si="76"/>
        <v>0</v>
      </c>
    </row>
    <row r="217" spans="4:92" x14ac:dyDescent="0.35">
      <c r="D217" s="1">
        <v>1.56979E-9</v>
      </c>
      <c r="E217">
        <v>8.3080000000000001E-2</v>
      </c>
      <c r="F217">
        <v>0</v>
      </c>
      <c r="G217">
        <v>1.82469E-2</v>
      </c>
      <c r="I217" s="1">
        <v>1.56979E-9</v>
      </c>
      <c r="J217">
        <f t="shared" si="72"/>
        <v>1.4745410876959767E-4</v>
      </c>
      <c r="K217">
        <v>0</v>
      </c>
      <c r="L217">
        <v>5.9989840222597279E-5</v>
      </c>
      <c r="N217" s="1">
        <v>1.56979E-9</v>
      </c>
      <c r="O217">
        <f t="shared" si="73"/>
        <v>0</v>
      </c>
      <c r="Q217" s="1">
        <v>1.56979E-9</v>
      </c>
      <c r="R217">
        <f t="shared" si="74"/>
        <v>5.9989840222597279E-5</v>
      </c>
      <c r="CH217" s="1">
        <v>1.45316E-9</v>
      </c>
      <c r="CI217">
        <v>1.1595799999999999E-3</v>
      </c>
      <c r="CJ217">
        <f t="shared" si="75"/>
        <v>9.0121403799609714E-2</v>
      </c>
      <c r="CL217" s="1">
        <v>1.45316E-9</v>
      </c>
      <c r="CM217">
        <v>0</v>
      </c>
      <c r="CN217">
        <f t="shared" si="76"/>
        <v>0</v>
      </c>
    </row>
    <row r="218" spans="4:92" x14ac:dyDescent="0.35">
      <c r="D218" s="1">
        <v>1.5901200000000001E-9</v>
      </c>
      <c r="E218">
        <v>0.101227</v>
      </c>
      <c r="F218">
        <v>0</v>
      </c>
      <c r="G218">
        <v>1.8651399999999999E-2</v>
      </c>
      <c r="I218" s="1">
        <v>1.5901200000000001E-9</v>
      </c>
      <c r="J218">
        <f t="shared" si="72"/>
        <v>1.7966221796365025E-4</v>
      </c>
      <c r="K218">
        <v>0</v>
      </c>
      <c r="L218">
        <v>6.1319703945752479E-5</v>
      </c>
      <c r="N218" s="1">
        <v>1.5901200000000001E-9</v>
      </c>
      <c r="O218">
        <f t="shared" si="73"/>
        <v>0</v>
      </c>
      <c r="Q218" s="1">
        <v>1.5901200000000001E-9</v>
      </c>
      <c r="R218">
        <f t="shared" si="74"/>
        <v>6.1319703945752479E-5</v>
      </c>
      <c r="CH218" s="1">
        <v>1.4719799999999999E-9</v>
      </c>
      <c r="CI218">
        <v>3.8345200000000001E-3</v>
      </c>
      <c r="CJ218">
        <f t="shared" si="75"/>
        <v>0.29801507899211738</v>
      </c>
      <c r="CL218" s="1">
        <v>1.4719799999999999E-9</v>
      </c>
      <c r="CM218">
        <v>0</v>
      </c>
      <c r="CN218">
        <f t="shared" si="76"/>
        <v>0</v>
      </c>
    </row>
    <row r="219" spans="4:92" x14ac:dyDescent="0.35">
      <c r="D219" s="1">
        <v>1.6107099999999999E-9</v>
      </c>
      <c r="E219">
        <v>0.114796</v>
      </c>
      <c r="F219">
        <v>0</v>
      </c>
      <c r="G219">
        <v>1.2627899999999999E-2</v>
      </c>
      <c r="I219" s="1">
        <v>1.6107099999999999E-9</v>
      </c>
      <c r="J219">
        <f t="shared" si="72"/>
        <v>2.0374508750980658E-4</v>
      </c>
      <c r="K219">
        <v>0</v>
      </c>
      <c r="L219">
        <v>4.1516405709843108E-5</v>
      </c>
      <c r="N219" s="1">
        <v>1.6107099999999999E-9</v>
      </c>
      <c r="O219">
        <f t="shared" si="73"/>
        <v>0</v>
      </c>
      <c r="Q219" s="1">
        <v>1.6107099999999999E-9</v>
      </c>
      <c r="R219">
        <f t="shared" si="74"/>
        <v>4.1516405709843108E-5</v>
      </c>
      <c r="CH219" s="1">
        <v>1.4910400000000001E-9</v>
      </c>
      <c r="CI219">
        <v>5.0200000000000002E-3</v>
      </c>
      <c r="CJ219">
        <f t="shared" si="75"/>
        <v>0.39014940502081857</v>
      </c>
      <c r="CL219" s="1">
        <v>1.4910400000000001E-9</v>
      </c>
      <c r="CM219">
        <v>0</v>
      </c>
      <c r="CN219">
        <f t="shared" si="76"/>
        <v>0</v>
      </c>
    </row>
    <row r="220" spans="4:92" x14ac:dyDescent="0.35">
      <c r="D220" s="1">
        <v>1.63157E-9</v>
      </c>
      <c r="E220">
        <v>8.8684499999999999E-2</v>
      </c>
      <c r="F220">
        <v>0</v>
      </c>
      <c r="G220">
        <v>2.1143800000000001E-2</v>
      </c>
      <c r="I220" s="1">
        <v>1.63157E-9</v>
      </c>
      <c r="J220">
        <f t="shared" si="72"/>
        <v>1.5740122663911152E-4</v>
      </c>
      <c r="K220">
        <v>0</v>
      </c>
      <c r="L220">
        <v>6.9513900098019525E-5</v>
      </c>
      <c r="N220" s="1">
        <v>1.63157E-9</v>
      </c>
      <c r="O220">
        <f t="shared" si="73"/>
        <v>0</v>
      </c>
      <c r="Q220" s="1">
        <v>1.63157E-9</v>
      </c>
      <c r="R220">
        <f t="shared" si="74"/>
        <v>6.9513900098019525E-5</v>
      </c>
      <c r="CH220" s="1">
        <v>1.5103500000000001E-9</v>
      </c>
      <c r="CI220">
        <v>0</v>
      </c>
      <c r="CJ220">
        <f t="shared" si="75"/>
        <v>0</v>
      </c>
      <c r="CL220" s="1">
        <v>1.5103500000000001E-9</v>
      </c>
      <c r="CM220">
        <v>0</v>
      </c>
      <c r="CN220">
        <f t="shared" si="76"/>
        <v>0</v>
      </c>
    </row>
    <row r="221" spans="4:92" x14ac:dyDescent="0.35">
      <c r="D221" s="1">
        <v>1.6527000000000001E-9</v>
      </c>
      <c r="E221">
        <v>0.108085</v>
      </c>
      <c r="F221">
        <v>0</v>
      </c>
      <c r="G221">
        <v>2.34428E-2</v>
      </c>
      <c r="I221" s="1">
        <v>1.6527000000000001E-9</v>
      </c>
      <c r="J221">
        <f t="shared" si="72"/>
        <v>1.918341038319928E-4</v>
      </c>
      <c r="K221">
        <v>0</v>
      </c>
      <c r="L221">
        <v>7.7072260294642025E-5</v>
      </c>
      <c r="N221" s="1">
        <v>1.6527000000000001E-9</v>
      </c>
      <c r="O221">
        <f t="shared" si="73"/>
        <v>0</v>
      </c>
      <c r="Q221" s="1">
        <v>1.6527000000000001E-9</v>
      </c>
      <c r="R221">
        <f t="shared" si="74"/>
        <v>7.7072260294642025E-5</v>
      </c>
      <c r="CH221" s="1">
        <v>1.5299099999999999E-9</v>
      </c>
      <c r="CI221">
        <v>1.19768E-3</v>
      </c>
      <c r="CJ221">
        <f t="shared" si="75"/>
        <v>9.3082497889508758E-2</v>
      </c>
      <c r="CL221" s="1">
        <v>1.5299099999999999E-9</v>
      </c>
      <c r="CM221">
        <v>0</v>
      </c>
      <c r="CN221">
        <f t="shared" si="76"/>
        <v>0</v>
      </c>
    </row>
    <row r="222" spans="4:92" x14ac:dyDescent="0.35">
      <c r="D222" s="1">
        <v>1.6741E-9</v>
      </c>
      <c r="E222">
        <v>0.11115700000000001</v>
      </c>
      <c r="F222">
        <v>0</v>
      </c>
      <c r="G222">
        <v>1.9662099999999998E-2</v>
      </c>
      <c r="I222" s="1">
        <v>1.6741E-9</v>
      </c>
      <c r="J222">
        <f t="shared" si="72"/>
        <v>1.9728642716059422E-4</v>
      </c>
      <c r="K222">
        <v>0</v>
      </c>
      <c r="L222">
        <v>6.4642555033497741E-5</v>
      </c>
      <c r="N222" s="1">
        <v>1.6741E-9</v>
      </c>
      <c r="O222">
        <f t="shared" si="73"/>
        <v>0</v>
      </c>
      <c r="Q222" s="1">
        <v>1.6741E-9</v>
      </c>
      <c r="R222">
        <f t="shared" si="74"/>
        <v>6.4642555033497741E-5</v>
      </c>
      <c r="CH222" s="1">
        <v>1.5497199999999999E-9</v>
      </c>
      <c r="CI222">
        <v>6.2481100000000003E-3</v>
      </c>
      <c r="CJ222">
        <f t="shared" si="75"/>
        <v>0.48559689223199737</v>
      </c>
      <c r="CL222" s="1">
        <v>1.5497199999999999E-9</v>
      </c>
      <c r="CM222">
        <v>0</v>
      </c>
      <c r="CN222">
        <f t="shared" si="76"/>
        <v>0</v>
      </c>
    </row>
    <row r="223" spans="4:92" x14ac:dyDescent="0.35">
      <c r="D223" s="1">
        <v>1.6957799999999999E-9</v>
      </c>
      <c r="E223">
        <v>0.10706</v>
      </c>
      <c r="F223">
        <v>0</v>
      </c>
      <c r="G223">
        <v>2.2208100000000001E-2</v>
      </c>
      <c r="I223" s="1">
        <v>1.6957799999999999E-9</v>
      </c>
      <c r="J223">
        <f t="shared" si="72"/>
        <v>1.9001488787762549E-4</v>
      </c>
      <c r="K223">
        <v>0</v>
      </c>
      <c r="L223">
        <v>7.3012970457856556E-5</v>
      </c>
      <c r="N223" s="1">
        <v>1.6957799999999999E-9</v>
      </c>
      <c r="O223">
        <f t="shared" si="73"/>
        <v>0</v>
      </c>
      <c r="Q223" s="1">
        <v>1.6957799999999999E-9</v>
      </c>
      <c r="R223">
        <f t="shared" si="74"/>
        <v>7.3012970457856556E-5</v>
      </c>
      <c r="CH223" s="1">
        <v>1.56979E-9</v>
      </c>
      <c r="CI223">
        <v>2.3551599999999998E-3</v>
      </c>
      <c r="CJ223">
        <f t="shared" si="75"/>
        <v>0.18304069177865159</v>
      </c>
      <c r="CL223" s="1">
        <v>1.56979E-9</v>
      </c>
      <c r="CM223">
        <v>0</v>
      </c>
      <c r="CN223">
        <f t="shared" si="76"/>
        <v>0</v>
      </c>
    </row>
    <row r="224" spans="4:92" x14ac:dyDescent="0.35">
      <c r="D224" s="1">
        <v>1.7177399999999999E-9</v>
      </c>
      <c r="E224">
        <v>0.102585</v>
      </c>
      <c r="F224">
        <v>0</v>
      </c>
      <c r="G224">
        <v>2.16277E-2</v>
      </c>
      <c r="I224" s="1">
        <v>1.7177399999999999E-9</v>
      </c>
      <c r="J224">
        <f t="shared" si="72"/>
        <v>1.8207245724758276E-4</v>
      </c>
      <c r="K224">
        <v>0</v>
      </c>
      <c r="L224">
        <v>7.1104805056325574E-5</v>
      </c>
      <c r="N224" s="1">
        <v>1.7177399999999999E-9</v>
      </c>
      <c r="O224">
        <f t="shared" si="73"/>
        <v>0</v>
      </c>
      <c r="Q224" s="1">
        <v>1.7177399999999999E-9</v>
      </c>
      <c r="R224">
        <f t="shared" si="74"/>
        <v>7.1104805056325574E-5</v>
      </c>
      <c r="CH224" s="1">
        <v>1.5901200000000001E-9</v>
      </c>
      <c r="CI224">
        <v>0</v>
      </c>
      <c r="CJ224">
        <f t="shared" si="75"/>
        <v>0</v>
      </c>
      <c r="CL224" s="1">
        <v>1.5901200000000001E-9</v>
      </c>
      <c r="CM224">
        <v>0</v>
      </c>
      <c r="CN224">
        <f t="shared" si="76"/>
        <v>0</v>
      </c>
    </row>
    <row r="225" spans="4:92" x14ac:dyDescent="0.35">
      <c r="D225" s="1">
        <v>1.7399899999999999E-9</v>
      </c>
      <c r="E225">
        <v>0.11466999999999999</v>
      </c>
      <c r="F225">
        <v>0</v>
      </c>
      <c r="G225">
        <v>2.5960400000000002E-2</v>
      </c>
      <c r="I225" s="1">
        <v>1.7399899999999999E-9</v>
      </c>
      <c r="J225">
        <f t="shared" si="72"/>
        <v>2.0352145706078193E-4</v>
      </c>
      <c r="K225">
        <v>0</v>
      </c>
      <c r="L225">
        <v>8.5349305806176089E-5</v>
      </c>
      <c r="N225" s="1">
        <v>1.7399899999999999E-9</v>
      </c>
      <c r="O225">
        <f t="shared" si="73"/>
        <v>0</v>
      </c>
      <c r="Q225" s="1">
        <v>1.7399899999999999E-9</v>
      </c>
      <c r="R225">
        <f t="shared" si="74"/>
        <v>8.5349305806176089E-5</v>
      </c>
      <c r="CH225" s="1">
        <v>1.6107099999999999E-9</v>
      </c>
      <c r="CI225" s="1">
        <v>5.4960499999999997E-5</v>
      </c>
      <c r="CJ225">
        <f t="shared" si="75"/>
        <v>4.271475373435597E-3</v>
      </c>
      <c r="CL225" s="1">
        <v>1.6107099999999999E-9</v>
      </c>
      <c r="CM225">
        <v>0</v>
      </c>
      <c r="CN225">
        <f t="shared" si="76"/>
        <v>0</v>
      </c>
    </row>
    <row r="226" spans="4:92" x14ac:dyDescent="0.35">
      <c r="D226" s="1">
        <v>1.76252E-9</v>
      </c>
      <c r="E226">
        <v>0.101823</v>
      </c>
      <c r="F226">
        <v>0</v>
      </c>
      <c r="G226">
        <v>2.8404700000000001E-2</v>
      </c>
      <c r="I226" s="1">
        <v>1.76252E-9</v>
      </c>
      <c r="J226">
        <f t="shared" si="72"/>
        <v>1.8072002548443359E-4</v>
      </c>
      <c r="K226">
        <v>0</v>
      </c>
      <c r="L226">
        <v>9.3385364887778698E-5</v>
      </c>
      <c r="N226" s="1">
        <v>1.76252E-9</v>
      </c>
      <c r="O226">
        <f t="shared" si="73"/>
        <v>0</v>
      </c>
      <c r="Q226" s="1">
        <v>1.76252E-9</v>
      </c>
      <c r="R226">
        <f t="shared" si="74"/>
        <v>9.3385364887778698E-5</v>
      </c>
      <c r="CH226" s="1">
        <v>1.63157E-9</v>
      </c>
      <c r="CI226">
        <v>2.09699E-2</v>
      </c>
      <c r="CJ226">
        <f t="shared" si="75"/>
        <v>1.6297597626187377</v>
      </c>
      <c r="CL226" s="1">
        <v>1.63157E-9</v>
      </c>
      <c r="CM226">
        <v>0</v>
      </c>
      <c r="CN226">
        <f t="shared" si="76"/>
        <v>0</v>
      </c>
    </row>
    <row r="227" spans="4:92" x14ac:dyDescent="0.35">
      <c r="D227" s="1">
        <v>1.78535E-9</v>
      </c>
      <c r="E227">
        <v>0.102311</v>
      </c>
      <c r="F227">
        <v>6.9212899999999999E-4</v>
      </c>
      <c r="G227">
        <v>2.0395699999999999E-2</v>
      </c>
      <c r="I227" s="1">
        <v>1.78535E-9</v>
      </c>
      <c r="J227">
        <f t="shared" si="72"/>
        <v>1.8158614976319579E-4</v>
      </c>
      <c r="K227">
        <v>3.6732948936972128E-6</v>
      </c>
      <c r="L227">
        <v>6.7054391936604427E-5</v>
      </c>
      <c r="N227" s="1">
        <v>1.78535E-9</v>
      </c>
      <c r="O227">
        <f t="shared" si="73"/>
        <v>3.6732948936972128E-6</v>
      </c>
      <c r="Q227" s="1">
        <v>1.78535E-9</v>
      </c>
      <c r="R227">
        <f t="shared" si="74"/>
        <v>6.7054391936604427E-5</v>
      </c>
      <c r="CH227" s="1">
        <v>1.6527000000000001E-9</v>
      </c>
      <c r="CI227">
        <v>9.4759800000000002E-3</v>
      </c>
      <c r="CJ227">
        <f t="shared" si="75"/>
        <v>0.73646373685043354</v>
      </c>
      <c r="CL227" s="1">
        <v>1.6527000000000001E-9</v>
      </c>
      <c r="CM227">
        <v>0</v>
      </c>
      <c r="CN227">
        <f t="shared" si="76"/>
        <v>0</v>
      </c>
    </row>
    <row r="228" spans="4:92" x14ac:dyDescent="0.35">
      <c r="D228" s="1">
        <v>1.8084700000000001E-9</v>
      </c>
      <c r="E228">
        <v>0.117884</v>
      </c>
      <c r="F228">
        <v>0</v>
      </c>
      <c r="G228">
        <v>2.2219200000000001E-2</v>
      </c>
      <c r="I228" s="1">
        <v>1.8084700000000001E-9</v>
      </c>
      <c r="J228">
        <f t="shared" si="72"/>
        <v>2.0922580835574446E-4</v>
      </c>
      <c r="K228">
        <v>0</v>
      </c>
      <c r="L228">
        <v>7.3049463628009883E-5</v>
      </c>
      <c r="N228" s="1">
        <v>1.8084700000000001E-9</v>
      </c>
      <c r="O228">
        <f t="shared" si="73"/>
        <v>0</v>
      </c>
      <c r="Q228" s="1">
        <v>1.8084700000000001E-9</v>
      </c>
      <c r="R228">
        <f t="shared" si="74"/>
        <v>7.3049463628009883E-5</v>
      </c>
      <c r="CH228" s="1">
        <v>1.6741E-9</v>
      </c>
      <c r="CI228" s="1">
        <v>5.4581399999999999E-5</v>
      </c>
      <c r="CJ228">
        <f t="shared" si="75"/>
        <v>4.2420120986460764E-3</v>
      </c>
      <c r="CL228" s="1">
        <v>1.6741E-9</v>
      </c>
      <c r="CM228">
        <v>0</v>
      </c>
      <c r="CN228">
        <f t="shared" si="76"/>
        <v>0</v>
      </c>
    </row>
    <row r="229" spans="4:92" x14ac:dyDescent="0.35">
      <c r="D229" s="1">
        <v>1.83189E-9</v>
      </c>
      <c r="E229">
        <v>0.131273</v>
      </c>
      <c r="F229">
        <v>0</v>
      </c>
      <c r="G229">
        <v>3.2595600000000002E-2</v>
      </c>
      <c r="I229" s="1">
        <v>1.83189E-9</v>
      </c>
      <c r="J229">
        <f t="shared" si="72"/>
        <v>2.3298920583186559E-4</v>
      </c>
      <c r="K229">
        <v>0</v>
      </c>
      <c r="L229">
        <v>1.0716367360810285E-4</v>
      </c>
      <c r="N229" s="1">
        <v>1.83189E-9</v>
      </c>
      <c r="O229">
        <f t="shared" si="73"/>
        <v>0</v>
      </c>
      <c r="Q229" s="1">
        <v>1.83189E-9</v>
      </c>
      <c r="R229">
        <f t="shared" si="74"/>
        <v>1.0716367360810285E-4</v>
      </c>
      <c r="CH229" s="1">
        <v>1.6957799999999999E-9</v>
      </c>
      <c r="CI229">
        <v>0</v>
      </c>
      <c r="CJ229">
        <f t="shared" si="75"/>
        <v>0</v>
      </c>
      <c r="CL229" s="1">
        <v>1.6957799999999999E-9</v>
      </c>
      <c r="CM229">
        <v>0</v>
      </c>
      <c r="CN229">
        <f t="shared" si="76"/>
        <v>0</v>
      </c>
    </row>
    <row r="230" spans="4:92" x14ac:dyDescent="0.35">
      <c r="D230" s="1">
        <v>1.85561E-9</v>
      </c>
      <c r="E230">
        <v>0.15426200000000001</v>
      </c>
      <c r="F230">
        <v>0</v>
      </c>
      <c r="G230">
        <v>1.7983300000000001E-2</v>
      </c>
      <c r="I230" s="1">
        <v>1.85561E-9</v>
      </c>
      <c r="J230">
        <f t="shared" si="72"/>
        <v>2.7379111370986608E-4</v>
      </c>
      <c r="K230">
        <v>0</v>
      </c>
      <c r="L230">
        <v>5.9123209623280319E-5</v>
      </c>
      <c r="N230" s="1">
        <v>1.85561E-9</v>
      </c>
      <c r="O230">
        <f t="shared" si="73"/>
        <v>0</v>
      </c>
      <c r="Q230" s="1">
        <v>1.85561E-9</v>
      </c>
      <c r="R230">
        <f t="shared" si="74"/>
        <v>5.9123209623280319E-5</v>
      </c>
      <c r="CH230" s="1">
        <v>1.7177399999999999E-9</v>
      </c>
      <c r="CI230">
        <v>0</v>
      </c>
      <c r="CJ230">
        <f t="shared" si="75"/>
        <v>0</v>
      </c>
      <c r="CL230" s="1">
        <v>1.7177399999999999E-9</v>
      </c>
      <c r="CM230">
        <v>0</v>
      </c>
      <c r="CN230">
        <f t="shared" si="76"/>
        <v>0</v>
      </c>
    </row>
    <row r="231" spans="4:92" x14ac:dyDescent="0.35">
      <c r="D231" s="1">
        <v>1.8796399999999999E-9</v>
      </c>
      <c r="E231">
        <v>0.131077</v>
      </c>
      <c r="F231">
        <v>0</v>
      </c>
      <c r="G231">
        <v>2.9230800000000001E-2</v>
      </c>
      <c r="I231" s="1">
        <v>1.8796399999999999E-9</v>
      </c>
      <c r="J231">
        <f t="shared" si="72"/>
        <v>2.3264133624449387E-4</v>
      </c>
      <c r="K231">
        <v>0</v>
      </c>
      <c r="L231">
        <v>9.6101311542163154E-5</v>
      </c>
      <c r="N231" s="1">
        <v>1.8796399999999999E-9</v>
      </c>
      <c r="O231">
        <f t="shared" si="73"/>
        <v>0</v>
      </c>
      <c r="Q231" s="1">
        <v>1.8796399999999999E-9</v>
      </c>
      <c r="R231">
        <f t="shared" si="74"/>
        <v>9.6101311542163154E-5</v>
      </c>
      <c r="CH231" s="1">
        <v>1.7399899999999999E-9</v>
      </c>
      <c r="CI231">
        <v>1.2195800000000001E-3</v>
      </c>
      <c r="CJ231">
        <f t="shared" si="75"/>
        <v>9.4784544098663326E-2</v>
      </c>
      <c r="CL231" s="1">
        <v>1.7399899999999999E-9</v>
      </c>
      <c r="CM231">
        <v>0</v>
      </c>
      <c r="CN231">
        <f t="shared" si="76"/>
        <v>0</v>
      </c>
    </row>
    <row r="232" spans="4:92" x14ac:dyDescent="0.35">
      <c r="D232" s="1">
        <v>1.9039799999999999E-9</v>
      </c>
      <c r="E232">
        <v>0.135131</v>
      </c>
      <c r="F232">
        <v>0</v>
      </c>
      <c r="G232">
        <v>3.2268900000000003E-2</v>
      </c>
      <c r="I232" s="1">
        <v>1.9039799999999999E-9</v>
      </c>
      <c r="J232">
        <f t="shared" si="72"/>
        <v>2.3983655719962089E-4</v>
      </c>
      <c r="K232">
        <v>0</v>
      </c>
      <c r="L232">
        <v>1.0608959084331967E-4</v>
      </c>
      <c r="N232" s="1">
        <v>1.9039799999999999E-9</v>
      </c>
      <c r="O232">
        <f t="shared" si="73"/>
        <v>0</v>
      </c>
      <c r="Q232" s="1">
        <v>1.9039799999999999E-9</v>
      </c>
      <c r="R232">
        <f t="shared" si="74"/>
        <v>1.0608959084331967E-4</v>
      </c>
      <c r="CH232" s="1">
        <v>1.76252E-9</v>
      </c>
      <c r="CI232" s="1">
        <v>5.6264400000000003E-5</v>
      </c>
      <c r="CJ232">
        <f t="shared" si="75"/>
        <v>4.3728131840345312E-3</v>
      </c>
      <c r="CL232" s="1">
        <v>1.76252E-9</v>
      </c>
      <c r="CM232">
        <v>0</v>
      </c>
      <c r="CN232">
        <f t="shared" si="76"/>
        <v>0</v>
      </c>
    </row>
    <row r="233" spans="4:92" x14ac:dyDescent="0.35">
      <c r="D233" s="1">
        <v>1.9286400000000001E-9</v>
      </c>
      <c r="E233">
        <v>0.13100600000000001</v>
      </c>
      <c r="F233">
        <v>0</v>
      </c>
      <c r="G233">
        <v>2.34539E-2</v>
      </c>
      <c r="I233" s="1">
        <v>1.9286400000000001E-9</v>
      </c>
      <c r="J233">
        <f t="shared" si="72"/>
        <v>2.3251532226131337E-4</v>
      </c>
      <c r="K233">
        <v>0</v>
      </c>
      <c r="L233">
        <v>7.7108753464795351E-5</v>
      </c>
      <c r="N233" s="1">
        <v>1.9286400000000001E-9</v>
      </c>
      <c r="O233">
        <f t="shared" si="73"/>
        <v>0</v>
      </c>
      <c r="Q233" s="1">
        <v>1.9286400000000001E-9</v>
      </c>
      <c r="R233">
        <f t="shared" si="74"/>
        <v>7.7108753464795351E-5</v>
      </c>
      <c r="CH233" s="1">
        <v>1.78535E-9</v>
      </c>
      <c r="CI233">
        <v>2.22857E-3</v>
      </c>
      <c r="CJ233">
        <f t="shared" si="75"/>
        <v>0.17320224293769834</v>
      </c>
      <c r="CL233" s="1">
        <v>1.78535E-9</v>
      </c>
      <c r="CM233">
        <v>0</v>
      </c>
      <c r="CN233">
        <f t="shared" si="76"/>
        <v>0</v>
      </c>
    </row>
    <row r="234" spans="4:92" x14ac:dyDescent="0.35">
      <c r="D234" s="1">
        <v>1.9536099999999998E-9</v>
      </c>
      <c r="E234">
        <v>0.14217399999999999</v>
      </c>
      <c r="F234">
        <v>0</v>
      </c>
      <c r="G234">
        <v>2.8236000000000001E-2</v>
      </c>
      <c r="I234" s="1">
        <v>1.9536099999999998E-9</v>
      </c>
      <c r="J234">
        <f t="shared" si="72"/>
        <v>2.5233678936216632E-4</v>
      </c>
      <c r="K234">
        <v>0</v>
      </c>
      <c r="L234">
        <v>9.2830734454907784E-5</v>
      </c>
      <c r="N234" s="1">
        <v>1.9536099999999998E-9</v>
      </c>
      <c r="O234">
        <f t="shared" si="73"/>
        <v>0</v>
      </c>
      <c r="Q234" s="1">
        <v>1.9536099999999998E-9</v>
      </c>
      <c r="R234">
        <f t="shared" si="74"/>
        <v>9.2830734454907784E-5</v>
      </c>
      <c r="CH234" s="1">
        <v>1.8084700000000001E-9</v>
      </c>
      <c r="CI234">
        <v>1.23967E-3</v>
      </c>
      <c r="CJ234">
        <f t="shared" si="75"/>
        <v>9.6345918908796443E-2</v>
      </c>
      <c r="CL234" s="1">
        <v>1.8084700000000001E-9</v>
      </c>
      <c r="CM234">
        <v>0</v>
      </c>
      <c r="CN234">
        <f t="shared" si="76"/>
        <v>0</v>
      </c>
    </row>
    <row r="235" spans="4:92" x14ac:dyDescent="0.35">
      <c r="D235" s="1">
        <v>1.9789100000000001E-9</v>
      </c>
      <c r="E235">
        <v>0.13500499999999999</v>
      </c>
      <c r="F235">
        <v>0</v>
      </c>
      <c r="G235">
        <v>2.5990200000000001E-2</v>
      </c>
      <c r="I235" s="1">
        <v>1.9789100000000001E-9</v>
      </c>
      <c r="J235">
        <f t="shared" si="72"/>
        <v>2.3961292675059618E-4</v>
      </c>
      <c r="K235">
        <v>0</v>
      </c>
      <c r="L235">
        <v>8.5447278461182332E-5</v>
      </c>
      <c r="N235" s="1">
        <v>1.9789100000000001E-9</v>
      </c>
      <c r="O235">
        <f t="shared" si="73"/>
        <v>0</v>
      </c>
      <c r="Q235" s="1">
        <v>1.9789100000000001E-9</v>
      </c>
      <c r="R235">
        <f t="shared" si="74"/>
        <v>8.5447278461182332E-5</v>
      </c>
      <c r="CH235" s="1">
        <v>1.83189E-9</v>
      </c>
      <c r="CI235">
        <v>1.2745499999999999E-3</v>
      </c>
      <c r="CJ235">
        <f t="shared" si="75"/>
        <v>9.9056757802646264E-2</v>
      </c>
      <c r="CL235" s="1">
        <v>1.83189E-9</v>
      </c>
      <c r="CM235">
        <v>0</v>
      </c>
      <c r="CN235">
        <f t="shared" si="76"/>
        <v>0</v>
      </c>
    </row>
    <row r="236" spans="4:92" x14ac:dyDescent="0.35">
      <c r="D236" s="1">
        <v>2.0045400000000002E-9</v>
      </c>
      <c r="E236">
        <v>0.14341400000000001</v>
      </c>
      <c r="F236">
        <v>0</v>
      </c>
      <c r="G236">
        <v>3.2137499999999999E-2</v>
      </c>
      <c r="I236" s="1">
        <v>2.0045400000000002E-9</v>
      </c>
      <c r="J236">
        <f t="shared" si="72"/>
        <v>2.5453759695574243E-4</v>
      </c>
      <c r="K236">
        <v>0</v>
      </c>
      <c r="L236">
        <v>1.056575906128559E-4</v>
      </c>
      <c r="N236" s="1">
        <v>2.0045400000000002E-9</v>
      </c>
      <c r="O236">
        <f t="shared" si="73"/>
        <v>0</v>
      </c>
      <c r="Q236" s="1">
        <v>2.0045400000000002E-9</v>
      </c>
      <c r="R236">
        <f t="shared" si="74"/>
        <v>1.056575906128559E-4</v>
      </c>
      <c r="CH236" s="1">
        <v>1.85561E-9</v>
      </c>
      <c r="CI236">
        <v>1.0017399999999999E-2</v>
      </c>
      <c r="CJ236">
        <f t="shared" si="75"/>
        <v>0.7785423605289935</v>
      </c>
      <c r="CL236" s="1">
        <v>1.85561E-9</v>
      </c>
      <c r="CM236">
        <v>0</v>
      </c>
      <c r="CN236">
        <f t="shared" si="76"/>
        <v>0</v>
      </c>
    </row>
    <row r="237" spans="4:92" x14ac:dyDescent="0.35">
      <c r="D237" s="1">
        <v>2.0305E-9</v>
      </c>
      <c r="E237">
        <v>0.16823199999999999</v>
      </c>
      <c r="F237">
        <v>0</v>
      </c>
      <c r="G237">
        <v>2.68439E-2</v>
      </c>
      <c r="I237" s="1">
        <v>2.0305E-9</v>
      </c>
      <c r="J237">
        <f t="shared" si="72"/>
        <v>2.9858569603426758E-4</v>
      </c>
      <c r="K237">
        <v>0</v>
      </c>
      <c r="L237">
        <v>8.8253964890002082E-5</v>
      </c>
      <c r="N237" s="1">
        <v>2.0305E-9</v>
      </c>
      <c r="O237">
        <f t="shared" si="73"/>
        <v>0</v>
      </c>
      <c r="Q237" s="1">
        <v>2.0305E-9</v>
      </c>
      <c r="R237">
        <f t="shared" si="74"/>
        <v>8.8253964890002082E-5</v>
      </c>
      <c r="CH237" s="1">
        <v>1.8796399999999999E-9</v>
      </c>
      <c r="CI237">
        <v>3.0028699999999999E-3</v>
      </c>
      <c r="CJ237">
        <f t="shared" si="75"/>
        <v>0.23338006849698514</v>
      </c>
      <c r="CL237" s="1">
        <v>1.8796399999999999E-9</v>
      </c>
      <c r="CM237">
        <v>0</v>
      </c>
      <c r="CN237">
        <f t="shared" si="76"/>
        <v>0</v>
      </c>
    </row>
    <row r="238" spans="4:92" x14ac:dyDescent="0.35">
      <c r="D238" s="1">
        <v>2.0567899999999999E-9</v>
      </c>
      <c r="E238">
        <v>0.15287200000000001</v>
      </c>
      <c r="F238">
        <v>0</v>
      </c>
      <c r="G238">
        <v>3.51343E-2</v>
      </c>
      <c r="I238" s="1">
        <v>2.0567899999999999E-9</v>
      </c>
      <c r="J238">
        <f t="shared" si="72"/>
        <v>2.7132407939126063E-4</v>
      </c>
      <c r="K238">
        <v>0</v>
      </c>
      <c r="L238">
        <v>1.1551008901965812E-4</v>
      </c>
      <c r="N238" s="1">
        <v>2.0567899999999999E-9</v>
      </c>
      <c r="O238">
        <f t="shared" si="73"/>
        <v>0</v>
      </c>
      <c r="Q238" s="1">
        <v>2.0567899999999999E-9</v>
      </c>
      <c r="R238">
        <f t="shared" si="74"/>
        <v>1.1551008901965812E-4</v>
      </c>
      <c r="CH238" s="1">
        <v>1.9039799999999999E-9</v>
      </c>
      <c r="CI238">
        <v>4.9039800000000001E-2</v>
      </c>
      <c r="CJ238">
        <f t="shared" si="75"/>
        <v>3.8113244606254857</v>
      </c>
      <c r="CL238" s="1">
        <v>1.9039799999999999E-9</v>
      </c>
      <c r="CM238">
        <v>0</v>
      </c>
      <c r="CN238">
        <f t="shared" si="76"/>
        <v>0</v>
      </c>
    </row>
    <row r="239" spans="4:92" x14ac:dyDescent="0.35">
      <c r="D239" s="1">
        <v>2.0834300000000001E-9</v>
      </c>
      <c r="E239">
        <v>0.16484399999999999</v>
      </c>
      <c r="F239">
        <v>0</v>
      </c>
      <c r="G239">
        <v>3.5499700000000002E-2</v>
      </c>
      <c r="I239" s="1">
        <v>2.0834300000000001E-9</v>
      </c>
      <c r="J239">
        <f t="shared" si="72"/>
        <v>2.9257252173827097E-4</v>
      </c>
      <c r="K239">
        <v>0</v>
      </c>
      <c r="L239">
        <v>1.1671140472902995E-4</v>
      </c>
      <c r="N239" s="1">
        <v>2.0834300000000001E-9</v>
      </c>
      <c r="O239">
        <f t="shared" si="73"/>
        <v>0</v>
      </c>
      <c r="Q239" s="1">
        <v>2.0834300000000001E-9</v>
      </c>
      <c r="R239">
        <f t="shared" si="74"/>
        <v>1.1671140472902995E-4</v>
      </c>
      <c r="CH239" s="1">
        <v>1.9286400000000001E-9</v>
      </c>
      <c r="CI239">
        <v>1.29082E-2</v>
      </c>
      <c r="CJ239">
        <f t="shared" si="75"/>
        <v>1.0032124601373964</v>
      </c>
      <c r="CL239" s="1">
        <v>1.9286400000000001E-9</v>
      </c>
      <c r="CM239">
        <v>0</v>
      </c>
      <c r="CN239">
        <f t="shared" si="76"/>
        <v>0</v>
      </c>
    </row>
    <row r="240" spans="4:92" x14ac:dyDescent="0.35">
      <c r="D240" s="1">
        <v>2.11041E-9</v>
      </c>
      <c r="E240">
        <v>0.17568600000000001</v>
      </c>
      <c r="F240">
        <v>0</v>
      </c>
      <c r="G240">
        <v>3.1258599999999997E-2</v>
      </c>
      <c r="I240" s="1">
        <v>2.11041E-9</v>
      </c>
      <c r="J240">
        <f t="shared" si="72"/>
        <v>3.118153894233935E-4</v>
      </c>
      <c r="K240">
        <v>0</v>
      </c>
      <c r="L240">
        <v>1.027680548247691E-4</v>
      </c>
      <c r="N240" s="1">
        <v>2.11041E-9</v>
      </c>
      <c r="O240">
        <f t="shared" si="73"/>
        <v>0</v>
      </c>
      <c r="Q240" s="1">
        <v>2.11041E-9</v>
      </c>
      <c r="R240">
        <f t="shared" si="74"/>
        <v>1.027680548247691E-4</v>
      </c>
      <c r="CH240" s="1">
        <v>1.9536099999999998E-9</v>
      </c>
      <c r="CI240">
        <v>1.76615E-2</v>
      </c>
      <c r="CJ240">
        <f t="shared" si="75"/>
        <v>1.3726342065289217</v>
      </c>
      <c r="CL240" s="1">
        <v>1.9536099999999998E-9</v>
      </c>
      <c r="CM240">
        <v>0</v>
      </c>
      <c r="CN240">
        <f t="shared" si="76"/>
        <v>0</v>
      </c>
    </row>
    <row r="241" spans="4:92" x14ac:dyDescent="0.35">
      <c r="D241" s="1">
        <v>2.1377400000000001E-9</v>
      </c>
      <c r="E241">
        <v>0.18898400000000001</v>
      </c>
      <c r="F241">
        <v>0</v>
      </c>
      <c r="G241">
        <v>3.56432E-2</v>
      </c>
      <c r="I241" s="1">
        <v>2.1377400000000001E-9</v>
      </c>
      <c r="J241">
        <f t="shared" si="72"/>
        <v>3.3541727601966352E-4</v>
      </c>
      <c r="K241">
        <v>0</v>
      </c>
      <c r="L241">
        <v>1.1718318580263384E-4</v>
      </c>
      <c r="N241" s="1">
        <v>2.1377400000000001E-9</v>
      </c>
      <c r="O241">
        <f t="shared" si="73"/>
        <v>0</v>
      </c>
      <c r="Q241" s="1">
        <v>2.1377400000000001E-9</v>
      </c>
      <c r="R241">
        <f t="shared" si="74"/>
        <v>1.1718318580263384E-4</v>
      </c>
      <c r="CH241" s="1">
        <v>1.9789100000000001E-9</v>
      </c>
      <c r="CI241">
        <v>2.59699E-3</v>
      </c>
      <c r="CJ241">
        <f t="shared" si="75"/>
        <v>0.20183547875398716</v>
      </c>
      <c r="CL241" s="1">
        <v>1.9789100000000001E-9</v>
      </c>
      <c r="CM241">
        <v>1</v>
      </c>
      <c r="CN241">
        <f t="shared" si="76"/>
        <v>77.7190049842268</v>
      </c>
    </row>
    <row r="242" spans="4:92" x14ac:dyDescent="0.35">
      <c r="D242" s="1">
        <v>2.1654200000000002E-9</v>
      </c>
      <c r="E242">
        <v>0.16437599999999999</v>
      </c>
      <c r="F242">
        <v>0</v>
      </c>
      <c r="G242">
        <v>3.3373699999999999E-2</v>
      </c>
      <c r="I242" s="1">
        <v>2.1654200000000002E-9</v>
      </c>
      <c r="J242">
        <f t="shared" si="72"/>
        <v>2.9174189435617943E-4</v>
      </c>
      <c r="K242">
        <v>0</v>
      </c>
      <c r="L242">
        <v>1.0972181195912154E-4</v>
      </c>
      <c r="N242" s="1">
        <v>2.1654200000000002E-9</v>
      </c>
      <c r="O242">
        <f t="shared" si="73"/>
        <v>0</v>
      </c>
      <c r="Q242" s="1">
        <v>2.1654200000000002E-9</v>
      </c>
      <c r="R242">
        <f t="shared" si="74"/>
        <v>1.0972181195912154E-4</v>
      </c>
      <c r="CH242" s="1">
        <v>2.0045400000000002E-9</v>
      </c>
      <c r="CI242">
        <v>2.3470600000000002E-3</v>
      </c>
      <c r="CJ242">
        <f t="shared" si="75"/>
        <v>0.18241116783827938</v>
      </c>
      <c r="CL242" s="1">
        <v>2.0045400000000002E-9</v>
      </c>
      <c r="CM242">
        <v>1</v>
      </c>
      <c r="CN242">
        <f t="shared" si="76"/>
        <v>77.7190049842268</v>
      </c>
    </row>
    <row r="243" spans="4:92" x14ac:dyDescent="0.35">
      <c r="D243" s="1">
        <v>2.1934699999999999E-9</v>
      </c>
      <c r="E243">
        <v>0.191639</v>
      </c>
      <c r="F243">
        <v>0</v>
      </c>
      <c r="G243">
        <v>3.9945000000000001E-2</v>
      </c>
      <c r="I243" s="1">
        <v>2.1934699999999999E-9</v>
      </c>
      <c r="J243">
        <f t="shared" si="72"/>
        <v>3.4012948905268327E-4</v>
      </c>
      <c r="K243">
        <v>0</v>
      </c>
      <c r="L243">
        <v>1.3132609745719265E-4</v>
      </c>
      <c r="N243" s="1">
        <v>2.1934699999999999E-9</v>
      </c>
      <c r="O243">
        <f t="shared" si="73"/>
        <v>0</v>
      </c>
      <c r="Q243" s="1">
        <v>2.1934699999999999E-9</v>
      </c>
      <c r="R243">
        <f t="shared" si="74"/>
        <v>1.3132609745719265E-4</v>
      </c>
      <c r="CH243" s="1">
        <v>2.0305E-9</v>
      </c>
      <c r="CI243">
        <v>0</v>
      </c>
      <c r="CJ243">
        <f t="shared" si="75"/>
        <v>0</v>
      </c>
      <c r="CL243" s="1">
        <v>2.0305E-9</v>
      </c>
      <c r="CM243">
        <v>1</v>
      </c>
      <c r="CN243">
        <f t="shared" si="76"/>
        <v>77.7190049842268</v>
      </c>
    </row>
    <row r="244" spans="4:92" x14ac:dyDescent="0.35">
      <c r="D244" s="1">
        <v>2.2218699999999999E-9</v>
      </c>
      <c r="E244">
        <v>0.18865799999999999</v>
      </c>
      <c r="F244">
        <v>0</v>
      </c>
      <c r="G244">
        <v>3.3059100000000001E-2</v>
      </c>
      <c r="I244" s="1">
        <v>2.2218699999999999E-9</v>
      </c>
      <c r="J244">
        <f t="shared" si="72"/>
        <v>3.3483867660393299E-4</v>
      </c>
      <c r="K244">
        <v>0</v>
      </c>
      <c r="L244">
        <v>1.0868751003747846E-4</v>
      </c>
      <c r="N244" s="1">
        <v>2.2218699999999999E-9</v>
      </c>
      <c r="O244">
        <f t="shared" si="73"/>
        <v>0</v>
      </c>
      <c r="Q244" s="1">
        <v>2.2218699999999999E-9</v>
      </c>
      <c r="R244">
        <f t="shared" si="74"/>
        <v>1.0868751003747846E-4</v>
      </c>
      <c r="CH244" s="1">
        <v>2.0567899999999999E-9</v>
      </c>
      <c r="CI244">
        <v>1.38128E-2</v>
      </c>
      <c r="CJ244">
        <f t="shared" si="75"/>
        <v>1.073517072046128</v>
      </c>
      <c r="CL244" s="1">
        <v>2.0567899999999999E-9</v>
      </c>
      <c r="CM244">
        <v>0</v>
      </c>
      <c r="CN244">
        <f t="shared" si="76"/>
        <v>0</v>
      </c>
    </row>
    <row r="245" spans="4:92" x14ac:dyDescent="0.35">
      <c r="D245" s="1">
        <v>2.2506499999999999E-9</v>
      </c>
      <c r="E245">
        <v>0.237263</v>
      </c>
      <c r="F245">
        <v>0</v>
      </c>
      <c r="G245">
        <v>3.7185500000000003E-2</v>
      </c>
      <c r="I245" s="1">
        <v>2.2506499999999999E-9</v>
      </c>
      <c r="J245">
        <f t="shared" si="72"/>
        <v>4.2110500973761497E-4</v>
      </c>
      <c r="K245">
        <v>0</v>
      </c>
      <c r="L245">
        <v>1.222537638501549E-4</v>
      </c>
      <c r="N245" s="1">
        <v>2.2506499999999999E-9</v>
      </c>
      <c r="O245">
        <f t="shared" si="73"/>
        <v>0</v>
      </c>
      <c r="Q245" s="1">
        <v>2.2506499999999999E-9</v>
      </c>
      <c r="R245">
        <f t="shared" si="74"/>
        <v>1.222537638501549E-4</v>
      </c>
      <c r="CH245" s="1">
        <v>2.0834300000000001E-9</v>
      </c>
      <c r="CI245">
        <v>6.4521600000000002E-3</v>
      </c>
      <c r="CJ245">
        <f t="shared" si="75"/>
        <v>0.50145545519902879</v>
      </c>
      <c r="CL245" s="1">
        <v>2.0834300000000001E-9</v>
      </c>
      <c r="CM245">
        <v>0</v>
      </c>
      <c r="CN245">
        <f t="shared" si="76"/>
        <v>0</v>
      </c>
    </row>
    <row r="246" spans="4:92" x14ac:dyDescent="0.35">
      <c r="D246" s="1">
        <v>2.27979E-9</v>
      </c>
      <c r="E246">
        <v>0.216281</v>
      </c>
      <c r="F246">
        <v>0</v>
      </c>
      <c r="G246">
        <v>4.5462700000000002E-2</v>
      </c>
      <c r="I246" s="1">
        <v>2.27979E-9</v>
      </c>
      <c r="J246">
        <f t="shared" si="72"/>
        <v>3.8386521544050739E-4</v>
      </c>
      <c r="K246">
        <v>0</v>
      </c>
      <c r="L246">
        <v>1.4946649069638533E-4</v>
      </c>
      <c r="N246" s="1">
        <v>2.27979E-9</v>
      </c>
      <c r="O246">
        <f t="shared" si="73"/>
        <v>0</v>
      </c>
      <c r="Q246" s="1">
        <v>2.27979E-9</v>
      </c>
      <c r="R246">
        <f t="shared" si="74"/>
        <v>1.4946649069638533E-4</v>
      </c>
      <c r="CH246" s="1">
        <v>2.11041E-9</v>
      </c>
      <c r="CI246">
        <v>1.40244E-3</v>
      </c>
      <c r="CJ246">
        <f t="shared" si="75"/>
        <v>0.10899624135007904</v>
      </c>
      <c r="CL246" s="1">
        <v>2.11041E-9</v>
      </c>
      <c r="CM246">
        <v>0</v>
      </c>
      <c r="CN246">
        <f t="shared" si="76"/>
        <v>0</v>
      </c>
    </row>
    <row r="247" spans="4:92" x14ac:dyDescent="0.35">
      <c r="D247" s="1">
        <v>2.3093100000000002E-9</v>
      </c>
      <c r="E247">
        <v>0.21221100000000001</v>
      </c>
      <c r="F247">
        <v>0</v>
      </c>
      <c r="G247">
        <v>4.0533399999999997E-2</v>
      </c>
      <c r="I247" s="1">
        <v>2.3093100000000002E-9</v>
      </c>
      <c r="J247">
        <f t="shared" si="72"/>
        <v>3.7664159696804394E-4</v>
      </c>
      <c r="K247">
        <v>0</v>
      </c>
      <c r="L247">
        <v>1.3326056424261789E-4</v>
      </c>
      <c r="N247" s="1">
        <v>2.3093100000000002E-9</v>
      </c>
      <c r="O247">
        <f t="shared" si="73"/>
        <v>0</v>
      </c>
      <c r="Q247" s="1">
        <v>2.3093100000000002E-9</v>
      </c>
      <c r="R247">
        <f t="shared" si="74"/>
        <v>1.3326056424261789E-4</v>
      </c>
      <c r="CH247" s="1">
        <v>2.1377400000000001E-9</v>
      </c>
      <c r="CI247">
        <v>8.0606800000000006E-3</v>
      </c>
      <c r="CJ247">
        <f t="shared" si="75"/>
        <v>0.62646802909625732</v>
      </c>
      <c r="CL247" s="1">
        <v>2.1377400000000001E-9</v>
      </c>
      <c r="CM247">
        <v>1</v>
      </c>
      <c r="CN247">
        <f t="shared" si="76"/>
        <v>77.7190049842268</v>
      </c>
    </row>
    <row r="248" spans="4:92" x14ac:dyDescent="0.35">
      <c r="D248" s="1">
        <v>2.3392200000000001E-9</v>
      </c>
      <c r="E248">
        <v>0.18559500000000001</v>
      </c>
      <c r="F248">
        <v>0</v>
      </c>
      <c r="G248">
        <v>4.4047500000000003E-2</v>
      </c>
      <c r="I248" s="1">
        <v>2.3392200000000001E-9</v>
      </c>
      <c r="J248">
        <f t="shared" si="72"/>
        <v>3.2940232687883342E-4</v>
      </c>
      <c r="K248">
        <v>0</v>
      </c>
      <c r="L248">
        <v>1.4481377588548489E-4</v>
      </c>
      <c r="N248" s="1">
        <v>2.3392200000000001E-9</v>
      </c>
      <c r="O248">
        <f t="shared" si="73"/>
        <v>0</v>
      </c>
      <c r="Q248" s="1">
        <v>2.3392200000000001E-9</v>
      </c>
      <c r="R248">
        <f t="shared" si="74"/>
        <v>1.4481377588548489E-4</v>
      </c>
      <c r="CH248" s="1">
        <v>2.1654200000000002E-9</v>
      </c>
      <c r="CI248">
        <v>0</v>
      </c>
      <c r="CJ248">
        <f t="shared" si="75"/>
        <v>0</v>
      </c>
      <c r="CL248" s="1">
        <v>2.1654200000000002E-9</v>
      </c>
      <c r="CM248">
        <v>0</v>
      </c>
      <c r="CN248">
        <f t="shared" si="76"/>
        <v>0</v>
      </c>
    </row>
    <row r="249" spans="4:92" x14ac:dyDescent="0.35">
      <c r="D249" s="1">
        <v>2.36951E-9</v>
      </c>
      <c r="E249">
        <v>0.23655799999999999</v>
      </c>
      <c r="F249">
        <v>0</v>
      </c>
      <c r="G249">
        <v>4.7936199999999998E-2</v>
      </c>
      <c r="I249" s="1">
        <v>2.36951E-9</v>
      </c>
      <c r="J249">
        <f t="shared" si="72"/>
        <v>4.1985374412997691E-4</v>
      </c>
      <c r="K249">
        <v>0</v>
      </c>
      <c r="L249">
        <v>1.5759854982920208E-4</v>
      </c>
      <c r="N249" s="1">
        <v>2.36951E-9</v>
      </c>
      <c r="O249">
        <f t="shared" si="73"/>
        <v>0</v>
      </c>
      <c r="Q249" s="1">
        <v>2.36951E-9</v>
      </c>
      <c r="R249">
        <f t="shared" si="74"/>
        <v>1.5759854982920208E-4</v>
      </c>
      <c r="CH249" s="1">
        <v>2.1934699999999999E-9</v>
      </c>
      <c r="CI249">
        <v>7.4431899999999997E-3</v>
      </c>
      <c r="CJ249">
        <f t="shared" si="75"/>
        <v>0.57847732070854707</v>
      </c>
      <c r="CL249" s="1">
        <v>2.1934699999999999E-9</v>
      </c>
      <c r="CM249">
        <v>0.97785999999999995</v>
      </c>
      <c r="CN249">
        <f t="shared" si="76"/>
        <v>75.99830621387602</v>
      </c>
    </row>
    <row r="250" spans="4:92" x14ac:dyDescent="0.35">
      <c r="D250" s="1">
        <v>2.4002E-9</v>
      </c>
      <c r="E250">
        <v>0.20252000000000001</v>
      </c>
      <c r="F250">
        <v>0</v>
      </c>
      <c r="G250">
        <v>4.3649300000000002E-2</v>
      </c>
      <c r="I250" s="1">
        <v>2.4002E-9</v>
      </c>
      <c r="J250">
        <f t="shared" si="72"/>
        <v>3.594415756863134E-4</v>
      </c>
      <c r="K250">
        <v>0</v>
      </c>
      <c r="L250">
        <v>1.4350462450214642E-4</v>
      </c>
      <c r="N250" s="1">
        <v>2.4002E-9</v>
      </c>
      <c r="O250">
        <f t="shared" si="73"/>
        <v>0</v>
      </c>
      <c r="Q250" s="1">
        <v>2.4002E-9</v>
      </c>
      <c r="R250">
        <f t="shared" si="74"/>
        <v>1.4350462450214642E-4</v>
      </c>
      <c r="CH250" s="1">
        <v>2.2218699999999999E-9</v>
      </c>
      <c r="CI250">
        <v>5.8629399999999996E-3</v>
      </c>
      <c r="CJ250">
        <f t="shared" si="75"/>
        <v>0.45566186308222267</v>
      </c>
      <c r="CL250" s="1">
        <v>2.2218699999999999E-9</v>
      </c>
      <c r="CM250">
        <v>0.94796999999999998</v>
      </c>
      <c r="CN250">
        <f t="shared" si="76"/>
        <v>73.67528515489748</v>
      </c>
    </row>
    <row r="251" spans="4:92" x14ac:dyDescent="0.35">
      <c r="D251" s="1">
        <v>2.4312799999999999E-9</v>
      </c>
      <c r="E251">
        <v>0.22311600000000001</v>
      </c>
      <c r="F251">
        <v>0</v>
      </c>
      <c r="G251">
        <v>4.4467E-2</v>
      </c>
      <c r="I251" s="1">
        <v>2.4312799999999999E-9</v>
      </c>
      <c r="J251">
        <f t="shared" si="72"/>
        <v>3.9599627987767878E-4</v>
      </c>
      <c r="K251">
        <v>0</v>
      </c>
      <c r="L251">
        <v>1.4619295470344186E-4</v>
      </c>
      <c r="N251" s="1">
        <v>2.4312799999999999E-9</v>
      </c>
      <c r="O251">
        <f t="shared" si="73"/>
        <v>0</v>
      </c>
      <c r="Q251" s="1">
        <v>2.4312799999999999E-9</v>
      </c>
      <c r="R251">
        <f t="shared" si="74"/>
        <v>1.4619295470344186E-4</v>
      </c>
      <c r="CH251" s="1">
        <v>2.2506499999999999E-9</v>
      </c>
      <c r="CI251">
        <v>5.2719200000000003E-3</v>
      </c>
      <c r="CJ251">
        <f t="shared" si="75"/>
        <v>0.40972837675644497</v>
      </c>
      <c r="CL251" s="1">
        <v>2.2506499999999999E-9</v>
      </c>
      <c r="CM251">
        <v>0</v>
      </c>
      <c r="CN251">
        <f t="shared" si="76"/>
        <v>0</v>
      </c>
    </row>
    <row r="252" spans="4:92" x14ac:dyDescent="0.35">
      <c r="D252" s="1">
        <v>2.4627700000000002E-9</v>
      </c>
      <c r="E252">
        <v>0.233317</v>
      </c>
      <c r="F252">
        <v>0</v>
      </c>
      <c r="G252">
        <v>4.84097E-2</v>
      </c>
      <c r="I252" s="1">
        <v>2.4627700000000002E-9</v>
      </c>
      <c r="J252">
        <f t="shared" si="72"/>
        <v>4.141014720245091E-4</v>
      </c>
      <c r="K252">
        <v>0</v>
      </c>
      <c r="L252">
        <v>1.591552629884456E-4</v>
      </c>
      <c r="N252" s="1">
        <v>2.4627700000000002E-9</v>
      </c>
      <c r="O252">
        <f t="shared" si="73"/>
        <v>0</v>
      </c>
      <c r="Q252" s="1">
        <v>2.4627700000000002E-9</v>
      </c>
      <c r="R252">
        <f t="shared" si="74"/>
        <v>1.591552629884456E-4</v>
      </c>
      <c r="CH252" s="1">
        <v>2.27979E-9</v>
      </c>
      <c r="CI252">
        <v>2.1307699999999999E-2</v>
      </c>
      <c r="CJ252">
        <f t="shared" si="75"/>
        <v>1.6560132425024094</v>
      </c>
      <c r="CL252" s="1">
        <v>2.27979E-9</v>
      </c>
      <c r="CM252">
        <v>1</v>
      </c>
      <c r="CN252">
        <f t="shared" si="76"/>
        <v>77.7190049842268</v>
      </c>
    </row>
    <row r="253" spans="4:92" x14ac:dyDescent="0.35">
      <c r="D253" s="1">
        <v>2.4946600000000002E-9</v>
      </c>
      <c r="E253">
        <v>0.24970400000000001</v>
      </c>
      <c r="F253">
        <v>0</v>
      </c>
      <c r="G253">
        <v>4.46772E-2</v>
      </c>
      <c r="I253" s="1">
        <v>2.4946600000000002E-9</v>
      </c>
      <c r="J253">
        <f t="shared" si="72"/>
        <v>4.431858543115505E-4</v>
      </c>
      <c r="K253">
        <v>0</v>
      </c>
      <c r="L253">
        <v>1.4688402356526442E-4</v>
      </c>
      <c r="N253" s="1">
        <v>2.4946600000000002E-9</v>
      </c>
      <c r="O253">
        <f t="shared" si="73"/>
        <v>0</v>
      </c>
      <c r="Q253" s="1">
        <v>2.4946600000000002E-9</v>
      </c>
      <c r="R253">
        <f t="shared" si="74"/>
        <v>1.4688402356526442E-4</v>
      </c>
      <c r="CH253" s="1">
        <v>2.3093100000000002E-9</v>
      </c>
      <c r="CI253">
        <v>1.35311E-3</v>
      </c>
      <c r="CJ253">
        <f t="shared" si="75"/>
        <v>0.10516236283420713</v>
      </c>
      <c r="CL253" s="1">
        <v>2.3093100000000002E-9</v>
      </c>
      <c r="CM253">
        <v>0</v>
      </c>
      <c r="CN253">
        <f t="shared" si="76"/>
        <v>0</v>
      </c>
    </row>
    <row r="254" spans="4:92" x14ac:dyDescent="0.35">
      <c r="D254" s="1">
        <v>2.52697E-9</v>
      </c>
      <c r="E254">
        <v>0.26369900000000002</v>
      </c>
      <c r="F254">
        <v>0</v>
      </c>
      <c r="G254">
        <v>6.4635700000000004E-2</v>
      </c>
      <c r="I254" s="1">
        <v>2.52697E-9</v>
      </c>
      <c r="J254">
        <f t="shared" si="72"/>
        <v>4.6802480775679032E-4</v>
      </c>
      <c r="K254">
        <v>0</v>
      </c>
      <c r="L254">
        <v>2.1250104487204575E-4</v>
      </c>
      <c r="N254" s="1">
        <v>2.52697E-9</v>
      </c>
      <c r="O254">
        <f t="shared" si="73"/>
        <v>0</v>
      </c>
      <c r="Q254" s="1">
        <v>2.52697E-9</v>
      </c>
      <c r="R254">
        <f t="shared" si="74"/>
        <v>2.1250104487204575E-4</v>
      </c>
      <c r="CH254" s="1">
        <v>2.3392200000000001E-9</v>
      </c>
      <c r="CI254">
        <v>3.1879400000000002E-2</v>
      </c>
      <c r="CJ254">
        <f t="shared" si="75"/>
        <v>2.4776352474941601</v>
      </c>
      <c r="CL254" s="1">
        <v>2.3392200000000001E-9</v>
      </c>
      <c r="CM254">
        <v>0</v>
      </c>
      <c r="CN254">
        <f t="shared" si="76"/>
        <v>0</v>
      </c>
    </row>
    <row r="255" spans="4:92" x14ac:dyDescent="0.35">
      <c r="D255" s="1">
        <v>2.5596899999999999E-9</v>
      </c>
      <c r="E255">
        <v>0.24831</v>
      </c>
      <c r="F255">
        <v>0</v>
      </c>
      <c r="G255">
        <v>4.5383899999999998E-2</v>
      </c>
      <c r="I255" s="1">
        <v>2.5596899999999999E-9</v>
      </c>
      <c r="J255">
        <f t="shared" si="72"/>
        <v>4.4071172061361093E-4</v>
      </c>
      <c r="K255">
        <v>0</v>
      </c>
      <c r="L255">
        <v>1.4920742206502653E-4</v>
      </c>
      <c r="N255" s="1">
        <v>2.5596899999999999E-9</v>
      </c>
      <c r="O255">
        <f t="shared" si="73"/>
        <v>0</v>
      </c>
      <c r="Q255" s="1">
        <v>2.5596899999999999E-9</v>
      </c>
      <c r="R255">
        <f t="shared" si="74"/>
        <v>1.4920742206502653E-4</v>
      </c>
      <c r="CH255" s="1">
        <v>2.36951E-9</v>
      </c>
      <c r="CI255">
        <v>9.6679299999999999E-3</v>
      </c>
      <c r="CJ255">
        <f t="shared" si="75"/>
        <v>0.75138189985715587</v>
      </c>
      <c r="CL255" s="1">
        <v>2.36951E-9</v>
      </c>
      <c r="CM255">
        <v>0</v>
      </c>
      <c r="CN255">
        <f t="shared" si="76"/>
        <v>0</v>
      </c>
    </row>
    <row r="256" spans="4:92" x14ac:dyDescent="0.35">
      <c r="D256" s="1">
        <v>2.5928399999999999E-9</v>
      </c>
      <c r="E256">
        <v>0.25101299999999999</v>
      </c>
      <c r="F256">
        <v>0</v>
      </c>
      <c r="G256">
        <v>5.8035299999999998E-2</v>
      </c>
      <c r="I256" s="1">
        <v>2.5928399999999999E-9</v>
      </c>
      <c r="J256">
        <f t="shared" si="72"/>
        <v>4.4550912619864005E-4</v>
      </c>
      <c r="K256">
        <v>0</v>
      </c>
      <c r="L256">
        <v>1.9080108809005911E-4</v>
      </c>
      <c r="N256" s="1">
        <v>2.5928399999999999E-9</v>
      </c>
      <c r="O256">
        <f t="shared" si="73"/>
        <v>0</v>
      </c>
      <c r="Q256" s="1">
        <v>2.5928399999999999E-9</v>
      </c>
      <c r="R256">
        <f t="shared" si="74"/>
        <v>1.9080108809005911E-4</v>
      </c>
      <c r="CH256" s="1">
        <v>2.4002E-9</v>
      </c>
      <c r="CI256">
        <v>0</v>
      </c>
      <c r="CJ256">
        <f t="shared" si="75"/>
        <v>0</v>
      </c>
      <c r="CL256" s="1">
        <v>2.4002E-9</v>
      </c>
      <c r="CM256">
        <v>0</v>
      </c>
      <c r="CN256">
        <f t="shared" si="76"/>
        <v>0</v>
      </c>
    </row>
    <row r="257" spans="4:92" x14ac:dyDescent="0.35">
      <c r="D257" s="1">
        <v>2.6264200000000001E-9</v>
      </c>
      <c r="E257">
        <v>0.23780399999999999</v>
      </c>
      <c r="F257">
        <v>0</v>
      </c>
      <c r="G257">
        <v>5.59838E-2</v>
      </c>
      <c r="I257" s="1">
        <v>2.6264200000000001E-9</v>
      </c>
      <c r="J257">
        <f t="shared" si="72"/>
        <v>4.2206520079255419E-4</v>
      </c>
      <c r="K257">
        <v>0</v>
      </c>
      <c r="L257">
        <v>1.8405642695766631E-4</v>
      </c>
      <c r="N257" s="1">
        <v>2.6264200000000001E-9</v>
      </c>
      <c r="O257">
        <f t="shared" si="73"/>
        <v>0</v>
      </c>
      <c r="Q257" s="1">
        <v>2.6264200000000001E-9</v>
      </c>
      <c r="R257">
        <f t="shared" si="74"/>
        <v>1.8405642695766631E-4</v>
      </c>
      <c r="CH257" s="1">
        <v>2.4312799999999999E-9</v>
      </c>
      <c r="CI257">
        <v>0</v>
      </c>
      <c r="CJ257">
        <f t="shared" si="75"/>
        <v>0</v>
      </c>
      <c r="CL257" s="1">
        <v>2.4312799999999999E-9</v>
      </c>
      <c r="CM257">
        <v>0</v>
      </c>
      <c r="CN257">
        <f t="shared" si="76"/>
        <v>0</v>
      </c>
    </row>
    <row r="258" spans="4:92" x14ac:dyDescent="0.35">
      <c r="D258" s="1">
        <v>2.6604300000000001E-9</v>
      </c>
      <c r="E258">
        <v>0.25600299999999998</v>
      </c>
      <c r="F258">
        <v>0</v>
      </c>
      <c r="G258">
        <v>5.84246E-2</v>
      </c>
      <c r="I258" s="1">
        <v>2.6604300000000001E-9</v>
      </c>
      <c r="J258">
        <f t="shared" si="72"/>
        <v>4.543656019179503E-4</v>
      </c>
      <c r="K258">
        <v>0</v>
      </c>
      <c r="L258">
        <v>1.9208097918381516E-4</v>
      </c>
      <c r="N258" s="1">
        <v>2.6604300000000001E-9</v>
      </c>
      <c r="O258">
        <f t="shared" si="73"/>
        <v>0</v>
      </c>
      <c r="Q258" s="1">
        <v>2.6604300000000001E-9</v>
      </c>
      <c r="R258">
        <f t="shared" si="74"/>
        <v>1.9208097918381516E-4</v>
      </c>
      <c r="CH258" s="1">
        <v>2.4627700000000002E-9</v>
      </c>
      <c r="CI258">
        <v>2.5837899999999999E-3</v>
      </c>
      <c r="CJ258">
        <f t="shared" si="75"/>
        <v>0.20080958788819536</v>
      </c>
      <c r="CL258" s="1">
        <v>2.4627700000000002E-9</v>
      </c>
      <c r="CM258">
        <v>0</v>
      </c>
      <c r="CN258">
        <f t="shared" si="76"/>
        <v>0</v>
      </c>
    </row>
    <row r="259" spans="4:92" x14ac:dyDescent="0.35">
      <c r="D259" s="1">
        <v>2.6948800000000001E-9</v>
      </c>
      <c r="E259">
        <v>0.285329</v>
      </c>
      <c r="F259">
        <v>0</v>
      </c>
      <c r="G259">
        <v>5.7231499999999998E-2</v>
      </c>
      <c r="I259" s="1">
        <v>2.6948800000000001E-9</v>
      </c>
      <c r="J259">
        <f t="shared" si="72"/>
        <v>5.0641470150602466E-4</v>
      </c>
      <c r="K259">
        <v>0</v>
      </c>
      <c r="L259">
        <v>1.8815845654328002E-4</v>
      </c>
      <c r="N259" s="1">
        <v>2.6948800000000001E-9</v>
      </c>
      <c r="O259">
        <f t="shared" si="73"/>
        <v>0</v>
      </c>
      <c r="Q259" s="1">
        <v>2.6948800000000001E-9</v>
      </c>
      <c r="R259">
        <f t="shared" si="74"/>
        <v>1.8815845654328002E-4</v>
      </c>
      <c r="CH259" s="1">
        <v>2.4946600000000002E-9</v>
      </c>
      <c r="CI259">
        <v>2.9047999999999999E-3</v>
      </c>
      <c r="CJ259">
        <f t="shared" si="75"/>
        <v>0.22575816567818202</v>
      </c>
      <c r="CL259" s="1">
        <v>2.4946600000000002E-9</v>
      </c>
      <c r="CM259">
        <v>0</v>
      </c>
      <c r="CN259">
        <f t="shared" si="76"/>
        <v>0</v>
      </c>
    </row>
    <row r="260" spans="4:92" x14ac:dyDescent="0.35">
      <c r="D260" s="1">
        <v>2.7297800000000001E-9</v>
      </c>
      <c r="E260">
        <v>0.26994899999999999</v>
      </c>
      <c r="F260">
        <v>0</v>
      </c>
      <c r="G260">
        <v>6.3766799999999998E-2</v>
      </c>
      <c r="I260" s="1">
        <v>2.7297800000000001E-9</v>
      </c>
      <c r="J260">
        <f t="shared" ref="J260:J323" si="77">E260/SUM($E$3:$E$2002)/$C$3</f>
        <v>4.7911758796634709E-4</v>
      </c>
      <c r="K260">
        <v>0</v>
      </c>
      <c r="L260">
        <v>2.0964438581382681E-4</v>
      </c>
      <c r="N260" s="1">
        <v>2.7297800000000001E-9</v>
      </c>
      <c r="O260">
        <f t="shared" ref="O260:O323" si="78">F260/SUM($F$3:$F$2002)/$C$3</f>
        <v>0</v>
      </c>
      <c r="Q260" s="1">
        <v>2.7297800000000001E-9</v>
      </c>
      <c r="R260">
        <f t="shared" ref="R260:R323" si="79">G260/SUM($G$3:$G$2002)/$C$3</f>
        <v>2.0964438581382681E-4</v>
      </c>
      <c r="CH260" s="1">
        <v>2.52697E-9</v>
      </c>
      <c r="CI260">
        <v>5.4805100000000001E-3</v>
      </c>
      <c r="CJ260">
        <f t="shared" si="75"/>
        <v>0.42593978400610483</v>
      </c>
      <c r="CL260" s="1">
        <v>2.52697E-9</v>
      </c>
      <c r="CM260">
        <v>0</v>
      </c>
      <c r="CN260">
        <f t="shared" si="76"/>
        <v>0</v>
      </c>
    </row>
    <row r="261" spans="4:92" x14ac:dyDescent="0.35">
      <c r="D261" s="1">
        <v>2.7651299999999999E-9</v>
      </c>
      <c r="E261">
        <v>0.29314800000000002</v>
      </c>
      <c r="F261">
        <v>0</v>
      </c>
      <c r="G261">
        <v>5.4294299999999997E-2</v>
      </c>
      <c r="I261" s="1">
        <v>2.7651299999999999E-9</v>
      </c>
      <c r="J261">
        <f t="shared" si="77"/>
        <v>5.2029221325938877E-4</v>
      </c>
      <c r="K261">
        <v>0</v>
      </c>
      <c r="L261">
        <v>1.7850190344649024E-4</v>
      </c>
      <c r="N261" s="1">
        <v>2.7651299999999999E-9</v>
      </c>
      <c r="O261">
        <f t="shared" si="78"/>
        <v>0</v>
      </c>
      <c r="Q261" s="1">
        <v>2.7651299999999999E-9</v>
      </c>
      <c r="R261">
        <f t="shared" si="79"/>
        <v>1.7850190344649024E-4</v>
      </c>
      <c r="CH261" s="1">
        <v>2.5596899999999999E-9</v>
      </c>
      <c r="CI261">
        <v>2.4067600000000001E-2</v>
      </c>
      <c r="CJ261">
        <f t="shared" si="75"/>
        <v>1.8705099243583772</v>
      </c>
      <c r="CL261" s="1">
        <v>2.5596899999999999E-9</v>
      </c>
      <c r="CM261">
        <v>0</v>
      </c>
      <c r="CN261">
        <f t="shared" si="76"/>
        <v>0</v>
      </c>
    </row>
    <row r="262" spans="4:92" x14ac:dyDescent="0.35">
      <c r="D262" s="1">
        <v>2.80094E-9</v>
      </c>
      <c r="E262">
        <v>0.30661500000000003</v>
      </c>
      <c r="F262">
        <v>0</v>
      </c>
      <c r="G262">
        <v>3.7636099999999999E-2</v>
      </c>
      <c r="I262" s="1">
        <v>2.80094E-9</v>
      </c>
      <c r="J262">
        <f t="shared" si="77"/>
        <v>5.4419404863252521E-4</v>
      </c>
      <c r="K262">
        <v>0</v>
      </c>
      <c r="L262">
        <v>1.2373518929800095E-4</v>
      </c>
      <c r="N262" s="1">
        <v>2.80094E-9</v>
      </c>
      <c r="O262">
        <f t="shared" si="78"/>
        <v>0</v>
      </c>
      <c r="Q262" s="1">
        <v>2.80094E-9</v>
      </c>
      <c r="R262">
        <f t="shared" si="79"/>
        <v>1.2373518929800095E-4</v>
      </c>
      <c r="CH262" s="1">
        <v>2.5928399999999999E-9</v>
      </c>
      <c r="CI262">
        <v>2.7518899999999999E-2</v>
      </c>
      <c r="CJ262">
        <f t="shared" si="75"/>
        <v>2.1387415262604388</v>
      </c>
      <c r="CL262" s="1">
        <v>2.5928399999999999E-9</v>
      </c>
      <c r="CM262">
        <v>0</v>
      </c>
      <c r="CN262">
        <f t="shared" si="76"/>
        <v>0</v>
      </c>
    </row>
    <row r="263" spans="4:92" x14ac:dyDescent="0.35">
      <c r="D263" s="1">
        <v>2.83721E-9</v>
      </c>
      <c r="E263">
        <v>0.30662200000000001</v>
      </c>
      <c r="F263">
        <v>0</v>
      </c>
      <c r="G263">
        <v>5.8774100000000003E-2</v>
      </c>
      <c r="I263" s="1">
        <v>2.83721E-9</v>
      </c>
      <c r="J263">
        <f t="shared" si="77"/>
        <v>5.4420647254635978E-4</v>
      </c>
      <c r="K263">
        <v>0</v>
      </c>
      <c r="L263">
        <v>1.9323002089269712E-4</v>
      </c>
      <c r="N263" s="1">
        <v>2.83721E-9</v>
      </c>
      <c r="O263">
        <f t="shared" si="78"/>
        <v>0</v>
      </c>
      <c r="Q263" s="1">
        <v>2.83721E-9</v>
      </c>
      <c r="R263">
        <f t="shared" si="79"/>
        <v>1.9323002089269712E-4</v>
      </c>
      <c r="CH263" s="1">
        <v>2.6264200000000001E-9</v>
      </c>
      <c r="CI263">
        <v>2.8218800000000001E-3</v>
      </c>
      <c r="CJ263">
        <f t="shared" si="75"/>
        <v>0.21931370578488996</v>
      </c>
      <c r="CL263" s="1">
        <v>2.6264200000000001E-9</v>
      </c>
      <c r="CM263">
        <v>0</v>
      </c>
      <c r="CN263">
        <f t="shared" si="76"/>
        <v>0</v>
      </c>
    </row>
    <row r="264" spans="4:92" x14ac:dyDescent="0.35">
      <c r="D264" s="1">
        <v>2.87395E-9</v>
      </c>
      <c r="E264">
        <v>0.31229499999999999</v>
      </c>
      <c r="F264">
        <v>0</v>
      </c>
      <c r="G264">
        <v>6.6758200000000004E-2</v>
      </c>
      <c r="I264" s="1">
        <v>2.87395E-9</v>
      </c>
      <c r="J264">
        <f t="shared" si="77"/>
        <v>5.5427516728697042E-4</v>
      </c>
      <c r="K264">
        <v>0</v>
      </c>
      <c r="L264">
        <v>2.1947913078650038E-4</v>
      </c>
      <c r="N264" s="1">
        <v>2.87395E-9</v>
      </c>
      <c r="O264">
        <f t="shared" si="78"/>
        <v>0</v>
      </c>
      <c r="Q264" s="1">
        <v>2.87395E-9</v>
      </c>
      <c r="R264">
        <f t="shared" si="79"/>
        <v>2.1947913078650038E-4</v>
      </c>
      <c r="CH264" s="1">
        <v>2.6604300000000001E-9</v>
      </c>
      <c r="CI264">
        <v>1.4437199999999999E-3</v>
      </c>
      <c r="CJ264">
        <f t="shared" si="75"/>
        <v>0.11220448187582792</v>
      </c>
      <c r="CL264" s="1">
        <v>2.6604300000000001E-9</v>
      </c>
      <c r="CM264">
        <v>0</v>
      </c>
      <c r="CN264">
        <f t="shared" si="76"/>
        <v>0</v>
      </c>
    </row>
    <row r="265" spans="4:92" x14ac:dyDescent="0.35">
      <c r="D265" s="1">
        <v>2.91117E-9</v>
      </c>
      <c r="E265">
        <v>0.30793399999999999</v>
      </c>
      <c r="F265">
        <v>0</v>
      </c>
      <c r="G265">
        <v>5.6376700000000002E-2</v>
      </c>
      <c r="I265" s="1">
        <v>2.91117E-9</v>
      </c>
      <c r="J265">
        <f t="shared" si="77"/>
        <v>5.4653506896794996E-4</v>
      </c>
      <c r="K265">
        <v>0</v>
      </c>
      <c r="L265">
        <v>1.8534815367417479E-4</v>
      </c>
      <c r="N265" s="1">
        <v>2.91117E-9</v>
      </c>
      <c r="O265">
        <f t="shared" si="78"/>
        <v>0</v>
      </c>
      <c r="Q265" s="1">
        <v>2.91117E-9</v>
      </c>
      <c r="R265">
        <f t="shared" si="79"/>
        <v>1.8534815367417479E-4</v>
      </c>
      <c r="CH265" s="1">
        <v>2.6948800000000001E-9</v>
      </c>
      <c r="CI265">
        <v>4.1594700000000002E-3</v>
      </c>
      <c r="CJ265">
        <f t="shared" si="75"/>
        <v>0.32326986966174187</v>
      </c>
      <c r="CL265" s="1">
        <v>2.6948800000000001E-9</v>
      </c>
      <c r="CM265">
        <v>0</v>
      </c>
      <c r="CN265">
        <f t="shared" si="76"/>
        <v>0</v>
      </c>
    </row>
    <row r="266" spans="4:92" x14ac:dyDescent="0.35">
      <c r="D266" s="1">
        <v>2.94887E-9</v>
      </c>
      <c r="E266">
        <v>0.32281500000000002</v>
      </c>
      <c r="F266">
        <v>0</v>
      </c>
      <c r="G266">
        <v>6.81036E-2</v>
      </c>
      <c r="I266" s="1">
        <v>2.94887E-9</v>
      </c>
      <c r="J266">
        <f t="shared" si="77"/>
        <v>5.7294653493569661E-4</v>
      </c>
      <c r="K266">
        <v>0</v>
      </c>
      <c r="L266">
        <v>2.2390236602292312E-4</v>
      </c>
      <c r="N266" s="1">
        <v>2.94887E-9</v>
      </c>
      <c r="O266">
        <f t="shared" si="78"/>
        <v>0</v>
      </c>
      <c r="Q266" s="1">
        <v>2.94887E-9</v>
      </c>
      <c r="R266">
        <f t="shared" si="79"/>
        <v>2.2390236602292312E-4</v>
      </c>
      <c r="CH266" s="1">
        <v>2.7297800000000001E-9</v>
      </c>
      <c r="CI266">
        <v>3.5696199999999997E-2</v>
      </c>
      <c r="CJ266">
        <f t="shared" ref="CJ266:CJ329" si="80">CI266/$CG$9</f>
        <v>2.7742731457179568</v>
      </c>
      <c r="CL266" s="1">
        <v>2.7297800000000001E-9</v>
      </c>
      <c r="CM266">
        <v>0</v>
      </c>
      <c r="CN266">
        <f t="shared" ref="CN266:CN329" si="81">CM266/$CG$9</f>
        <v>0</v>
      </c>
    </row>
    <row r="267" spans="4:92" x14ac:dyDescent="0.35">
      <c r="D267" s="1">
        <v>2.9870599999999998E-9</v>
      </c>
      <c r="E267">
        <v>0.32750299999999999</v>
      </c>
      <c r="F267">
        <v>0</v>
      </c>
      <c r="G267">
        <v>6.2527600000000003E-2</v>
      </c>
      <c r="I267" s="1">
        <v>2.9870599999999998E-9</v>
      </c>
      <c r="J267">
        <f t="shared" si="77"/>
        <v>5.8126700751528094E-4</v>
      </c>
      <c r="K267">
        <v>0</v>
      </c>
      <c r="L267">
        <v>2.0557030144860078E-4</v>
      </c>
      <c r="N267" s="1">
        <v>2.9870599999999998E-9</v>
      </c>
      <c r="O267">
        <f t="shared" si="78"/>
        <v>0</v>
      </c>
      <c r="Q267" s="1">
        <v>2.9870599999999998E-9</v>
      </c>
      <c r="R267">
        <f t="shared" si="79"/>
        <v>2.0557030144860078E-4</v>
      </c>
      <c r="CH267" s="1">
        <v>2.7651299999999999E-9</v>
      </c>
      <c r="CI267">
        <v>8.7091100000000008E-3</v>
      </c>
      <c r="CJ267">
        <f t="shared" si="80"/>
        <v>0.67686336349817955</v>
      </c>
      <c r="CL267" s="1">
        <v>2.7651299999999999E-9</v>
      </c>
      <c r="CM267">
        <v>1</v>
      </c>
      <c r="CN267">
        <f t="shared" si="81"/>
        <v>77.7190049842268</v>
      </c>
    </row>
    <row r="268" spans="4:92" x14ac:dyDescent="0.35">
      <c r="D268" s="1">
        <v>3.0257399999999999E-9</v>
      </c>
      <c r="E268">
        <v>0.32997199999999999</v>
      </c>
      <c r="F268">
        <v>0</v>
      </c>
      <c r="G268">
        <v>4.99449E-2</v>
      </c>
      <c r="I268" s="1">
        <v>3.0257399999999999E-9</v>
      </c>
      <c r="J268">
        <f t="shared" si="77"/>
        <v>5.8564909940926428E-4</v>
      </c>
      <c r="K268">
        <v>0</v>
      </c>
      <c r="L268">
        <v>1.6420249855776046E-4</v>
      </c>
      <c r="N268" s="1">
        <v>3.0257399999999999E-9</v>
      </c>
      <c r="O268">
        <f t="shared" si="78"/>
        <v>0</v>
      </c>
      <c r="Q268" s="1">
        <v>3.0257399999999999E-9</v>
      </c>
      <c r="R268">
        <f t="shared" si="79"/>
        <v>1.6420249855776046E-4</v>
      </c>
      <c r="CH268" s="1">
        <v>2.80094E-9</v>
      </c>
      <c r="CI268">
        <v>3.0460000000000001E-3</v>
      </c>
      <c r="CJ268">
        <f t="shared" si="80"/>
        <v>0.23673208918195485</v>
      </c>
      <c r="CL268" s="1">
        <v>2.80094E-9</v>
      </c>
      <c r="CM268">
        <v>1</v>
      </c>
      <c r="CN268">
        <f t="shared" si="81"/>
        <v>77.7190049842268</v>
      </c>
    </row>
    <row r="269" spans="4:92" x14ac:dyDescent="0.35">
      <c r="D269" s="1">
        <v>3.0649300000000001E-9</v>
      </c>
      <c r="E269">
        <v>0.40165099999999998</v>
      </c>
      <c r="F269">
        <v>0</v>
      </c>
      <c r="G269">
        <v>5.9680499999999997E-2</v>
      </c>
      <c r="I269" s="1">
        <v>3.0649300000000001E-9</v>
      </c>
      <c r="J269">
        <f t="shared" si="77"/>
        <v>7.128682022317967E-4</v>
      </c>
      <c r="K269">
        <v>0</v>
      </c>
      <c r="L269">
        <v>1.9620996768792052E-4</v>
      </c>
      <c r="N269" s="1">
        <v>3.0649300000000001E-9</v>
      </c>
      <c r="O269">
        <f t="shared" si="78"/>
        <v>0</v>
      </c>
      <c r="Q269" s="1">
        <v>3.0649300000000001E-9</v>
      </c>
      <c r="R269">
        <f t="shared" si="79"/>
        <v>1.9620996768792052E-4</v>
      </c>
      <c r="CH269" s="1">
        <v>2.83721E-9</v>
      </c>
      <c r="CI269">
        <v>5.3209300000000001E-2</v>
      </c>
      <c r="CJ269">
        <f t="shared" si="80"/>
        <v>4.135373851907219</v>
      </c>
      <c r="CL269" s="1">
        <v>2.83721E-9</v>
      </c>
      <c r="CM269">
        <v>0</v>
      </c>
      <c r="CN269">
        <f t="shared" si="81"/>
        <v>0</v>
      </c>
    </row>
    <row r="270" spans="4:92" x14ac:dyDescent="0.35">
      <c r="D270" s="1">
        <v>3.10462E-9</v>
      </c>
      <c r="E270">
        <v>0.35608699999999999</v>
      </c>
      <c r="F270">
        <v>0</v>
      </c>
      <c r="G270">
        <v>6.8609699999999996E-2</v>
      </c>
      <c r="I270" s="1">
        <v>3.10462E-9</v>
      </c>
      <c r="J270">
        <f t="shared" si="77"/>
        <v>6.3199917223687673E-4</v>
      </c>
      <c r="K270">
        <v>0</v>
      </c>
      <c r="L270">
        <v>2.2556625732153584E-4</v>
      </c>
      <c r="N270" s="1">
        <v>3.10462E-9</v>
      </c>
      <c r="O270">
        <f t="shared" si="78"/>
        <v>0</v>
      </c>
      <c r="Q270" s="1">
        <v>3.10462E-9</v>
      </c>
      <c r="R270">
        <f t="shared" si="79"/>
        <v>2.2556625732153584E-4</v>
      </c>
      <c r="CH270" s="1">
        <v>2.87395E-9</v>
      </c>
      <c r="CI270">
        <v>6.9106100000000002E-3</v>
      </c>
      <c r="CJ270">
        <f t="shared" si="80"/>
        <v>0.53708573303404761</v>
      </c>
      <c r="CL270" s="1">
        <v>2.87395E-9</v>
      </c>
      <c r="CM270">
        <v>0</v>
      </c>
      <c r="CN270">
        <f t="shared" si="81"/>
        <v>0</v>
      </c>
    </row>
    <row r="271" spans="4:92" x14ac:dyDescent="0.35">
      <c r="D271" s="1">
        <v>3.1448199999999999E-9</v>
      </c>
      <c r="E271">
        <v>0.35866199999999998</v>
      </c>
      <c r="F271">
        <v>0</v>
      </c>
      <c r="G271">
        <v>6.6373399999999999E-2</v>
      </c>
      <c r="I271" s="1">
        <v>3.1448199999999999E-9</v>
      </c>
      <c r="J271">
        <f t="shared" si="77"/>
        <v>6.3656939768321407E-4</v>
      </c>
      <c r="K271">
        <v>0</v>
      </c>
      <c r="L271">
        <v>2.1821403422118488E-4</v>
      </c>
      <c r="N271" s="1">
        <v>3.1448199999999999E-9</v>
      </c>
      <c r="O271">
        <f t="shared" si="78"/>
        <v>0</v>
      </c>
      <c r="Q271" s="1">
        <v>3.1448199999999999E-9</v>
      </c>
      <c r="R271">
        <f t="shared" si="79"/>
        <v>2.1821403422118488E-4</v>
      </c>
      <c r="CH271" s="1">
        <v>2.91117E-9</v>
      </c>
      <c r="CI271">
        <v>1.6271300000000001E-3</v>
      </c>
      <c r="CJ271">
        <f t="shared" si="80"/>
        <v>0.12645892457998498</v>
      </c>
      <c r="CL271" s="1">
        <v>2.91117E-9</v>
      </c>
      <c r="CM271">
        <v>1</v>
      </c>
      <c r="CN271">
        <f t="shared" si="81"/>
        <v>77.7190049842268</v>
      </c>
    </row>
    <row r="272" spans="4:92" x14ac:dyDescent="0.35">
      <c r="D272" s="1">
        <v>3.18555E-9</v>
      </c>
      <c r="E272">
        <v>0.450187</v>
      </c>
      <c r="F272">
        <v>0</v>
      </c>
      <c r="G272">
        <v>8.1097799999999998E-2</v>
      </c>
      <c r="I272" s="1">
        <v>3.18555E-9</v>
      </c>
      <c r="J272">
        <f t="shared" si="77"/>
        <v>7.9901207107196514E-4</v>
      </c>
      <c r="K272">
        <v>0</v>
      </c>
      <c r="L272">
        <v>2.666230463478262E-4</v>
      </c>
      <c r="N272" s="1">
        <v>3.18555E-9</v>
      </c>
      <c r="O272">
        <f t="shared" si="78"/>
        <v>0</v>
      </c>
      <c r="Q272" s="1">
        <v>3.18555E-9</v>
      </c>
      <c r="R272">
        <f t="shared" si="79"/>
        <v>2.666230463478262E-4</v>
      </c>
      <c r="CH272" s="1">
        <v>2.94887E-9</v>
      </c>
      <c r="CI272">
        <v>1.67559E-3</v>
      </c>
      <c r="CJ272">
        <f t="shared" si="80"/>
        <v>0.1302251875615206</v>
      </c>
      <c r="CL272" s="1">
        <v>2.94887E-9</v>
      </c>
      <c r="CM272">
        <v>0</v>
      </c>
      <c r="CN272">
        <f t="shared" si="81"/>
        <v>0</v>
      </c>
    </row>
    <row r="273" spans="4:92" x14ac:dyDescent="0.35">
      <c r="D273" s="1">
        <v>3.2268000000000001E-9</v>
      </c>
      <c r="E273">
        <v>0.41659400000000002</v>
      </c>
      <c r="F273">
        <v>0</v>
      </c>
      <c r="G273">
        <v>8.5608400000000001E-2</v>
      </c>
      <c r="I273" s="1">
        <v>3.2268000000000001E-9</v>
      </c>
      <c r="J273">
        <f t="shared" si="77"/>
        <v>7.3938970857922212E-4</v>
      </c>
      <c r="K273">
        <v>0</v>
      </c>
      <c r="L273">
        <v>2.8145242412202603E-4</v>
      </c>
      <c r="N273" s="1">
        <v>3.2268000000000001E-9</v>
      </c>
      <c r="O273">
        <f t="shared" si="78"/>
        <v>0</v>
      </c>
      <c r="Q273" s="1">
        <v>3.2268000000000001E-9</v>
      </c>
      <c r="R273">
        <f t="shared" si="79"/>
        <v>2.8145242412202603E-4</v>
      </c>
      <c r="CH273" s="1">
        <v>2.9870599999999998E-9</v>
      </c>
      <c r="CI273">
        <v>7.2611200000000002E-3</v>
      </c>
      <c r="CJ273">
        <f t="shared" si="80"/>
        <v>0.56432702147106895</v>
      </c>
      <c r="CL273" s="1">
        <v>2.9870599999999998E-9</v>
      </c>
      <c r="CM273">
        <v>1</v>
      </c>
      <c r="CN273">
        <f t="shared" si="81"/>
        <v>77.7190049842268</v>
      </c>
    </row>
    <row r="274" spans="4:92" x14ac:dyDescent="0.35">
      <c r="D274" s="1">
        <v>3.2685900000000002E-9</v>
      </c>
      <c r="E274">
        <v>0.42194900000000002</v>
      </c>
      <c r="F274">
        <v>0</v>
      </c>
      <c r="G274">
        <v>7.8261999999999998E-2</v>
      </c>
      <c r="I274" s="1">
        <v>3.2685900000000002E-9</v>
      </c>
      <c r="J274">
        <f t="shared" si="77"/>
        <v>7.4889400266277045E-4</v>
      </c>
      <c r="K274">
        <v>0</v>
      </c>
      <c r="L274">
        <v>2.5729986329189658E-4</v>
      </c>
      <c r="N274" s="1">
        <v>3.2685900000000002E-9</v>
      </c>
      <c r="O274">
        <f t="shared" si="78"/>
        <v>0</v>
      </c>
      <c r="Q274" s="1">
        <v>3.2685900000000002E-9</v>
      </c>
      <c r="R274">
        <f t="shared" si="79"/>
        <v>2.5729986329189658E-4</v>
      </c>
      <c r="CH274" s="1">
        <v>3.0257399999999999E-9</v>
      </c>
      <c r="CI274">
        <v>4.5990299999999996E-3</v>
      </c>
      <c r="CJ274">
        <f t="shared" si="80"/>
        <v>0.35743203549260855</v>
      </c>
      <c r="CL274" s="1">
        <v>3.0257399999999999E-9</v>
      </c>
      <c r="CM274">
        <v>1</v>
      </c>
      <c r="CN274">
        <f t="shared" si="81"/>
        <v>77.7190049842268</v>
      </c>
    </row>
    <row r="275" spans="4:92" x14ac:dyDescent="0.35">
      <c r="D275" s="1">
        <v>3.31092E-9</v>
      </c>
      <c r="E275">
        <v>0.42963499999999999</v>
      </c>
      <c r="F275">
        <v>0</v>
      </c>
      <c r="G275">
        <v>6.5666699999999995E-2</v>
      </c>
      <c r="I275" s="1">
        <v>3.31092E-9</v>
      </c>
      <c r="J275">
        <f t="shared" si="77"/>
        <v>7.6253546005327505E-4</v>
      </c>
      <c r="K275">
        <v>0</v>
      </c>
      <c r="L275">
        <v>2.1589063572142276E-4</v>
      </c>
      <c r="N275" s="1">
        <v>3.31092E-9</v>
      </c>
      <c r="O275">
        <f t="shared" si="78"/>
        <v>0</v>
      </c>
      <c r="Q275" s="1">
        <v>3.31092E-9</v>
      </c>
      <c r="R275">
        <f t="shared" si="79"/>
        <v>2.1589063572142276E-4</v>
      </c>
      <c r="CH275" s="1">
        <v>3.0649300000000001E-9</v>
      </c>
      <c r="CI275">
        <v>2.5716900000000001E-2</v>
      </c>
      <c r="CJ275">
        <f t="shared" si="80"/>
        <v>1.9986918792788624</v>
      </c>
      <c r="CL275" s="1">
        <v>3.0649300000000001E-9</v>
      </c>
      <c r="CM275">
        <v>1</v>
      </c>
      <c r="CN275">
        <f t="shared" si="81"/>
        <v>77.7190049842268</v>
      </c>
    </row>
    <row r="276" spans="4:92" x14ac:dyDescent="0.35">
      <c r="D276" s="1">
        <v>3.3537899999999999E-9</v>
      </c>
      <c r="E276">
        <v>0.42359799999999997</v>
      </c>
      <c r="F276">
        <v>0</v>
      </c>
      <c r="G276">
        <v>7.6196E-2</v>
      </c>
      <c r="I276" s="1">
        <v>3.3537899999999999E-9</v>
      </c>
      <c r="J276">
        <f t="shared" si="77"/>
        <v>7.5182072179325987E-4</v>
      </c>
      <c r="K276">
        <v>0</v>
      </c>
      <c r="L276">
        <v>2.5050753090119542E-4</v>
      </c>
      <c r="N276" s="1">
        <v>3.3537899999999999E-9</v>
      </c>
      <c r="O276">
        <f t="shared" si="78"/>
        <v>0</v>
      </c>
      <c r="Q276" s="1">
        <v>3.3537899999999999E-9</v>
      </c>
      <c r="R276">
        <f t="shared" si="79"/>
        <v>2.5050753090119542E-4</v>
      </c>
      <c r="CH276" s="1">
        <v>3.10462E-9</v>
      </c>
      <c r="CI276">
        <v>3.0702699999999999E-3</v>
      </c>
      <c r="CJ276">
        <f t="shared" si="80"/>
        <v>0.23861832943292202</v>
      </c>
      <c r="CL276" s="1">
        <v>3.10462E-9</v>
      </c>
      <c r="CM276">
        <v>0</v>
      </c>
      <c r="CN276">
        <f t="shared" si="81"/>
        <v>0</v>
      </c>
    </row>
    <row r="277" spans="4:92" x14ac:dyDescent="0.35">
      <c r="D277" s="1">
        <v>3.3972299999999999E-9</v>
      </c>
      <c r="E277">
        <v>0.427425</v>
      </c>
      <c r="F277">
        <v>0</v>
      </c>
      <c r="G277">
        <v>8.6402599999999996E-2</v>
      </c>
      <c r="I277" s="1">
        <v>3.3972299999999999E-9</v>
      </c>
      <c r="J277">
        <f t="shared" si="77"/>
        <v>7.5861305297117584E-4</v>
      </c>
      <c r="K277">
        <v>0</v>
      </c>
      <c r="L277">
        <v>2.8406349400813196E-4</v>
      </c>
      <c r="N277" s="1">
        <v>3.3972299999999999E-9</v>
      </c>
      <c r="O277">
        <f t="shared" si="78"/>
        <v>0</v>
      </c>
      <c r="Q277" s="1">
        <v>3.3972299999999999E-9</v>
      </c>
      <c r="R277">
        <f t="shared" si="79"/>
        <v>2.8406349400813196E-4</v>
      </c>
      <c r="CH277" s="1">
        <v>3.1448199999999999E-9</v>
      </c>
      <c r="CI277">
        <v>2.6761299999999998E-2</v>
      </c>
      <c r="CJ277">
        <f t="shared" si="80"/>
        <v>2.0798616080843888</v>
      </c>
      <c r="CL277" s="1">
        <v>3.1448199999999999E-9</v>
      </c>
      <c r="CM277">
        <v>0</v>
      </c>
      <c r="CN277">
        <f t="shared" si="81"/>
        <v>0</v>
      </c>
    </row>
    <row r="278" spans="4:92" x14ac:dyDescent="0.35">
      <c r="D278" s="1">
        <v>3.4412199999999998E-9</v>
      </c>
      <c r="E278">
        <v>0.46146799999999999</v>
      </c>
      <c r="F278">
        <v>0</v>
      </c>
      <c r="G278">
        <v>9.6222299999999997E-2</v>
      </c>
      <c r="I278" s="1">
        <v>3.4412199999999998E-9</v>
      </c>
      <c r="J278">
        <f t="shared" si="77"/>
        <v>8.1903409563900686E-4</v>
      </c>
      <c r="K278">
        <v>0</v>
      </c>
      <c r="L278">
        <v>3.1634745643648087E-4</v>
      </c>
      <c r="N278" s="1">
        <v>3.4412199999999998E-9</v>
      </c>
      <c r="O278">
        <f t="shared" si="78"/>
        <v>0</v>
      </c>
      <c r="Q278" s="1">
        <v>3.4412199999999998E-9</v>
      </c>
      <c r="R278">
        <f t="shared" si="79"/>
        <v>3.1634745643648087E-4</v>
      </c>
      <c r="CH278" s="1">
        <v>3.18555E-9</v>
      </c>
      <c r="CI278">
        <v>3.3707399999999998E-2</v>
      </c>
      <c r="CJ278">
        <f t="shared" si="80"/>
        <v>2.6197055886053264</v>
      </c>
      <c r="CL278" s="1">
        <v>3.18555E-9</v>
      </c>
      <c r="CM278">
        <v>0</v>
      </c>
      <c r="CN278">
        <f t="shared" si="81"/>
        <v>0</v>
      </c>
    </row>
    <row r="279" spans="4:92" x14ac:dyDescent="0.35">
      <c r="D279" s="1">
        <v>3.4857799999999999E-9</v>
      </c>
      <c r="E279">
        <v>0.48047600000000001</v>
      </c>
      <c r="F279">
        <v>0</v>
      </c>
      <c r="G279">
        <v>9.3037599999999998E-2</v>
      </c>
      <c r="I279" s="1">
        <v>3.4857799999999999E-9</v>
      </c>
      <c r="J279">
        <f t="shared" si="77"/>
        <v>8.5277034623472804E-4</v>
      </c>
      <c r="K279">
        <v>0</v>
      </c>
      <c r="L279">
        <v>3.0587720427546137E-4</v>
      </c>
      <c r="N279" s="1">
        <v>3.4857799999999999E-9</v>
      </c>
      <c r="O279">
        <f t="shared" si="78"/>
        <v>0</v>
      </c>
      <c r="Q279" s="1">
        <v>3.4857799999999999E-9</v>
      </c>
      <c r="R279">
        <f t="shared" si="79"/>
        <v>3.0587720427546137E-4</v>
      </c>
      <c r="CH279" s="1">
        <v>3.2268000000000001E-9</v>
      </c>
      <c r="CI279">
        <v>7.1659899999999997E-3</v>
      </c>
      <c r="CJ279">
        <f t="shared" si="80"/>
        <v>0.55693361252691942</v>
      </c>
      <c r="CL279" s="1">
        <v>3.2268000000000001E-9</v>
      </c>
      <c r="CM279">
        <v>0</v>
      </c>
      <c r="CN279">
        <f t="shared" si="81"/>
        <v>0</v>
      </c>
    </row>
    <row r="280" spans="4:92" x14ac:dyDescent="0.35">
      <c r="D280" s="1">
        <v>3.5309299999999999E-9</v>
      </c>
      <c r="E280">
        <v>0.437446</v>
      </c>
      <c r="F280">
        <v>0</v>
      </c>
      <c r="G280">
        <v>0.105036</v>
      </c>
      <c r="I280" s="1">
        <v>3.5309299999999999E-9</v>
      </c>
      <c r="J280">
        <f t="shared" si="77"/>
        <v>7.7639877304797077E-4</v>
      </c>
      <c r="K280">
        <v>0</v>
      </c>
      <c r="L280">
        <v>3.4532401984012232E-4</v>
      </c>
      <c r="N280" s="1">
        <v>3.5309299999999999E-9</v>
      </c>
      <c r="O280">
        <f t="shared" si="78"/>
        <v>0</v>
      </c>
      <c r="Q280" s="1">
        <v>3.5309299999999999E-9</v>
      </c>
      <c r="R280">
        <f t="shared" si="79"/>
        <v>3.4532401984012232E-4</v>
      </c>
      <c r="CH280" s="1">
        <v>3.2685900000000002E-9</v>
      </c>
      <c r="CI280">
        <v>5.6171299999999997E-3</v>
      </c>
      <c r="CJ280">
        <f t="shared" si="80"/>
        <v>0.43655775446704986</v>
      </c>
      <c r="CL280" s="1">
        <v>3.2685900000000002E-9</v>
      </c>
      <c r="CM280">
        <v>1</v>
      </c>
      <c r="CN280">
        <f t="shared" si="81"/>
        <v>77.7190049842268</v>
      </c>
    </row>
    <row r="281" spans="4:92" x14ac:dyDescent="0.35">
      <c r="D281" s="1">
        <v>3.5766500000000001E-9</v>
      </c>
      <c r="E281">
        <v>0.47747299999999998</v>
      </c>
      <c r="F281">
        <v>0</v>
      </c>
      <c r="G281">
        <v>8.0060000000000006E-2</v>
      </c>
      <c r="I281" s="1">
        <v>3.5766500000000001E-9</v>
      </c>
      <c r="J281">
        <f t="shared" si="77"/>
        <v>8.474404871996402E-4</v>
      </c>
      <c r="K281">
        <v>0</v>
      </c>
      <c r="L281">
        <v>2.6321109932213901E-4</v>
      </c>
      <c r="N281" s="1">
        <v>3.5766500000000001E-9</v>
      </c>
      <c r="O281">
        <f t="shared" si="78"/>
        <v>0</v>
      </c>
      <c r="Q281" s="1">
        <v>3.5766500000000001E-9</v>
      </c>
      <c r="R281">
        <f t="shared" si="79"/>
        <v>2.6321109932213901E-4</v>
      </c>
      <c r="CH281" s="1">
        <v>3.31092E-9</v>
      </c>
      <c r="CI281">
        <v>7.3054499999999998E-3</v>
      </c>
      <c r="CJ281">
        <f t="shared" si="80"/>
        <v>0.56777230496201969</v>
      </c>
      <c r="CL281" s="1">
        <v>3.31092E-9</v>
      </c>
      <c r="CM281">
        <v>0</v>
      </c>
      <c r="CN281">
        <f t="shared" si="81"/>
        <v>0</v>
      </c>
    </row>
    <row r="282" spans="4:92" x14ac:dyDescent="0.35">
      <c r="D282" s="1">
        <v>3.6229699999999999E-9</v>
      </c>
      <c r="E282">
        <v>0.50731300000000001</v>
      </c>
      <c r="F282">
        <v>0</v>
      </c>
      <c r="G282">
        <v>0.102398</v>
      </c>
      <c r="I282" s="1">
        <v>3.6229699999999999E-9</v>
      </c>
      <c r="J282">
        <f t="shared" si="77"/>
        <v>9.0040185703214859E-4</v>
      </c>
      <c r="K282">
        <v>0</v>
      </c>
      <c r="L282">
        <v>3.3665113850097917E-4</v>
      </c>
      <c r="N282" s="1">
        <v>3.6229699999999999E-9</v>
      </c>
      <c r="O282">
        <f t="shared" si="78"/>
        <v>0</v>
      </c>
      <c r="Q282" s="1">
        <v>3.6229699999999999E-9</v>
      </c>
      <c r="R282">
        <f t="shared" si="79"/>
        <v>3.3665113850097917E-4</v>
      </c>
      <c r="CH282" s="1">
        <v>3.3537899999999999E-9</v>
      </c>
      <c r="CI282" s="1">
        <v>7.8412799999999996E-5</v>
      </c>
      <c r="CJ282">
        <f t="shared" si="80"/>
        <v>6.0941647940271791E-3</v>
      </c>
      <c r="CL282" s="1">
        <v>3.3537899999999999E-9</v>
      </c>
      <c r="CM282">
        <v>0</v>
      </c>
      <c r="CN282">
        <f t="shared" si="81"/>
        <v>0</v>
      </c>
    </row>
    <row r="283" spans="4:92" x14ac:dyDescent="0.35">
      <c r="D283" s="1">
        <v>3.66989E-9</v>
      </c>
      <c r="E283">
        <v>0.52185599999999999</v>
      </c>
      <c r="F283">
        <v>0</v>
      </c>
      <c r="G283">
        <v>9.2593499999999995E-2</v>
      </c>
      <c r="I283" s="1">
        <v>3.66989E-9</v>
      </c>
      <c r="J283">
        <f t="shared" si="77"/>
        <v>9.2621342544616219E-4</v>
      </c>
      <c r="K283">
        <v>0</v>
      </c>
      <c r="L283">
        <v>3.0441714870202945E-4</v>
      </c>
      <c r="N283" s="1">
        <v>3.66989E-9</v>
      </c>
      <c r="O283">
        <f t="shared" si="78"/>
        <v>0</v>
      </c>
      <c r="Q283" s="1">
        <v>3.66989E-9</v>
      </c>
      <c r="R283">
        <f t="shared" si="79"/>
        <v>3.0441714870202945E-4</v>
      </c>
      <c r="CH283" s="1">
        <v>3.3972299999999999E-9</v>
      </c>
      <c r="CI283">
        <v>1.6156199999999999E-3</v>
      </c>
      <c r="CJ283">
        <f t="shared" si="80"/>
        <v>0.12556437883261651</v>
      </c>
      <c r="CL283" s="1">
        <v>3.3972299999999999E-9</v>
      </c>
      <c r="CM283">
        <v>1</v>
      </c>
      <c r="CN283">
        <f t="shared" si="81"/>
        <v>77.7190049842268</v>
      </c>
    </row>
    <row r="284" spans="4:92" x14ac:dyDescent="0.35">
      <c r="D284" s="1">
        <v>3.7174099999999999E-9</v>
      </c>
      <c r="E284">
        <v>0.51135200000000003</v>
      </c>
      <c r="F284">
        <v>0</v>
      </c>
      <c r="G284">
        <v>9.6209000000000003E-2</v>
      </c>
      <c r="I284" s="1">
        <v>3.7174099999999999E-9</v>
      </c>
      <c r="J284">
        <f t="shared" si="77"/>
        <v>9.0757045531477266E-4</v>
      </c>
      <c r="K284">
        <v>0</v>
      </c>
      <c r="L284">
        <v>3.1630373038575663E-4</v>
      </c>
      <c r="N284" s="1">
        <v>3.7174099999999999E-9</v>
      </c>
      <c r="O284">
        <f t="shared" si="78"/>
        <v>0</v>
      </c>
      <c r="Q284" s="1">
        <v>3.7174099999999999E-9</v>
      </c>
      <c r="R284">
        <f t="shared" si="79"/>
        <v>3.1630373038575663E-4</v>
      </c>
      <c r="CH284" s="1">
        <v>3.4412199999999998E-9</v>
      </c>
      <c r="CI284">
        <v>3.2752599999999999E-3</v>
      </c>
      <c r="CJ284">
        <f t="shared" si="80"/>
        <v>0.25454994826463867</v>
      </c>
      <c r="CL284" s="1">
        <v>3.4412199999999998E-9</v>
      </c>
      <c r="CM284">
        <v>0</v>
      </c>
      <c r="CN284">
        <f t="shared" si="81"/>
        <v>0</v>
      </c>
    </row>
    <row r="285" spans="4:92" x14ac:dyDescent="0.35">
      <c r="D285" s="1">
        <v>3.7655500000000001E-9</v>
      </c>
      <c r="E285">
        <v>0.52088400000000001</v>
      </c>
      <c r="F285">
        <v>0</v>
      </c>
      <c r="G285">
        <v>0.121846</v>
      </c>
      <c r="I285" s="1">
        <v>3.7655500000000001E-9</v>
      </c>
      <c r="J285">
        <f t="shared" si="77"/>
        <v>9.2448827626797193E-4</v>
      </c>
      <c r="K285">
        <v>0</v>
      </c>
      <c r="L285">
        <v>4.005898027480059E-4</v>
      </c>
      <c r="N285" s="1">
        <v>3.7655500000000001E-9</v>
      </c>
      <c r="O285">
        <f t="shared" si="78"/>
        <v>0</v>
      </c>
      <c r="Q285" s="1">
        <v>3.7655500000000001E-9</v>
      </c>
      <c r="R285">
        <f t="shared" si="79"/>
        <v>4.005898027480059E-4</v>
      </c>
      <c r="CH285" s="1">
        <v>3.4857799999999999E-9</v>
      </c>
      <c r="CI285">
        <v>2.5335400000000001E-2</v>
      </c>
      <c r="CJ285">
        <f t="shared" si="80"/>
        <v>1.9690420788773799</v>
      </c>
      <c r="CL285" s="1">
        <v>3.4857799999999999E-9</v>
      </c>
      <c r="CM285">
        <v>0.70352999999999999</v>
      </c>
      <c r="CN285">
        <f t="shared" si="81"/>
        <v>54.677651576553082</v>
      </c>
    </row>
    <row r="286" spans="4:92" x14ac:dyDescent="0.35">
      <c r="D286" s="1">
        <v>3.8143199999999997E-9</v>
      </c>
      <c r="E286">
        <v>0.56575600000000004</v>
      </c>
      <c r="F286">
        <v>0</v>
      </c>
      <c r="G286">
        <v>0.10717599999999999</v>
      </c>
      <c r="I286" s="1">
        <v>3.8143199999999997E-9</v>
      </c>
      <c r="J286">
        <f t="shared" si="77"/>
        <v>1.0041291136380899E-3</v>
      </c>
      <c r="K286">
        <v>0</v>
      </c>
      <c r="L286">
        <v>3.5235964003184572E-4</v>
      </c>
      <c r="N286" s="1">
        <v>3.8143199999999997E-9</v>
      </c>
      <c r="O286">
        <f t="shared" si="78"/>
        <v>0</v>
      </c>
      <c r="Q286" s="1">
        <v>3.8143199999999997E-9</v>
      </c>
      <c r="R286">
        <f t="shared" si="79"/>
        <v>3.5235964003184572E-4</v>
      </c>
      <c r="CH286" s="1">
        <v>3.5309299999999999E-9</v>
      </c>
      <c r="CI286">
        <v>1.7820200000000001E-2</v>
      </c>
      <c r="CJ286">
        <f t="shared" si="80"/>
        <v>1.3849682126199185</v>
      </c>
      <c r="CL286" s="1">
        <v>3.5309299999999999E-9</v>
      </c>
      <c r="CM286">
        <v>0.95733999999999997</v>
      </c>
      <c r="CN286">
        <f t="shared" si="81"/>
        <v>74.403512231599692</v>
      </c>
    </row>
    <row r="287" spans="4:92" x14ac:dyDescent="0.35">
      <c r="D287" s="1">
        <v>3.8637100000000001E-9</v>
      </c>
      <c r="E287">
        <v>0.57503599999999999</v>
      </c>
      <c r="F287">
        <v>0</v>
      </c>
      <c r="G287">
        <v>0.10942</v>
      </c>
      <c r="I287" s="1">
        <v>3.8637100000000001E-9</v>
      </c>
      <c r="J287">
        <f t="shared" si="77"/>
        <v>1.0205996736932397E-3</v>
      </c>
      <c r="K287">
        <v>0</v>
      </c>
      <c r="L287">
        <v>3.5973717821419498E-4</v>
      </c>
      <c r="N287" s="1">
        <v>3.8637100000000001E-9</v>
      </c>
      <c r="O287">
        <f t="shared" si="78"/>
        <v>0</v>
      </c>
      <c r="Q287" s="1">
        <v>3.8637100000000001E-9</v>
      </c>
      <c r="R287">
        <f t="shared" si="79"/>
        <v>3.5973717821419498E-4</v>
      </c>
      <c r="CH287" s="1">
        <v>3.5766500000000001E-9</v>
      </c>
      <c r="CI287">
        <v>2.2424099999999999E-2</v>
      </c>
      <c r="CJ287">
        <f t="shared" si="80"/>
        <v>1.7427787396668002</v>
      </c>
      <c r="CL287" s="1">
        <v>3.5766500000000001E-9</v>
      </c>
      <c r="CM287">
        <v>1</v>
      </c>
      <c r="CN287">
        <f t="shared" si="81"/>
        <v>77.7190049842268</v>
      </c>
    </row>
    <row r="288" spans="4:92" x14ac:dyDescent="0.35">
      <c r="D288" s="1">
        <v>3.9137500000000001E-9</v>
      </c>
      <c r="E288">
        <v>0.55123999999999995</v>
      </c>
      <c r="F288">
        <v>0</v>
      </c>
      <c r="G288">
        <v>0.11117100000000001</v>
      </c>
      <c r="I288" s="1">
        <v>3.9137500000000001E-9</v>
      </c>
      <c r="J288">
        <f t="shared" si="77"/>
        <v>9.7836546603458107E-4</v>
      </c>
      <c r="K288">
        <v>0</v>
      </c>
      <c r="L288">
        <v>3.6549389361405845E-4</v>
      </c>
      <c r="N288" s="1">
        <v>3.9137500000000001E-9</v>
      </c>
      <c r="O288">
        <f t="shared" si="78"/>
        <v>0</v>
      </c>
      <c r="Q288" s="1">
        <v>3.9137500000000001E-9</v>
      </c>
      <c r="R288">
        <f t="shared" si="79"/>
        <v>3.6549389361405845E-4</v>
      </c>
      <c r="CH288" s="1">
        <v>3.6229699999999999E-9</v>
      </c>
      <c r="CI288">
        <v>1.7121600000000001E-2</v>
      </c>
      <c r="CJ288">
        <f t="shared" si="80"/>
        <v>1.3306737157379378</v>
      </c>
      <c r="CL288" s="1">
        <v>3.6229699999999999E-9</v>
      </c>
      <c r="CM288">
        <v>0</v>
      </c>
      <c r="CN288">
        <f t="shared" si="81"/>
        <v>0</v>
      </c>
    </row>
    <row r="289" spans="4:92" x14ac:dyDescent="0.35">
      <c r="D289" s="1">
        <v>3.9644299999999997E-9</v>
      </c>
      <c r="E289">
        <v>0.55758799999999997</v>
      </c>
      <c r="F289">
        <v>0</v>
      </c>
      <c r="G289">
        <v>0.12490900000000001</v>
      </c>
      <c r="I289" s="1">
        <v>3.9644299999999997E-9</v>
      </c>
      <c r="J289">
        <f t="shared" si="77"/>
        <v>9.8963218103782411E-4</v>
      </c>
      <c r="K289">
        <v>0</v>
      </c>
      <c r="L289">
        <v>4.1065994510653341E-4</v>
      </c>
      <c r="N289" s="1">
        <v>3.9644299999999997E-9</v>
      </c>
      <c r="O289">
        <f t="shared" si="78"/>
        <v>0</v>
      </c>
      <c r="Q289" s="1">
        <v>3.9644299999999997E-9</v>
      </c>
      <c r="R289">
        <f t="shared" si="79"/>
        <v>4.1065994510653341E-4</v>
      </c>
      <c r="CH289" s="1">
        <v>3.66989E-9</v>
      </c>
      <c r="CI289">
        <v>2.3861799999999999E-2</v>
      </c>
      <c r="CJ289">
        <f t="shared" si="80"/>
        <v>1.8545153531326231</v>
      </c>
      <c r="CL289" s="1">
        <v>3.66989E-9</v>
      </c>
      <c r="CM289">
        <v>0</v>
      </c>
      <c r="CN289">
        <f t="shared" si="81"/>
        <v>0</v>
      </c>
    </row>
    <row r="290" spans="4:92" x14ac:dyDescent="0.35">
      <c r="D290" s="1">
        <v>4.0157699999999997E-9</v>
      </c>
      <c r="E290">
        <v>0.61772899999999997</v>
      </c>
      <c r="F290">
        <v>0</v>
      </c>
      <c r="G290">
        <v>0.114333</v>
      </c>
      <c r="I290" s="1">
        <v>4.0157699999999997E-9</v>
      </c>
      <c r="J290">
        <f t="shared" si="77"/>
        <v>1.0963731241710978E-3</v>
      </c>
      <c r="K290">
        <v>0</v>
      </c>
      <c r="L290">
        <v>3.758895155982778E-4</v>
      </c>
      <c r="N290" s="1">
        <v>4.0157699999999997E-9</v>
      </c>
      <c r="O290">
        <f t="shared" si="78"/>
        <v>0</v>
      </c>
      <c r="Q290" s="1">
        <v>4.0157699999999997E-9</v>
      </c>
      <c r="R290">
        <f t="shared" si="79"/>
        <v>3.758895155982778E-4</v>
      </c>
      <c r="CH290" s="1">
        <v>3.7174099999999999E-9</v>
      </c>
      <c r="CI290">
        <v>1.4912699999999999E-2</v>
      </c>
      <c r="CJ290">
        <f t="shared" si="80"/>
        <v>1.1590002056282791</v>
      </c>
      <c r="CL290" s="1">
        <v>3.7174099999999999E-9</v>
      </c>
      <c r="CM290">
        <v>0</v>
      </c>
      <c r="CN290">
        <f t="shared" si="81"/>
        <v>0</v>
      </c>
    </row>
    <row r="291" spans="4:92" x14ac:dyDescent="0.35">
      <c r="D291" s="1">
        <v>4.0677799999999998E-9</v>
      </c>
      <c r="E291">
        <v>0.63821600000000001</v>
      </c>
      <c r="F291">
        <v>0</v>
      </c>
      <c r="G291">
        <v>0.123264</v>
      </c>
      <c r="I291" s="1">
        <v>4.0677799999999998E-9</v>
      </c>
      <c r="J291">
        <f t="shared" si="77"/>
        <v>1.1327343702756084E-3</v>
      </c>
      <c r="K291">
        <v>0</v>
      </c>
      <c r="L291">
        <v>4.0525172304326933E-4</v>
      </c>
      <c r="N291" s="1">
        <v>4.0677799999999998E-9</v>
      </c>
      <c r="O291">
        <f t="shared" si="78"/>
        <v>0</v>
      </c>
      <c r="Q291" s="1">
        <v>4.0677799999999998E-9</v>
      </c>
      <c r="R291">
        <f t="shared" si="79"/>
        <v>4.0525172304326933E-4</v>
      </c>
      <c r="CH291" s="1">
        <v>3.7655500000000001E-9</v>
      </c>
      <c r="CI291">
        <v>1.34103E-2</v>
      </c>
      <c r="CJ291">
        <f t="shared" si="80"/>
        <v>1.0422351725399768</v>
      </c>
      <c r="CL291" s="1">
        <v>3.7655500000000001E-9</v>
      </c>
      <c r="CM291">
        <v>0</v>
      </c>
      <c r="CN291">
        <f t="shared" si="81"/>
        <v>0</v>
      </c>
    </row>
    <row r="292" spans="4:92" x14ac:dyDescent="0.35">
      <c r="D292" s="1">
        <v>4.1204600000000001E-9</v>
      </c>
      <c r="E292">
        <v>0.59944799999999998</v>
      </c>
      <c r="F292">
        <v>0</v>
      </c>
      <c r="G292">
        <v>0.134349</v>
      </c>
      <c r="I292" s="1">
        <v>4.1204600000000001E-9</v>
      </c>
      <c r="J292">
        <f t="shared" si="77"/>
        <v>1.063927185769352E-3</v>
      </c>
      <c r="K292">
        <v>0</v>
      </c>
      <c r="L292">
        <v>4.4169557810179932E-4</v>
      </c>
      <c r="N292" s="1">
        <v>4.1204600000000001E-9</v>
      </c>
      <c r="O292">
        <f t="shared" si="78"/>
        <v>0</v>
      </c>
      <c r="Q292" s="1">
        <v>4.1204600000000001E-9</v>
      </c>
      <c r="R292">
        <f t="shared" si="79"/>
        <v>4.4169557810179932E-4</v>
      </c>
      <c r="CH292" s="1">
        <v>3.8143199999999997E-9</v>
      </c>
      <c r="CI292">
        <v>1.6852599999999999E-2</v>
      </c>
      <c r="CJ292">
        <f t="shared" si="80"/>
        <v>1.3097673033971806</v>
      </c>
      <c r="CL292" s="1">
        <v>3.8143199999999997E-9</v>
      </c>
      <c r="CM292">
        <v>0</v>
      </c>
      <c r="CN292">
        <f t="shared" si="81"/>
        <v>0</v>
      </c>
    </row>
    <row r="293" spans="4:92" x14ac:dyDescent="0.35">
      <c r="D293" s="1">
        <v>4.1738200000000004E-9</v>
      </c>
      <c r="E293">
        <v>0.66373700000000002</v>
      </c>
      <c r="F293">
        <v>0</v>
      </c>
      <c r="G293">
        <v>0.12317599999999999</v>
      </c>
      <c r="I293" s="1">
        <v>4.1738200000000004E-9</v>
      </c>
      <c r="J293">
        <f t="shared" si="77"/>
        <v>1.1780301852721046E-3</v>
      </c>
      <c r="K293">
        <v>0</v>
      </c>
      <c r="L293">
        <v>4.0496240782043213E-4</v>
      </c>
      <c r="N293" s="1">
        <v>4.1738200000000004E-9</v>
      </c>
      <c r="O293">
        <f t="shared" si="78"/>
        <v>0</v>
      </c>
      <c r="Q293" s="1">
        <v>4.1738200000000004E-9</v>
      </c>
      <c r="R293">
        <f t="shared" si="79"/>
        <v>4.0496240782043213E-4</v>
      </c>
      <c r="CH293" s="1">
        <v>3.8637100000000001E-9</v>
      </c>
      <c r="CI293">
        <v>2.9731799999999999E-2</v>
      </c>
      <c r="CJ293">
        <f t="shared" si="80"/>
        <v>2.3107259123900343</v>
      </c>
      <c r="CL293" s="1">
        <v>3.8637100000000001E-9</v>
      </c>
      <c r="CM293">
        <v>0</v>
      </c>
      <c r="CN293">
        <f t="shared" si="81"/>
        <v>0</v>
      </c>
    </row>
    <row r="294" spans="4:92" x14ac:dyDescent="0.35">
      <c r="D294" s="1">
        <v>4.2278699999999998E-9</v>
      </c>
      <c r="E294">
        <v>0.67854000000000003</v>
      </c>
      <c r="F294">
        <v>0</v>
      </c>
      <c r="G294">
        <v>0.13872100000000001</v>
      </c>
      <c r="I294" s="1">
        <v>4.2278699999999998E-9</v>
      </c>
      <c r="J294">
        <f t="shared" si="77"/>
        <v>1.2043032133428359E-3</v>
      </c>
      <c r="K294">
        <v>0</v>
      </c>
      <c r="L294">
        <v>4.5606928440003057E-4</v>
      </c>
      <c r="N294" s="1">
        <v>4.2278699999999998E-9</v>
      </c>
      <c r="O294">
        <f t="shared" si="78"/>
        <v>0</v>
      </c>
      <c r="Q294" s="1">
        <v>4.2278699999999998E-9</v>
      </c>
      <c r="R294">
        <f t="shared" si="79"/>
        <v>4.5606928440003057E-4</v>
      </c>
      <c r="CH294" s="1">
        <v>3.9137500000000001E-9</v>
      </c>
      <c r="CI294" s="1">
        <v>8.2390299999999996E-5</v>
      </c>
      <c r="CJ294">
        <f t="shared" si="80"/>
        <v>6.4032921363519416E-3</v>
      </c>
      <c r="CL294" s="1">
        <v>3.9137500000000001E-9</v>
      </c>
      <c r="CM294">
        <v>0</v>
      </c>
      <c r="CN294">
        <f t="shared" si="81"/>
        <v>0</v>
      </c>
    </row>
    <row r="295" spans="4:92" x14ac:dyDescent="0.35">
      <c r="D295" s="1">
        <v>4.2826199999999998E-9</v>
      </c>
      <c r="E295">
        <v>0.68327700000000002</v>
      </c>
      <c r="F295">
        <v>0</v>
      </c>
      <c r="G295">
        <v>0.13795199999999999</v>
      </c>
      <c r="I295" s="1">
        <v>4.2826199999999998E-9</v>
      </c>
      <c r="J295">
        <f t="shared" si="77"/>
        <v>1.2127106533192631E-3</v>
      </c>
      <c r="K295">
        <v>0</v>
      </c>
      <c r="L295">
        <v>4.5354106387319163E-4</v>
      </c>
      <c r="N295" s="1">
        <v>4.2826199999999998E-9</v>
      </c>
      <c r="O295">
        <f t="shared" si="78"/>
        <v>0</v>
      </c>
      <c r="Q295" s="1">
        <v>4.2826199999999998E-9</v>
      </c>
      <c r="R295">
        <f t="shared" si="79"/>
        <v>4.5354106387319163E-4</v>
      </c>
      <c r="CH295" s="1">
        <v>3.9644299999999997E-9</v>
      </c>
      <c r="CI295">
        <v>3.00798E-2</v>
      </c>
      <c r="CJ295">
        <f t="shared" si="80"/>
        <v>2.3377721261245452</v>
      </c>
      <c r="CL295" s="1">
        <v>3.9644299999999997E-9</v>
      </c>
      <c r="CM295">
        <v>0</v>
      </c>
      <c r="CN295">
        <f t="shared" si="81"/>
        <v>0</v>
      </c>
    </row>
    <row r="296" spans="4:92" x14ac:dyDescent="0.35">
      <c r="D296" s="1">
        <v>4.3380800000000004E-9</v>
      </c>
      <c r="E296">
        <v>0.65316600000000002</v>
      </c>
      <c r="F296">
        <v>0</v>
      </c>
      <c r="G296">
        <v>0.13309299999999999</v>
      </c>
      <c r="I296" s="1">
        <v>4.3380800000000004E-9</v>
      </c>
      <c r="J296">
        <f t="shared" si="77"/>
        <v>1.1592683005368684E-3</v>
      </c>
      <c r="K296">
        <v>0</v>
      </c>
      <c r="L296">
        <v>4.3756626083039528E-4</v>
      </c>
      <c r="N296" s="1">
        <v>4.3380800000000004E-9</v>
      </c>
      <c r="O296">
        <f t="shared" si="78"/>
        <v>0</v>
      </c>
      <c r="Q296" s="1">
        <v>4.3380800000000004E-9</v>
      </c>
      <c r="R296">
        <f t="shared" si="79"/>
        <v>4.3756626083039528E-4</v>
      </c>
      <c r="CH296" s="1">
        <v>4.0157699999999997E-9</v>
      </c>
      <c r="CI296">
        <v>6.8754799999999998E-3</v>
      </c>
      <c r="CJ296">
        <f t="shared" si="80"/>
        <v>0.53435546438895165</v>
      </c>
      <c r="CL296" s="1">
        <v>4.0157699999999997E-9</v>
      </c>
      <c r="CM296">
        <v>0</v>
      </c>
      <c r="CN296">
        <f t="shared" si="81"/>
        <v>0</v>
      </c>
    </row>
    <row r="297" spans="4:92" x14ac:dyDescent="0.35">
      <c r="D297" s="1">
        <v>4.3942599999999997E-9</v>
      </c>
      <c r="E297">
        <v>0.71534900000000001</v>
      </c>
      <c r="F297">
        <v>0</v>
      </c>
      <c r="G297">
        <v>0.137877</v>
      </c>
      <c r="I297" s="1">
        <v>4.3942599999999997E-9</v>
      </c>
      <c r="J297">
        <f t="shared" si="77"/>
        <v>1.2696334768202086E-3</v>
      </c>
      <c r="K297">
        <v>0</v>
      </c>
      <c r="L297">
        <v>4.5329448839918262E-4</v>
      </c>
      <c r="N297" s="1">
        <v>4.3942599999999997E-9</v>
      </c>
      <c r="O297">
        <f t="shared" si="78"/>
        <v>0</v>
      </c>
      <c r="Q297" s="1">
        <v>4.3942599999999997E-9</v>
      </c>
      <c r="R297">
        <f t="shared" si="79"/>
        <v>4.5329448839918262E-4</v>
      </c>
      <c r="CH297" s="1">
        <v>4.0677799999999998E-9</v>
      </c>
      <c r="CI297">
        <v>1.0318600000000001E-2</v>
      </c>
      <c r="CJ297">
        <f t="shared" si="80"/>
        <v>0.80195132483024278</v>
      </c>
      <c r="CL297" s="1">
        <v>4.0677799999999998E-9</v>
      </c>
      <c r="CM297">
        <v>0</v>
      </c>
      <c r="CN297">
        <f t="shared" si="81"/>
        <v>0</v>
      </c>
    </row>
    <row r="298" spans="4:92" x14ac:dyDescent="0.35">
      <c r="D298" s="1">
        <v>4.4511600000000002E-9</v>
      </c>
      <c r="E298">
        <v>0.73770199999999997</v>
      </c>
      <c r="F298">
        <v>0</v>
      </c>
      <c r="G298">
        <v>0.13081300000000001</v>
      </c>
      <c r="I298" s="1">
        <v>4.4511600000000002E-9</v>
      </c>
      <c r="J298">
        <f t="shared" si="77"/>
        <v>1.3093065833840844E-3</v>
      </c>
      <c r="K298">
        <v>0</v>
      </c>
      <c r="L298">
        <v>4.3007036642052181E-4</v>
      </c>
      <c r="N298" s="1">
        <v>4.4511600000000002E-9</v>
      </c>
      <c r="O298">
        <f t="shared" si="78"/>
        <v>0</v>
      </c>
      <c r="Q298" s="1">
        <v>4.4511600000000002E-9</v>
      </c>
      <c r="R298">
        <f t="shared" si="79"/>
        <v>4.3007036642052181E-4</v>
      </c>
      <c r="CH298" s="1">
        <v>4.1204600000000001E-9</v>
      </c>
      <c r="CI298">
        <v>2.06713E-2</v>
      </c>
      <c r="CJ298">
        <f t="shared" si="80"/>
        <v>1.6065528677304475</v>
      </c>
      <c r="CL298" s="1">
        <v>4.1204600000000001E-9</v>
      </c>
      <c r="CM298">
        <v>0</v>
      </c>
      <c r="CN298">
        <f t="shared" si="81"/>
        <v>0</v>
      </c>
    </row>
    <row r="299" spans="4:92" x14ac:dyDescent="0.35">
      <c r="D299" s="1">
        <v>4.5088099999999999E-9</v>
      </c>
      <c r="E299">
        <v>0.71955800000000003</v>
      </c>
      <c r="F299">
        <v>0</v>
      </c>
      <c r="G299">
        <v>0.16034200000000001</v>
      </c>
      <c r="I299" s="1">
        <v>4.5088099999999999E-9</v>
      </c>
      <c r="J299">
        <f t="shared" si="77"/>
        <v>1.2771037987245326E-3</v>
      </c>
      <c r="K299">
        <v>0</v>
      </c>
      <c r="L299">
        <v>5.2715206204734472E-4</v>
      </c>
      <c r="N299" s="1">
        <v>4.5088099999999999E-9</v>
      </c>
      <c r="O299">
        <f t="shared" si="78"/>
        <v>0</v>
      </c>
      <c r="Q299" s="1">
        <v>4.5088099999999999E-9</v>
      </c>
      <c r="R299">
        <f t="shared" si="79"/>
        <v>5.2715206204734472E-4</v>
      </c>
      <c r="CH299" s="1">
        <v>4.1738200000000004E-9</v>
      </c>
      <c r="CI299">
        <v>1.2899000000000001E-2</v>
      </c>
      <c r="CJ299">
        <f t="shared" si="80"/>
        <v>1.0024974452915416</v>
      </c>
      <c r="CL299" s="1">
        <v>4.1738200000000004E-9</v>
      </c>
      <c r="CM299">
        <v>0</v>
      </c>
      <c r="CN299">
        <f t="shared" si="81"/>
        <v>0</v>
      </c>
    </row>
    <row r="300" spans="4:92" x14ac:dyDescent="0.35">
      <c r="D300" s="1">
        <v>4.5671899999999998E-9</v>
      </c>
      <c r="E300">
        <v>0.73495100000000002</v>
      </c>
      <c r="F300">
        <v>0</v>
      </c>
      <c r="G300">
        <v>0.15023400000000001</v>
      </c>
      <c r="I300" s="1">
        <v>4.5671899999999998E-9</v>
      </c>
      <c r="J300">
        <f t="shared" si="77"/>
        <v>1.3044239852470459E-3</v>
      </c>
      <c r="K300">
        <v>0</v>
      </c>
      <c r="L300">
        <v>4.9392026349690519E-4</v>
      </c>
      <c r="N300" s="1">
        <v>4.5671899999999998E-9</v>
      </c>
      <c r="O300">
        <f t="shared" si="78"/>
        <v>0</v>
      </c>
      <c r="Q300" s="1">
        <v>4.5671899999999998E-9</v>
      </c>
      <c r="R300">
        <f t="shared" si="79"/>
        <v>4.9392026349690519E-4</v>
      </c>
      <c r="CH300" s="1">
        <v>4.2278699999999998E-9</v>
      </c>
      <c r="CI300">
        <v>5.7470500000000001E-3</v>
      </c>
      <c r="CJ300">
        <f t="shared" si="80"/>
        <v>0.44665500759460064</v>
      </c>
      <c r="CL300" s="1">
        <v>4.2278699999999998E-9</v>
      </c>
      <c r="CM300">
        <v>0</v>
      </c>
      <c r="CN300">
        <f t="shared" si="81"/>
        <v>0</v>
      </c>
    </row>
    <row r="301" spans="4:92" x14ac:dyDescent="0.35">
      <c r="D301" s="1">
        <v>4.6263400000000004E-9</v>
      </c>
      <c r="E301">
        <v>0.78194600000000003</v>
      </c>
      <c r="F301">
        <v>0</v>
      </c>
      <c r="G301">
        <v>0.138097</v>
      </c>
      <c r="I301" s="1">
        <v>4.6263400000000004E-9</v>
      </c>
      <c r="J301">
        <f t="shared" si="77"/>
        <v>1.387832818198746E-3</v>
      </c>
      <c r="K301">
        <v>0</v>
      </c>
      <c r="L301">
        <v>4.5401777645627571E-4</v>
      </c>
      <c r="N301" s="1">
        <v>4.6263400000000004E-9</v>
      </c>
      <c r="O301">
        <f t="shared" si="78"/>
        <v>0</v>
      </c>
      <c r="Q301" s="1">
        <v>4.6263400000000004E-9</v>
      </c>
      <c r="R301">
        <f t="shared" si="79"/>
        <v>4.5401777645627571E-4</v>
      </c>
      <c r="CH301" s="1">
        <v>4.2826199999999998E-9</v>
      </c>
      <c r="CI301">
        <v>2.2530700000000001E-2</v>
      </c>
      <c r="CJ301">
        <f t="shared" si="80"/>
        <v>1.7510635855981189</v>
      </c>
      <c r="CL301" s="1">
        <v>4.2826199999999998E-9</v>
      </c>
      <c r="CM301">
        <v>0</v>
      </c>
      <c r="CN301">
        <f t="shared" si="81"/>
        <v>0</v>
      </c>
    </row>
    <row r="302" spans="4:92" x14ac:dyDescent="0.35">
      <c r="D302" s="1">
        <v>4.68625E-9</v>
      </c>
      <c r="E302">
        <v>0.80096100000000003</v>
      </c>
      <c r="F302">
        <v>0</v>
      </c>
      <c r="G302">
        <v>0.15957299999999999</v>
      </c>
      <c r="I302" s="1">
        <v>4.68625E-9</v>
      </c>
      <c r="J302">
        <f t="shared" si="77"/>
        <v>1.4215814927083018E-3</v>
      </c>
      <c r="K302">
        <v>0</v>
      </c>
      <c r="L302">
        <v>5.2462384152050573E-4</v>
      </c>
      <c r="N302" s="1">
        <v>4.68625E-9</v>
      </c>
      <c r="O302">
        <f t="shared" si="78"/>
        <v>0</v>
      </c>
      <c r="Q302" s="1">
        <v>4.68625E-9</v>
      </c>
      <c r="R302">
        <f t="shared" si="79"/>
        <v>5.2462384152050573E-4</v>
      </c>
      <c r="CH302" s="1">
        <v>4.3380800000000004E-9</v>
      </c>
      <c r="CI302">
        <v>1.8018099999999999E-2</v>
      </c>
      <c r="CJ302">
        <f t="shared" si="80"/>
        <v>1.4003488037062968</v>
      </c>
      <c r="CL302" s="1">
        <v>4.3380800000000004E-9</v>
      </c>
      <c r="CM302">
        <v>1</v>
      </c>
      <c r="CN302">
        <f t="shared" si="81"/>
        <v>77.7190049842268</v>
      </c>
    </row>
    <row r="303" spans="4:92" x14ac:dyDescent="0.35">
      <c r="D303" s="1">
        <v>4.7469400000000002E-9</v>
      </c>
      <c r="E303">
        <v>0.88433899999999999</v>
      </c>
      <c r="F303">
        <v>0</v>
      </c>
      <c r="G303">
        <v>0.171599</v>
      </c>
      <c r="I303" s="1">
        <v>4.7469400000000002E-9</v>
      </c>
      <c r="J303">
        <f t="shared" si="77"/>
        <v>1.5695645052382909E-3</v>
      </c>
      <c r="K303">
        <v>0</v>
      </c>
      <c r="L303">
        <v>5.6416139685960202E-4</v>
      </c>
      <c r="N303" s="1">
        <v>4.7469400000000002E-9</v>
      </c>
      <c r="O303">
        <f t="shared" si="78"/>
        <v>0</v>
      </c>
      <c r="Q303" s="1">
        <v>4.7469400000000002E-9</v>
      </c>
      <c r="R303">
        <f t="shared" si="79"/>
        <v>5.6416139685960202E-4</v>
      </c>
      <c r="CH303" s="1">
        <v>4.3942599999999997E-9</v>
      </c>
      <c r="CI303">
        <v>1.9139199999999999E-2</v>
      </c>
      <c r="CJ303">
        <f t="shared" si="80"/>
        <v>1.4874795801941136</v>
      </c>
      <c r="CL303" s="1">
        <v>4.3942599999999997E-9</v>
      </c>
      <c r="CM303">
        <v>0.99673</v>
      </c>
      <c r="CN303">
        <f t="shared" si="81"/>
        <v>77.464863837928377</v>
      </c>
    </row>
    <row r="304" spans="4:92" x14ac:dyDescent="0.35">
      <c r="D304" s="1">
        <v>4.8084099999999999E-9</v>
      </c>
      <c r="E304">
        <v>0.86742699999999995</v>
      </c>
      <c r="F304">
        <v>0</v>
      </c>
      <c r="G304">
        <v>0.15704299999999999</v>
      </c>
      <c r="I304" s="1">
        <v>4.8084099999999999E-9</v>
      </c>
      <c r="J304">
        <f t="shared" si="77"/>
        <v>1.5395483294136469E-3</v>
      </c>
      <c r="K304">
        <v>0</v>
      </c>
      <c r="L304">
        <v>5.1630602886393545E-4</v>
      </c>
      <c r="N304" s="1">
        <v>4.8084099999999999E-9</v>
      </c>
      <c r="O304">
        <f t="shared" si="78"/>
        <v>0</v>
      </c>
      <c r="Q304" s="1">
        <v>4.8084099999999999E-9</v>
      </c>
      <c r="R304">
        <f t="shared" si="79"/>
        <v>5.1630602886393545E-4</v>
      </c>
      <c r="CH304" s="1">
        <v>4.4511600000000002E-9</v>
      </c>
      <c r="CI304">
        <v>4.49851E-2</v>
      </c>
      <c r="CJ304">
        <f t="shared" si="80"/>
        <v>3.4961972111159412</v>
      </c>
      <c r="CL304" s="1">
        <v>4.4511600000000002E-9</v>
      </c>
      <c r="CM304">
        <v>0.99585999999999997</v>
      </c>
      <c r="CN304">
        <f t="shared" si="81"/>
        <v>77.397248303592107</v>
      </c>
    </row>
    <row r="305" spans="4:92" x14ac:dyDescent="0.35">
      <c r="D305" s="1">
        <v>4.87068E-9</v>
      </c>
      <c r="E305">
        <v>0.91227100000000005</v>
      </c>
      <c r="F305">
        <v>0</v>
      </c>
      <c r="G305">
        <v>0.179731</v>
      </c>
      <c r="I305" s="1">
        <v>4.87068E-9</v>
      </c>
      <c r="J305">
        <f t="shared" si="77"/>
        <v>1.6191394711284261E-3</v>
      </c>
      <c r="K305">
        <v>0</v>
      </c>
      <c r="L305">
        <v>5.9089675358815091E-4</v>
      </c>
      <c r="N305" s="1">
        <v>4.87068E-9</v>
      </c>
      <c r="O305">
        <f t="shared" si="78"/>
        <v>0</v>
      </c>
      <c r="Q305" s="1">
        <v>4.87068E-9</v>
      </c>
      <c r="R305">
        <f t="shared" si="79"/>
        <v>5.9089675358815091E-4</v>
      </c>
      <c r="CH305" s="1">
        <v>4.5088099999999999E-9</v>
      </c>
      <c r="CI305">
        <v>1.9458300000000001E-2</v>
      </c>
      <c r="CJ305">
        <f t="shared" si="80"/>
        <v>1.5122797146845806</v>
      </c>
      <c r="CL305" s="1">
        <v>4.5088099999999999E-9</v>
      </c>
      <c r="CM305">
        <v>0.76026000000000005</v>
      </c>
      <c r="CN305">
        <f t="shared" si="81"/>
        <v>59.086650729308275</v>
      </c>
    </row>
    <row r="306" spans="4:92" x14ac:dyDescent="0.35">
      <c r="D306" s="1">
        <v>4.9337600000000001E-9</v>
      </c>
      <c r="E306">
        <v>0.88081399999999999</v>
      </c>
      <c r="F306">
        <v>0</v>
      </c>
      <c r="G306">
        <v>0.192278</v>
      </c>
      <c r="I306" s="1">
        <v>4.9337600000000001E-9</v>
      </c>
      <c r="J306">
        <f t="shared" si="77"/>
        <v>1.5633081772001012E-3</v>
      </c>
      <c r="K306">
        <v>0</v>
      </c>
      <c r="L306">
        <v>6.3214718655336304E-4</v>
      </c>
      <c r="N306" s="1">
        <v>4.9337600000000001E-9</v>
      </c>
      <c r="O306">
        <f t="shared" si="78"/>
        <v>0</v>
      </c>
      <c r="Q306" s="1">
        <v>4.9337600000000001E-9</v>
      </c>
      <c r="R306">
        <f t="shared" si="79"/>
        <v>6.3214718655336304E-4</v>
      </c>
      <c r="CH306" s="1">
        <v>4.5671899999999998E-9</v>
      </c>
      <c r="CI306">
        <v>7.5772099999999995E-2</v>
      </c>
      <c r="CJ306">
        <f t="shared" si="80"/>
        <v>5.8889322175653316</v>
      </c>
      <c r="CL306" s="1">
        <v>4.5671899999999998E-9</v>
      </c>
      <c r="CM306">
        <v>0.56254000000000004</v>
      </c>
      <c r="CN306">
        <f t="shared" si="81"/>
        <v>43.720049063826949</v>
      </c>
    </row>
    <row r="307" spans="4:92" x14ac:dyDescent="0.35">
      <c r="D307" s="1">
        <v>4.9976499999999996E-9</v>
      </c>
      <c r="E307">
        <v>0.96803499999999998</v>
      </c>
      <c r="F307">
        <v>0</v>
      </c>
      <c r="G307">
        <v>0.20193700000000001</v>
      </c>
      <c r="I307" s="1">
        <v>4.9976499999999996E-9</v>
      </c>
      <c r="J307">
        <f t="shared" si="77"/>
        <v>1.7181119184253425E-3</v>
      </c>
      <c r="K307">
        <v>0</v>
      </c>
      <c r="L307">
        <v>6.6390281993273527E-4</v>
      </c>
      <c r="N307" s="1">
        <v>4.9976499999999996E-9</v>
      </c>
      <c r="O307">
        <f t="shared" si="78"/>
        <v>0</v>
      </c>
      <c r="Q307" s="1">
        <v>4.9976499999999996E-9</v>
      </c>
      <c r="R307">
        <f t="shared" si="79"/>
        <v>6.6390281993273527E-4</v>
      </c>
      <c r="CH307" s="1">
        <v>4.6263400000000004E-9</v>
      </c>
      <c r="CI307">
        <v>2.10142E-2</v>
      </c>
      <c r="CJ307">
        <f t="shared" si="80"/>
        <v>1.6332027145395389</v>
      </c>
      <c r="CL307" s="1">
        <v>4.6263400000000004E-9</v>
      </c>
      <c r="CM307">
        <v>1</v>
      </c>
      <c r="CN307">
        <f t="shared" si="81"/>
        <v>77.7190049842268</v>
      </c>
    </row>
    <row r="308" spans="4:92" x14ac:dyDescent="0.35">
      <c r="D308" s="1">
        <v>5.0623699999999998E-9</v>
      </c>
      <c r="E308">
        <v>0.98171799999999998</v>
      </c>
      <c r="F308">
        <v>0</v>
      </c>
      <c r="G308">
        <v>0.175432</v>
      </c>
      <c r="I308" s="1">
        <v>5.0623699999999998E-9</v>
      </c>
      <c r="J308">
        <f t="shared" si="77"/>
        <v>1.7423971202825215E-3</v>
      </c>
      <c r="K308">
        <v>0</v>
      </c>
      <c r="L308">
        <v>5.7676304741795519E-4</v>
      </c>
      <c r="N308" s="1">
        <v>5.0623699999999998E-9</v>
      </c>
      <c r="O308">
        <f t="shared" si="78"/>
        <v>0</v>
      </c>
      <c r="Q308" s="1">
        <v>5.0623699999999998E-9</v>
      </c>
      <c r="R308">
        <f t="shared" si="79"/>
        <v>5.7676304741795519E-4</v>
      </c>
      <c r="CH308" s="1">
        <v>4.68625E-9</v>
      </c>
      <c r="CI308">
        <v>3.0502100000000001E-2</v>
      </c>
      <c r="CJ308">
        <f t="shared" si="80"/>
        <v>2.3705928619293846</v>
      </c>
      <c r="CL308" s="1">
        <v>4.68625E-9</v>
      </c>
      <c r="CM308">
        <v>0.95584000000000002</v>
      </c>
      <c r="CN308">
        <f t="shared" si="81"/>
        <v>74.286933724123344</v>
      </c>
    </row>
    <row r="309" spans="4:92" x14ac:dyDescent="0.35">
      <c r="D309" s="1">
        <v>5.1279299999999997E-9</v>
      </c>
      <c r="E309">
        <v>0.96809699999999999</v>
      </c>
      <c r="F309">
        <v>0</v>
      </c>
      <c r="G309">
        <v>0.196961</v>
      </c>
      <c r="I309" s="1">
        <v>5.1279299999999997E-9</v>
      </c>
      <c r="J309">
        <f t="shared" si="77"/>
        <v>1.7182219588050215E-3</v>
      </c>
      <c r="K309">
        <v>0</v>
      </c>
      <c r="L309">
        <v>6.4754335915048495E-4</v>
      </c>
      <c r="N309" s="1">
        <v>5.1279299999999997E-9</v>
      </c>
      <c r="O309">
        <f t="shared" si="78"/>
        <v>0</v>
      </c>
      <c r="Q309" s="1">
        <v>5.1279299999999997E-9</v>
      </c>
      <c r="R309">
        <f t="shared" si="79"/>
        <v>6.4754335915048495E-4</v>
      </c>
      <c r="CH309" s="1">
        <v>4.7469400000000002E-9</v>
      </c>
      <c r="CI309">
        <v>2.2838000000000001E-2</v>
      </c>
      <c r="CJ309">
        <f t="shared" si="80"/>
        <v>1.7749466358297719</v>
      </c>
      <c r="CL309" s="1">
        <v>4.7469400000000002E-9</v>
      </c>
      <c r="CM309">
        <v>0</v>
      </c>
      <c r="CN309">
        <f t="shared" si="81"/>
        <v>0</v>
      </c>
    </row>
    <row r="310" spans="4:92" x14ac:dyDescent="0.35">
      <c r="D310" s="1">
        <v>5.1943400000000001E-9</v>
      </c>
      <c r="E310">
        <v>1.0469299999999999</v>
      </c>
      <c r="F310">
        <v>0</v>
      </c>
      <c r="G310">
        <v>0.20873800000000001</v>
      </c>
      <c r="I310" s="1">
        <v>5.1943400000000001E-9</v>
      </c>
      <c r="J310">
        <f t="shared" si="77"/>
        <v>1.8581383015666209E-3</v>
      </c>
      <c r="K310">
        <v>0</v>
      </c>
      <c r="L310">
        <v>6.8626228391587126E-4</v>
      </c>
      <c r="N310" s="1">
        <v>5.1943400000000001E-9</v>
      </c>
      <c r="O310">
        <f t="shared" si="78"/>
        <v>0</v>
      </c>
      <c r="Q310" s="1">
        <v>5.1943400000000001E-9</v>
      </c>
      <c r="R310">
        <f t="shared" si="79"/>
        <v>6.8626228391587126E-4</v>
      </c>
      <c r="CH310" s="1">
        <v>4.8084099999999999E-9</v>
      </c>
      <c r="CI310">
        <v>1.50194E-2</v>
      </c>
      <c r="CJ310">
        <f t="shared" si="80"/>
        <v>1.1672928234600961</v>
      </c>
      <c r="CL310" s="1">
        <v>4.8084099999999999E-9</v>
      </c>
      <c r="CM310">
        <v>0</v>
      </c>
      <c r="CN310">
        <f t="shared" si="81"/>
        <v>0</v>
      </c>
    </row>
    <row r="311" spans="4:92" x14ac:dyDescent="0.35">
      <c r="D311" s="1">
        <v>5.2616000000000001E-9</v>
      </c>
      <c r="E311">
        <v>0.99420699999999995</v>
      </c>
      <c r="F311">
        <v>0</v>
      </c>
      <c r="G311">
        <v>0.193076</v>
      </c>
      <c r="I311" s="1">
        <v>5.2616000000000001E-9</v>
      </c>
      <c r="J311">
        <f t="shared" si="77"/>
        <v>1.7645631574084663E-3</v>
      </c>
      <c r="K311">
        <v>0</v>
      </c>
      <c r="L311">
        <v>6.3477074959681875E-4</v>
      </c>
      <c r="N311" s="1">
        <v>5.2616000000000001E-9</v>
      </c>
      <c r="O311">
        <f t="shared" si="78"/>
        <v>0</v>
      </c>
      <c r="Q311" s="1">
        <v>5.2616000000000001E-9</v>
      </c>
      <c r="R311">
        <f t="shared" si="79"/>
        <v>6.3477074959681875E-4</v>
      </c>
      <c r="CH311" s="1">
        <v>4.87068E-9</v>
      </c>
      <c r="CI311">
        <v>7.1360099999999996E-2</v>
      </c>
      <c r="CJ311">
        <f t="shared" si="80"/>
        <v>5.5460359675749231</v>
      </c>
      <c r="CL311" s="1">
        <v>4.87068E-9</v>
      </c>
      <c r="CM311">
        <v>0</v>
      </c>
      <c r="CN311">
        <f t="shared" si="81"/>
        <v>0</v>
      </c>
    </row>
    <row r="312" spans="4:92" x14ac:dyDescent="0.35">
      <c r="D312" s="1">
        <v>5.3297400000000003E-9</v>
      </c>
      <c r="E312">
        <v>1.0468599999999999</v>
      </c>
      <c r="F312">
        <v>0</v>
      </c>
      <c r="G312">
        <v>0.18940199999999999</v>
      </c>
      <c r="I312" s="1">
        <v>5.3297400000000003E-9</v>
      </c>
      <c r="J312">
        <f t="shared" si="77"/>
        <v>1.8580140624282738E-3</v>
      </c>
      <c r="K312">
        <v>0</v>
      </c>
      <c r="L312">
        <v>6.226918390433645E-4</v>
      </c>
      <c r="N312" s="1">
        <v>5.3297400000000003E-9</v>
      </c>
      <c r="O312">
        <f t="shared" si="78"/>
        <v>0</v>
      </c>
      <c r="Q312" s="1">
        <v>5.3297400000000003E-9</v>
      </c>
      <c r="R312">
        <f t="shared" si="79"/>
        <v>6.226918390433645E-4</v>
      </c>
      <c r="CH312" s="1">
        <v>4.9337600000000001E-9</v>
      </c>
      <c r="CI312">
        <v>1.3657600000000001E-2</v>
      </c>
      <c r="CJ312">
        <f t="shared" si="80"/>
        <v>1.0614550824725761</v>
      </c>
      <c r="CL312" s="1">
        <v>4.9337600000000001E-9</v>
      </c>
      <c r="CM312">
        <v>1</v>
      </c>
      <c r="CN312">
        <f t="shared" si="81"/>
        <v>77.7190049842268</v>
      </c>
    </row>
    <row r="313" spans="4:92" x14ac:dyDescent="0.35">
      <c r="D313" s="1">
        <v>5.3987599999999997E-9</v>
      </c>
      <c r="E313">
        <v>1.0379499999999999</v>
      </c>
      <c r="F313">
        <v>0</v>
      </c>
      <c r="G313">
        <v>0.19440199999999999</v>
      </c>
      <c r="I313" s="1">
        <v>5.3987599999999997E-9</v>
      </c>
      <c r="J313">
        <f t="shared" si="77"/>
        <v>1.8422001949615298E-3</v>
      </c>
      <c r="K313">
        <v>0</v>
      </c>
      <c r="L313">
        <v>6.3913020397729785E-4</v>
      </c>
      <c r="N313" s="1">
        <v>5.3987599999999997E-9</v>
      </c>
      <c r="O313">
        <f t="shared" si="78"/>
        <v>0</v>
      </c>
      <c r="Q313" s="1">
        <v>5.3987599999999997E-9</v>
      </c>
      <c r="R313">
        <f t="shared" si="79"/>
        <v>6.3913020397729785E-4</v>
      </c>
      <c r="CH313" s="1">
        <v>4.9976499999999996E-9</v>
      </c>
      <c r="CI313">
        <v>1.9356999999999999E-2</v>
      </c>
      <c r="CJ313">
        <f t="shared" si="80"/>
        <v>1.5044067794796783</v>
      </c>
      <c r="CL313" s="1">
        <v>4.9976499999999996E-9</v>
      </c>
      <c r="CM313">
        <v>1</v>
      </c>
      <c r="CN313">
        <f t="shared" si="81"/>
        <v>77.7190049842268</v>
      </c>
    </row>
    <row r="314" spans="4:92" x14ac:dyDescent="0.35">
      <c r="D314" s="1">
        <v>5.4686799999999998E-9</v>
      </c>
      <c r="E314">
        <v>1.04183</v>
      </c>
      <c r="F314">
        <v>0</v>
      </c>
      <c r="G314">
        <v>0.23652799999999999</v>
      </c>
      <c r="I314" s="1">
        <v>5.4686799999999998E-9</v>
      </c>
      <c r="J314">
        <f t="shared" si="77"/>
        <v>1.8490865929156226E-3</v>
      </c>
      <c r="K314">
        <v>0</v>
      </c>
      <c r="L314">
        <v>7.7762671621867216E-4</v>
      </c>
      <c r="N314" s="1">
        <v>5.4686799999999998E-9</v>
      </c>
      <c r="O314">
        <f t="shared" si="78"/>
        <v>0</v>
      </c>
      <c r="Q314" s="1">
        <v>5.4686799999999998E-9</v>
      </c>
      <c r="R314">
        <f t="shared" si="79"/>
        <v>7.7762671621867216E-4</v>
      </c>
      <c r="CH314" s="1">
        <v>5.0623699999999998E-9</v>
      </c>
      <c r="CI314">
        <v>2.1672799999999999E-2</v>
      </c>
      <c r="CJ314">
        <f t="shared" si="80"/>
        <v>1.6843884512221505</v>
      </c>
      <c r="CL314" s="1">
        <v>5.0623699999999998E-9</v>
      </c>
      <c r="CM314">
        <v>0.82745999999999997</v>
      </c>
      <c r="CN314">
        <f t="shared" si="81"/>
        <v>64.309367864248316</v>
      </c>
    </row>
    <row r="315" spans="4:92" x14ac:dyDescent="0.35">
      <c r="D315" s="1">
        <v>5.5394999999999997E-9</v>
      </c>
      <c r="E315">
        <v>1.1096200000000001</v>
      </c>
      <c r="F315">
        <v>0</v>
      </c>
      <c r="G315">
        <v>0.25654900000000003</v>
      </c>
      <c r="I315" s="1">
        <v>5.5394999999999997E-9</v>
      </c>
      <c r="J315">
        <f t="shared" si="77"/>
        <v>1.9694033241805606E-3</v>
      </c>
      <c r="K315">
        <v>0</v>
      </c>
      <c r="L315">
        <v>8.4344921708712781E-4</v>
      </c>
      <c r="N315" s="1">
        <v>5.5394999999999997E-9</v>
      </c>
      <c r="O315">
        <f t="shared" si="78"/>
        <v>0</v>
      </c>
      <c r="Q315" s="1">
        <v>5.5394999999999997E-9</v>
      </c>
      <c r="R315">
        <f t="shared" si="79"/>
        <v>8.4344921708712781E-4</v>
      </c>
      <c r="CH315" s="1">
        <v>5.1279299999999997E-9</v>
      </c>
      <c r="CI315">
        <v>3.4104799999999998E-2</v>
      </c>
      <c r="CJ315">
        <f t="shared" si="80"/>
        <v>2.650591121186058</v>
      </c>
      <c r="CL315" s="1">
        <v>5.1279299999999997E-9</v>
      </c>
      <c r="CM315">
        <v>0.71665999999999996</v>
      </c>
      <c r="CN315">
        <f t="shared" si="81"/>
        <v>55.698102111995979</v>
      </c>
    </row>
    <row r="316" spans="4:92" x14ac:dyDescent="0.35">
      <c r="D316" s="1">
        <v>5.6112300000000003E-9</v>
      </c>
      <c r="E316">
        <v>1.17415</v>
      </c>
      <c r="F316">
        <v>0</v>
      </c>
      <c r="G316">
        <v>0.22314999999999999</v>
      </c>
      <c r="I316" s="1">
        <v>5.6112300000000003E-9</v>
      </c>
      <c r="J316">
        <f t="shared" si="77"/>
        <v>2.0839340612881932E-3</v>
      </c>
      <c r="K316">
        <v>0</v>
      </c>
      <c r="L316">
        <v>7.3364422700144031E-4</v>
      </c>
      <c r="N316" s="1">
        <v>5.6112300000000003E-9</v>
      </c>
      <c r="O316">
        <f t="shared" si="78"/>
        <v>0</v>
      </c>
      <c r="Q316" s="1">
        <v>5.6112300000000003E-9</v>
      </c>
      <c r="R316">
        <f t="shared" si="79"/>
        <v>7.3364422700144031E-4</v>
      </c>
      <c r="CH316" s="1">
        <v>5.1943400000000001E-9</v>
      </c>
      <c r="CI316">
        <v>4.0329700000000003E-2</v>
      </c>
      <c r="CJ316">
        <f t="shared" si="80"/>
        <v>3.1343841553123721</v>
      </c>
      <c r="CL316" s="1">
        <v>5.1943400000000001E-9</v>
      </c>
      <c r="CM316">
        <v>1</v>
      </c>
      <c r="CN316">
        <f t="shared" si="81"/>
        <v>77.7190049842268</v>
      </c>
    </row>
    <row r="317" spans="4:92" x14ac:dyDescent="0.35">
      <c r="D317" s="1">
        <v>5.6839000000000002E-9</v>
      </c>
      <c r="E317">
        <v>1.21485</v>
      </c>
      <c r="F317">
        <v>0</v>
      </c>
      <c r="G317">
        <v>0.25448799999999999</v>
      </c>
      <c r="I317" s="1">
        <v>5.6839000000000002E-9</v>
      </c>
      <c r="J317">
        <f t="shared" si="77"/>
        <v>2.1561702460128275E-3</v>
      </c>
      <c r="K317">
        <v>0</v>
      </c>
      <c r="L317">
        <v>8.3667332306136034E-4</v>
      </c>
      <c r="N317" s="1">
        <v>5.6839000000000002E-9</v>
      </c>
      <c r="O317">
        <f t="shared" si="78"/>
        <v>0</v>
      </c>
      <c r="Q317" s="1">
        <v>5.6839000000000002E-9</v>
      </c>
      <c r="R317">
        <f t="shared" si="79"/>
        <v>8.3667332306136034E-4</v>
      </c>
      <c r="CH317" s="1">
        <v>5.2616000000000001E-9</v>
      </c>
      <c r="CI317">
        <v>1.6279100000000001E-2</v>
      </c>
      <c r="CJ317">
        <f t="shared" si="80"/>
        <v>1.2651954540387267</v>
      </c>
      <c r="CL317" s="1">
        <v>5.2616000000000001E-9</v>
      </c>
      <c r="CM317">
        <v>0.86563999999999997</v>
      </c>
      <c r="CN317">
        <f t="shared" si="81"/>
        <v>67.276679474546086</v>
      </c>
    </row>
    <row r="318" spans="4:92" x14ac:dyDescent="0.35">
      <c r="D318" s="1">
        <v>5.7575100000000003E-9</v>
      </c>
      <c r="E318">
        <v>1.2030400000000001</v>
      </c>
      <c r="F318">
        <v>0</v>
      </c>
      <c r="G318">
        <v>0.26477600000000001</v>
      </c>
      <c r="I318" s="1">
        <v>5.7575100000000003E-9</v>
      </c>
      <c r="J318">
        <f t="shared" si="77"/>
        <v>2.135209328528849E-3</v>
      </c>
      <c r="K318">
        <v>0</v>
      </c>
      <c r="L318">
        <v>8.7049690274942145E-4</v>
      </c>
      <c r="N318" s="1">
        <v>5.7575100000000003E-9</v>
      </c>
      <c r="O318">
        <f t="shared" si="78"/>
        <v>0</v>
      </c>
      <c r="Q318" s="1">
        <v>5.7575100000000003E-9</v>
      </c>
      <c r="R318">
        <f t="shared" si="79"/>
        <v>8.7049690274942145E-4</v>
      </c>
      <c r="CH318" s="1">
        <v>5.3297400000000003E-9</v>
      </c>
      <c r="CI318">
        <v>4.3777099999999999E-2</v>
      </c>
      <c r="CJ318">
        <f t="shared" si="80"/>
        <v>3.4023126530949952</v>
      </c>
      <c r="CL318" s="1">
        <v>5.3297400000000003E-9</v>
      </c>
      <c r="CM318">
        <v>0.89473000000000003</v>
      </c>
      <c r="CN318">
        <f t="shared" si="81"/>
        <v>69.537525329537246</v>
      </c>
    </row>
    <row r="319" spans="4:92" x14ac:dyDescent="0.35">
      <c r="D319" s="1">
        <v>5.8320699999999997E-9</v>
      </c>
      <c r="E319">
        <v>1.31158</v>
      </c>
      <c r="F319">
        <v>0</v>
      </c>
      <c r="G319">
        <v>0.239786</v>
      </c>
      <c r="I319" s="1">
        <v>5.8320699999999997E-9</v>
      </c>
      <c r="J319">
        <f t="shared" si="77"/>
        <v>2.3278509867600975E-3</v>
      </c>
      <c r="K319">
        <v>0</v>
      </c>
      <c r="L319">
        <v>7.8833795480962314E-4</v>
      </c>
      <c r="N319" s="1">
        <v>5.8320699999999997E-9</v>
      </c>
      <c r="O319">
        <f t="shared" si="78"/>
        <v>0</v>
      </c>
      <c r="Q319" s="1">
        <v>5.8320699999999997E-9</v>
      </c>
      <c r="R319">
        <f t="shared" si="79"/>
        <v>7.8833795480962314E-4</v>
      </c>
      <c r="CH319" s="1">
        <v>5.3987599999999997E-9</v>
      </c>
      <c r="CI319">
        <v>0.10355499999999999</v>
      </c>
      <c r="CJ319">
        <f t="shared" si="80"/>
        <v>8.0481915611416071</v>
      </c>
      <c r="CL319" s="1">
        <v>5.3987599999999997E-9</v>
      </c>
      <c r="CM319">
        <v>1</v>
      </c>
      <c r="CN319">
        <f t="shared" si="81"/>
        <v>77.7190049842268</v>
      </c>
    </row>
    <row r="320" spans="4:92" x14ac:dyDescent="0.35">
      <c r="D320" s="1">
        <v>5.9075899999999999E-9</v>
      </c>
      <c r="E320">
        <v>1.31992</v>
      </c>
      <c r="F320">
        <v>0</v>
      </c>
      <c r="G320">
        <v>0.23661099999999999</v>
      </c>
      <c r="I320" s="1">
        <v>5.9075899999999999E-9</v>
      </c>
      <c r="J320">
        <f t="shared" si="77"/>
        <v>2.3426531926717302E-3</v>
      </c>
      <c r="K320">
        <v>0</v>
      </c>
      <c r="L320">
        <v>7.7789959307657556E-4</v>
      </c>
      <c r="N320" s="1">
        <v>5.9075899999999999E-9</v>
      </c>
      <c r="O320">
        <f t="shared" si="78"/>
        <v>0</v>
      </c>
      <c r="Q320" s="1">
        <v>5.9075899999999999E-9</v>
      </c>
      <c r="R320">
        <f t="shared" si="79"/>
        <v>7.7789959307657556E-4</v>
      </c>
      <c r="CH320" s="1">
        <v>5.4686799999999998E-9</v>
      </c>
      <c r="CI320">
        <v>8.87989E-2</v>
      </c>
      <c r="CJ320">
        <f t="shared" si="80"/>
        <v>6.9013621516938572</v>
      </c>
      <c r="CL320" s="1">
        <v>5.4686799999999998E-9</v>
      </c>
      <c r="CM320">
        <v>0.78769</v>
      </c>
      <c r="CN320">
        <f t="shared" si="81"/>
        <v>61.21848303602561</v>
      </c>
    </row>
    <row r="321" spans="4:92" x14ac:dyDescent="0.35">
      <c r="D321" s="1">
        <v>5.9840999999999996E-9</v>
      </c>
      <c r="E321">
        <v>1.31629</v>
      </c>
      <c r="F321">
        <v>0</v>
      </c>
      <c r="G321">
        <v>0.26875900000000003</v>
      </c>
      <c r="I321" s="1">
        <v>5.9840999999999996E-9</v>
      </c>
      <c r="J321">
        <f t="shared" si="77"/>
        <v>2.3362105059260194E-3</v>
      </c>
      <c r="K321">
        <v>0</v>
      </c>
      <c r="L321">
        <v>8.8359170425579266E-4</v>
      </c>
      <c r="N321" s="1">
        <v>5.9840999999999996E-9</v>
      </c>
      <c r="O321">
        <f t="shared" si="78"/>
        <v>0</v>
      </c>
      <c r="Q321" s="1">
        <v>5.9840999999999996E-9</v>
      </c>
      <c r="R321">
        <f t="shared" si="79"/>
        <v>8.8359170425579266E-4</v>
      </c>
      <c r="CH321" s="1">
        <v>5.5394999999999997E-9</v>
      </c>
      <c r="CI321">
        <v>2.6441300000000001E-2</v>
      </c>
      <c r="CJ321">
        <f t="shared" si="80"/>
        <v>2.0549915264894363</v>
      </c>
      <c r="CL321" s="1">
        <v>5.5394999999999997E-9</v>
      </c>
      <c r="CM321">
        <v>1</v>
      </c>
      <c r="CN321">
        <f t="shared" si="81"/>
        <v>77.7190049842268</v>
      </c>
    </row>
    <row r="322" spans="4:92" x14ac:dyDescent="0.35">
      <c r="D322" s="1">
        <v>6.06159E-9</v>
      </c>
      <c r="E322">
        <v>1.3383499999999999</v>
      </c>
      <c r="F322">
        <v>0</v>
      </c>
      <c r="G322">
        <v>0.26750299999999999</v>
      </c>
      <c r="I322" s="1">
        <v>6.06159E-9</v>
      </c>
      <c r="J322">
        <f t="shared" si="77"/>
        <v>2.3753635829536716E-3</v>
      </c>
      <c r="K322">
        <v>0</v>
      </c>
      <c r="L322">
        <v>8.7946238698438867E-4</v>
      </c>
      <c r="N322" s="1">
        <v>6.06159E-9</v>
      </c>
      <c r="O322">
        <f t="shared" si="78"/>
        <v>0</v>
      </c>
      <c r="Q322" s="1">
        <v>6.06159E-9</v>
      </c>
      <c r="R322">
        <f t="shared" si="79"/>
        <v>8.7946238698438867E-4</v>
      </c>
      <c r="CH322" s="1">
        <v>5.6112300000000003E-9</v>
      </c>
      <c r="CI322">
        <v>3.4912100000000001E-2</v>
      </c>
      <c r="CJ322">
        <f t="shared" si="80"/>
        <v>2.7133336739098248</v>
      </c>
      <c r="CL322" s="1">
        <v>5.6112300000000003E-9</v>
      </c>
      <c r="CM322">
        <v>1</v>
      </c>
      <c r="CN322">
        <f t="shared" si="81"/>
        <v>77.7190049842268</v>
      </c>
    </row>
    <row r="323" spans="4:92" x14ac:dyDescent="0.35">
      <c r="D323" s="1">
        <v>6.1400899999999996E-9</v>
      </c>
      <c r="E323">
        <v>1.3592900000000001</v>
      </c>
      <c r="F323">
        <v>0</v>
      </c>
      <c r="G323">
        <v>0.29473199999999999</v>
      </c>
      <c r="I323" s="1">
        <v>6.1400899999999996E-9</v>
      </c>
      <c r="J323">
        <f t="shared" si="77"/>
        <v>2.4125288337677711E-3</v>
      </c>
      <c r="K323">
        <v>0</v>
      </c>
      <c r="L323">
        <v>9.6898243474160216E-4</v>
      </c>
      <c r="N323" s="1">
        <v>6.1400899999999996E-9</v>
      </c>
      <c r="O323">
        <f t="shared" si="78"/>
        <v>0</v>
      </c>
      <c r="Q323" s="1">
        <v>6.1400899999999996E-9</v>
      </c>
      <c r="R323">
        <f t="shared" si="79"/>
        <v>9.6898243474160216E-4</v>
      </c>
      <c r="CH323" s="1">
        <v>5.6839000000000002E-9</v>
      </c>
      <c r="CI323">
        <v>5.4716500000000001E-2</v>
      </c>
      <c r="CJ323">
        <f t="shared" si="80"/>
        <v>4.2525119362194461</v>
      </c>
      <c r="CL323" s="1">
        <v>5.6839000000000002E-9</v>
      </c>
      <c r="CM323">
        <v>0</v>
      </c>
      <c r="CN323">
        <f t="shared" si="81"/>
        <v>0</v>
      </c>
    </row>
    <row r="324" spans="4:92" x14ac:dyDescent="0.35">
      <c r="D324" s="1">
        <v>6.2196000000000003E-9</v>
      </c>
      <c r="E324">
        <v>1.35788</v>
      </c>
      <c r="F324">
        <v>0</v>
      </c>
      <c r="G324">
        <v>0.29589300000000002</v>
      </c>
      <c r="I324" s="1">
        <v>6.2196000000000003E-9</v>
      </c>
      <c r="J324">
        <f t="shared" ref="J324:J387" si="82">E324/SUM($E$3:$E$2002)/$C$3</f>
        <v>2.4100263025524948E-3</v>
      </c>
      <c r="K324">
        <v>0</v>
      </c>
      <c r="L324">
        <v>9.7279942307926161E-4</v>
      </c>
      <c r="N324" s="1">
        <v>6.2196000000000003E-9</v>
      </c>
      <c r="O324">
        <f t="shared" ref="O324:O387" si="83">F324/SUM($F$3:$F$2002)/$C$3</f>
        <v>0</v>
      </c>
      <c r="Q324" s="1">
        <v>6.2196000000000003E-9</v>
      </c>
      <c r="R324">
        <f t="shared" ref="R324:R387" si="84">G324/SUM($G$3:$G$2002)/$C$3</f>
        <v>9.7279942307926161E-4</v>
      </c>
      <c r="CH324" s="1">
        <v>5.7575100000000003E-9</v>
      </c>
      <c r="CI324">
        <v>4.2063700000000002E-2</v>
      </c>
      <c r="CJ324">
        <f t="shared" si="80"/>
        <v>3.2691489099550211</v>
      </c>
      <c r="CL324" s="1">
        <v>5.7575100000000003E-9</v>
      </c>
      <c r="CM324">
        <v>0.68384</v>
      </c>
      <c r="CN324">
        <f t="shared" si="81"/>
        <v>53.147364368413655</v>
      </c>
    </row>
    <row r="325" spans="4:92" x14ac:dyDescent="0.35">
      <c r="D325" s="1">
        <v>6.30015E-9</v>
      </c>
      <c r="E325">
        <v>1.3813</v>
      </c>
      <c r="F325">
        <v>0</v>
      </c>
      <c r="G325">
        <v>0.28249800000000003</v>
      </c>
      <c r="I325" s="1">
        <v>6.30015E-9</v>
      </c>
      <c r="J325">
        <f t="shared" si="82"/>
        <v>2.4515931685537467E-3</v>
      </c>
      <c r="K325">
        <v>0</v>
      </c>
      <c r="L325">
        <v>9.2876104342125439E-4</v>
      </c>
      <c r="N325" s="1">
        <v>6.30015E-9</v>
      </c>
      <c r="O325">
        <f t="shared" si="83"/>
        <v>0</v>
      </c>
      <c r="Q325" s="1">
        <v>6.30015E-9</v>
      </c>
      <c r="R325">
        <f t="shared" si="84"/>
        <v>9.2876104342125439E-4</v>
      </c>
      <c r="CH325" s="1">
        <v>5.8320699999999997E-9</v>
      </c>
      <c r="CI325">
        <v>2.2253100000000001E-2</v>
      </c>
      <c r="CJ325">
        <f t="shared" si="80"/>
        <v>1.7294887898144975</v>
      </c>
      <c r="CL325" s="1">
        <v>5.8320699999999997E-9</v>
      </c>
      <c r="CM325">
        <v>1</v>
      </c>
      <c r="CN325">
        <f t="shared" si="81"/>
        <v>77.7190049842268</v>
      </c>
    </row>
    <row r="326" spans="4:92" x14ac:dyDescent="0.35">
      <c r="D326" s="1">
        <v>6.3817299999999996E-9</v>
      </c>
      <c r="E326">
        <v>1.49617</v>
      </c>
      <c r="F326">
        <v>0</v>
      </c>
      <c r="G326">
        <v>0.31655499999999998</v>
      </c>
      <c r="I326" s="1">
        <v>6.3817299999999996E-9</v>
      </c>
      <c r="J326">
        <f t="shared" si="82"/>
        <v>2.6554695945812342E-3</v>
      </c>
      <c r="K326">
        <v>0</v>
      </c>
      <c r="L326">
        <v>1.0407293223322473E-3</v>
      </c>
      <c r="N326" s="1">
        <v>6.3817299999999996E-9</v>
      </c>
      <c r="O326">
        <f t="shared" si="83"/>
        <v>0</v>
      </c>
      <c r="Q326" s="1">
        <v>6.3817299999999996E-9</v>
      </c>
      <c r="R326">
        <f t="shared" si="84"/>
        <v>1.0407293223322473E-3</v>
      </c>
      <c r="CH326" s="1">
        <v>5.9075899999999999E-9</v>
      </c>
      <c r="CI326">
        <v>8.8841799999999999E-2</v>
      </c>
      <c r="CJ326">
        <f t="shared" si="80"/>
        <v>6.9046962970076811</v>
      </c>
      <c r="CL326" s="1">
        <v>5.9075899999999999E-9</v>
      </c>
      <c r="CM326">
        <v>0.70413000000000003</v>
      </c>
      <c r="CN326">
        <f t="shared" si="81"/>
        <v>54.724282979543624</v>
      </c>
    </row>
    <row r="327" spans="4:92" x14ac:dyDescent="0.35">
      <c r="D327" s="1">
        <v>6.4643800000000004E-9</v>
      </c>
      <c r="E327">
        <v>1.53674</v>
      </c>
      <c r="F327">
        <v>0</v>
      </c>
      <c r="G327">
        <v>0.33178800000000003</v>
      </c>
      <c r="I327" s="1">
        <v>6.4643800000000004E-9</v>
      </c>
      <c r="J327">
        <f t="shared" si="82"/>
        <v>2.7274750494775098E-3</v>
      </c>
      <c r="K327">
        <v>0</v>
      </c>
      <c r="L327">
        <v>1.0908104449399683E-3</v>
      </c>
      <c r="N327" s="1">
        <v>6.4643800000000004E-9</v>
      </c>
      <c r="O327">
        <f t="shared" si="83"/>
        <v>0</v>
      </c>
      <c r="Q327" s="1">
        <v>6.4643800000000004E-9</v>
      </c>
      <c r="R327">
        <f t="shared" si="84"/>
        <v>1.0908104449399683E-3</v>
      </c>
      <c r="CH327" s="1">
        <v>5.9840999999999996E-9</v>
      </c>
      <c r="CI327">
        <v>1.9137700000000001E-2</v>
      </c>
      <c r="CJ327">
        <f t="shared" si="80"/>
        <v>1.4873630016866373</v>
      </c>
      <c r="CL327" s="1">
        <v>5.9840999999999996E-9</v>
      </c>
      <c r="CM327">
        <v>0.94442000000000004</v>
      </c>
      <c r="CN327">
        <f t="shared" si="81"/>
        <v>73.399382687203484</v>
      </c>
    </row>
    <row r="328" spans="4:92" x14ac:dyDescent="0.35">
      <c r="D328" s="1">
        <v>6.5480899999999999E-9</v>
      </c>
      <c r="E328">
        <v>1.58311</v>
      </c>
      <c r="F328">
        <v>0</v>
      </c>
      <c r="G328">
        <v>0.31707999999999997</v>
      </c>
      <c r="I328" s="1">
        <v>6.5480899999999999E-9</v>
      </c>
      <c r="J328">
        <f t="shared" si="82"/>
        <v>2.809774604408254E-3</v>
      </c>
      <c r="K328">
        <v>0</v>
      </c>
      <c r="L328">
        <v>1.0424553506503101E-3</v>
      </c>
      <c r="N328" s="1">
        <v>6.5480899999999999E-9</v>
      </c>
      <c r="O328">
        <f t="shared" si="83"/>
        <v>0</v>
      </c>
      <c r="Q328" s="1">
        <v>6.5480899999999999E-9</v>
      </c>
      <c r="R328">
        <f t="shared" si="84"/>
        <v>1.0424553506503101E-3</v>
      </c>
      <c r="CH328" s="1">
        <v>6.06159E-9</v>
      </c>
      <c r="CI328">
        <v>1.8110000000000001E-2</v>
      </c>
      <c r="CJ328">
        <f t="shared" si="80"/>
        <v>1.4074911802643475</v>
      </c>
      <c r="CL328" s="1">
        <v>6.06159E-9</v>
      </c>
      <c r="CM328">
        <v>1</v>
      </c>
      <c r="CN328">
        <f t="shared" si="81"/>
        <v>77.7190049842268</v>
      </c>
    </row>
    <row r="329" spans="4:92" x14ac:dyDescent="0.35">
      <c r="D329" s="1">
        <v>6.6328900000000002E-9</v>
      </c>
      <c r="E329">
        <v>1.64561</v>
      </c>
      <c r="F329">
        <v>0</v>
      </c>
      <c r="G329">
        <v>0.34384599999999998</v>
      </c>
      <c r="I329" s="1">
        <v>6.6328900000000002E-9</v>
      </c>
      <c r="J329">
        <f t="shared" si="82"/>
        <v>2.9207024065038231E-3</v>
      </c>
      <c r="K329">
        <v>0</v>
      </c>
      <c r="L329">
        <v>1.1304532058146416E-3</v>
      </c>
      <c r="N329" s="1">
        <v>6.6328900000000002E-9</v>
      </c>
      <c r="O329">
        <f t="shared" si="83"/>
        <v>0</v>
      </c>
      <c r="Q329" s="1">
        <v>6.6328900000000002E-9</v>
      </c>
      <c r="R329">
        <f t="shared" si="84"/>
        <v>1.1304532058146416E-3</v>
      </c>
      <c r="CH329" s="1">
        <v>6.1400899999999996E-9</v>
      </c>
      <c r="CI329">
        <v>4.8266299999999998E-2</v>
      </c>
      <c r="CJ329">
        <f t="shared" si="80"/>
        <v>3.7512088102701862</v>
      </c>
      <c r="CL329" s="1">
        <v>6.1400899999999996E-9</v>
      </c>
      <c r="CM329">
        <v>0.79135999999999995</v>
      </c>
      <c r="CN329">
        <f t="shared" si="81"/>
        <v>61.503711784317723</v>
      </c>
    </row>
    <row r="330" spans="4:92" x14ac:dyDescent="0.35">
      <c r="D330" s="1">
        <v>6.7187899999999997E-9</v>
      </c>
      <c r="E330">
        <v>1.69096</v>
      </c>
      <c r="F330">
        <v>0</v>
      </c>
      <c r="G330">
        <v>0.35290300000000002</v>
      </c>
      <c r="I330" s="1">
        <v>6.7187899999999997E-9</v>
      </c>
      <c r="J330">
        <f t="shared" si="82"/>
        <v>3.0011916197043675E-3</v>
      </c>
      <c r="K330">
        <v>0</v>
      </c>
      <c r="L330">
        <v>1.1602296600559685E-3</v>
      </c>
      <c r="N330" s="1">
        <v>6.7187899999999997E-9</v>
      </c>
      <c r="O330">
        <f t="shared" si="83"/>
        <v>0</v>
      </c>
      <c r="Q330" s="1">
        <v>6.7187899999999997E-9</v>
      </c>
      <c r="R330">
        <f t="shared" si="84"/>
        <v>1.1602296600559685E-3</v>
      </c>
      <c r="CH330" s="1">
        <v>6.2196000000000003E-9</v>
      </c>
      <c r="CI330">
        <v>5.5388399999999997E-2</v>
      </c>
      <c r="CJ330">
        <f t="shared" ref="CJ330:CJ393" si="85">CI330/$CG$9</f>
        <v>4.3047313356683476</v>
      </c>
      <c r="CL330" s="1">
        <v>6.2196000000000003E-9</v>
      </c>
      <c r="CM330">
        <v>0.72236</v>
      </c>
      <c r="CN330">
        <f t="shared" ref="CN330:CN393" si="86">CM330/$CG$9</f>
        <v>56.141100440406078</v>
      </c>
    </row>
    <row r="331" spans="4:92" x14ac:dyDescent="0.35">
      <c r="D331" s="1">
        <v>6.8057999999999998E-9</v>
      </c>
      <c r="E331">
        <v>1.6876100000000001</v>
      </c>
      <c r="F331">
        <v>0</v>
      </c>
      <c r="G331">
        <v>0.33248499999999998</v>
      </c>
      <c r="I331" s="1">
        <v>6.8057999999999998E-9</v>
      </c>
      <c r="J331">
        <f t="shared" si="82"/>
        <v>2.9952458895120453E-3</v>
      </c>
      <c r="K331">
        <v>0</v>
      </c>
      <c r="L331">
        <v>1.0931019530117585E-3</v>
      </c>
      <c r="N331" s="1">
        <v>6.8057999999999998E-9</v>
      </c>
      <c r="O331">
        <f t="shared" si="83"/>
        <v>0</v>
      </c>
      <c r="Q331" s="1">
        <v>6.8057999999999998E-9</v>
      </c>
      <c r="R331">
        <f t="shared" si="84"/>
        <v>1.0931019530117585E-3</v>
      </c>
      <c r="CH331" s="1">
        <v>6.30015E-9</v>
      </c>
      <c r="CI331">
        <v>7.8755400000000003E-2</v>
      </c>
      <c r="CJ331">
        <f t="shared" si="85"/>
        <v>6.1207913251347756</v>
      </c>
      <c r="CL331" s="1">
        <v>6.30015E-9</v>
      </c>
      <c r="CM331">
        <v>1</v>
      </c>
      <c r="CN331">
        <f t="shared" si="86"/>
        <v>77.7190049842268</v>
      </c>
    </row>
    <row r="332" spans="4:92" x14ac:dyDescent="0.35">
      <c r="D332" s="1">
        <v>6.8939300000000004E-9</v>
      </c>
      <c r="E332">
        <v>1.6980999999999999</v>
      </c>
      <c r="F332">
        <v>0</v>
      </c>
      <c r="G332">
        <v>0.35380800000000001</v>
      </c>
      <c r="I332" s="1">
        <v>6.8939300000000004E-9</v>
      </c>
      <c r="J332">
        <f t="shared" si="82"/>
        <v>3.0138640118157652E-3</v>
      </c>
      <c r="K332">
        <v>0</v>
      </c>
      <c r="L332">
        <v>1.1632050041090103E-3</v>
      </c>
      <c r="N332" s="1">
        <v>6.8939300000000004E-9</v>
      </c>
      <c r="O332">
        <f t="shared" si="83"/>
        <v>0</v>
      </c>
      <c r="Q332" s="1">
        <v>6.8939300000000004E-9</v>
      </c>
      <c r="R332">
        <f t="shared" si="84"/>
        <v>1.1632050041090103E-3</v>
      </c>
      <c r="CH332" s="1">
        <v>6.3817299999999996E-9</v>
      </c>
      <c r="CI332">
        <v>6.9766999999999996E-2</v>
      </c>
      <c r="CJ332">
        <f t="shared" si="85"/>
        <v>5.4222218207345509</v>
      </c>
      <c r="CL332" s="1">
        <v>6.3817299999999996E-9</v>
      </c>
      <c r="CM332">
        <v>0.56120999999999999</v>
      </c>
      <c r="CN332">
        <f t="shared" si="86"/>
        <v>43.616682787197924</v>
      </c>
    </row>
    <row r="333" spans="4:92" x14ac:dyDescent="0.35">
      <c r="D333" s="1">
        <v>6.9832100000000003E-9</v>
      </c>
      <c r="E333">
        <v>1.7631699999999999</v>
      </c>
      <c r="F333">
        <v>0</v>
      </c>
      <c r="G333">
        <v>0.37631700000000001</v>
      </c>
      <c r="I333" s="1">
        <v>6.9832100000000003E-9</v>
      </c>
      <c r="J333">
        <f t="shared" si="82"/>
        <v>3.1293531651335037E-3</v>
      </c>
      <c r="K333">
        <v>0</v>
      </c>
      <c r="L333">
        <v>1.2372072353685909E-3</v>
      </c>
      <c r="N333" s="1">
        <v>6.9832100000000003E-9</v>
      </c>
      <c r="O333">
        <f t="shared" si="83"/>
        <v>0</v>
      </c>
      <c r="Q333" s="1">
        <v>6.9832100000000003E-9</v>
      </c>
      <c r="R333">
        <f t="shared" si="84"/>
        <v>1.2372072353685909E-3</v>
      </c>
      <c r="CH333" s="1">
        <v>6.4643800000000004E-9</v>
      </c>
      <c r="CI333">
        <v>0.12405099999999999</v>
      </c>
      <c r="CJ333">
        <f t="shared" si="85"/>
        <v>9.6411202872983193</v>
      </c>
      <c r="CL333" s="1">
        <v>6.4643800000000004E-9</v>
      </c>
      <c r="CM333">
        <v>0.70399999999999996</v>
      </c>
      <c r="CN333">
        <f t="shared" si="86"/>
        <v>54.714179508895668</v>
      </c>
    </row>
    <row r="334" spans="4:92" x14ac:dyDescent="0.35">
      <c r="D334" s="1">
        <v>7.0736400000000004E-9</v>
      </c>
      <c r="E334">
        <v>1.8207599999999999</v>
      </c>
      <c r="F334">
        <v>0</v>
      </c>
      <c r="G334">
        <v>0.38823099999999999</v>
      </c>
      <c r="I334" s="1">
        <v>7.0736400000000004E-9</v>
      </c>
      <c r="J334">
        <f t="shared" si="82"/>
        <v>3.2315664790964448E-3</v>
      </c>
      <c r="K334">
        <v>0</v>
      </c>
      <c r="L334">
        <v>1.2763765713331668E-3</v>
      </c>
      <c r="N334" s="1">
        <v>7.0736400000000004E-9</v>
      </c>
      <c r="O334">
        <f t="shared" si="83"/>
        <v>0</v>
      </c>
      <c r="Q334" s="1">
        <v>7.0736400000000004E-9</v>
      </c>
      <c r="R334">
        <f t="shared" si="84"/>
        <v>1.2763765713331668E-3</v>
      </c>
      <c r="CH334" s="1">
        <v>6.5480899999999999E-9</v>
      </c>
      <c r="CI334">
        <v>9.4558000000000003E-2</v>
      </c>
      <c r="CJ334">
        <f t="shared" si="85"/>
        <v>7.3489536732985181</v>
      </c>
      <c r="CL334" s="1">
        <v>6.5480899999999999E-9</v>
      </c>
      <c r="CM334">
        <v>0.74180999999999997</v>
      </c>
      <c r="CN334">
        <f t="shared" si="86"/>
        <v>57.652735087349285</v>
      </c>
    </row>
    <row r="335" spans="4:92" x14ac:dyDescent="0.35">
      <c r="D335" s="1">
        <v>7.1652500000000003E-9</v>
      </c>
      <c r="E335">
        <v>1.9010400000000001</v>
      </c>
      <c r="F335">
        <v>0</v>
      </c>
      <c r="G335">
        <v>0.35035899999999998</v>
      </c>
      <c r="I335" s="1">
        <v>7.1652500000000003E-9</v>
      </c>
      <c r="J335">
        <f t="shared" si="82"/>
        <v>3.3740510223321612E-3</v>
      </c>
      <c r="K335">
        <v>0</v>
      </c>
      <c r="L335">
        <v>1.151865819977583E-3</v>
      </c>
      <c r="N335" s="1">
        <v>7.1652500000000003E-9</v>
      </c>
      <c r="O335">
        <f t="shared" si="83"/>
        <v>0</v>
      </c>
      <c r="Q335" s="1">
        <v>7.1652500000000003E-9</v>
      </c>
      <c r="R335">
        <f t="shared" si="84"/>
        <v>1.151865819977583E-3</v>
      </c>
      <c r="CH335" s="1">
        <v>6.6328900000000002E-9</v>
      </c>
      <c r="CI335">
        <v>8.3344500000000002E-2</v>
      </c>
      <c r="CJ335">
        <f t="shared" si="85"/>
        <v>6.4774516109078908</v>
      </c>
      <c r="CL335" s="1">
        <v>6.6328900000000002E-9</v>
      </c>
      <c r="CM335">
        <v>0.65042999999999995</v>
      </c>
      <c r="CN335">
        <f t="shared" si="86"/>
        <v>50.550772411890634</v>
      </c>
    </row>
    <row r="336" spans="4:92" x14ac:dyDescent="0.35">
      <c r="D336" s="1">
        <v>7.2580399999999999E-9</v>
      </c>
      <c r="E336">
        <v>1.8684700000000001</v>
      </c>
      <c r="F336">
        <v>0</v>
      </c>
      <c r="G336">
        <v>0.38013400000000003</v>
      </c>
      <c r="I336" s="1">
        <v>7.2580399999999999E-9</v>
      </c>
      <c r="J336">
        <f t="shared" si="82"/>
        <v>3.3162443261041184E-3</v>
      </c>
      <c r="K336">
        <v>0</v>
      </c>
      <c r="L336">
        <v>1.2497562831591557E-3</v>
      </c>
      <c r="N336" s="1">
        <v>7.2580399999999999E-9</v>
      </c>
      <c r="O336">
        <f t="shared" si="83"/>
        <v>0</v>
      </c>
      <c r="Q336" s="1">
        <v>7.2580399999999999E-9</v>
      </c>
      <c r="R336">
        <f t="shared" si="84"/>
        <v>1.2497562831591557E-3</v>
      </c>
      <c r="CH336" s="1">
        <v>6.7187899999999997E-9</v>
      </c>
      <c r="CI336">
        <v>7.6981900000000006E-2</v>
      </c>
      <c r="CJ336">
        <f t="shared" si="85"/>
        <v>5.9829566697952501</v>
      </c>
      <c r="CL336" s="1">
        <v>6.7187899999999997E-9</v>
      </c>
      <c r="CM336">
        <v>0.47806999999999999</v>
      </c>
      <c r="CN336">
        <f t="shared" si="86"/>
        <v>37.155124712809311</v>
      </c>
    </row>
    <row r="337" spans="4:92" x14ac:dyDescent="0.35">
      <c r="D337" s="1">
        <v>7.3520299999999999E-9</v>
      </c>
      <c r="E337">
        <v>1.9128000000000001</v>
      </c>
      <c r="F337">
        <v>0</v>
      </c>
      <c r="G337">
        <v>0.38841399999999998</v>
      </c>
      <c r="I337" s="1">
        <v>7.3520299999999999E-9</v>
      </c>
      <c r="J337">
        <f t="shared" si="82"/>
        <v>3.3949231975744635E-3</v>
      </c>
      <c r="K337">
        <v>0</v>
      </c>
      <c r="L337">
        <v>1.2769782154897489E-3</v>
      </c>
      <c r="N337" s="1">
        <v>7.3520299999999999E-9</v>
      </c>
      <c r="O337">
        <f t="shared" si="83"/>
        <v>0</v>
      </c>
      <c r="Q337" s="1">
        <v>7.3520299999999999E-9</v>
      </c>
      <c r="R337">
        <f t="shared" si="84"/>
        <v>1.2769782154897489E-3</v>
      </c>
      <c r="CH337" s="1">
        <v>6.8057999999999998E-9</v>
      </c>
      <c r="CI337">
        <v>9.3759599999999998E-2</v>
      </c>
      <c r="CJ337">
        <f t="shared" si="85"/>
        <v>7.2869028197191117</v>
      </c>
      <c r="CL337" s="1">
        <v>6.8057999999999998E-9</v>
      </c>
      <c r="CM337">
        <v>0.58231999999999995</v>
      </c>
      <c r="CN337">
        <f t="shared" si="86"/>
        <v>45.257330982414949</v>
      </c>
    </row>
    <row r="338" spans="4:92" x14ac:dyDescent="0.35">
      <c r="D338" s="1">
        <v>7.44724E-9</v>
      </c>
      <c r="E338">
        <v>1.9602299999999999</v>
      </c>
      <c r="F338">
        <v>0</v>
      </c>
      <c r="G338">
        <v>0.37542700000000001</v>
      </c>
      <c r="I338" s="1">
        <v>7.44724E-9</v>
      </c>
      <c r="J338">
        <f t="shared" si="82"/>
        <v>3.4791040880287481E-3</v>
      </c>
      <c r="K338">
        <v>0</v>
      </c>
      <c r="L338">
        <v>1.2342812064103507E-3</v>
      </c>
      <c r="N338" s="1">
        <v>7.44724E-9</v>
      </c>
      <c r="O338">
        <f t="shared" si="83"/>
        <v>0</v>
      </c>
      <c r="Q338" s="1">
        <v>7.44724E-9</v>
      </c>
      <c r="R338">
        <f t="shared" si="84"/>
        <v>1.2342812064103507E-3</v>
      </c>
      <c r="CH338" s="1">
        <v>6.8939300000000004E-9</v>
      </c>
      <c r="CI338">
        <v>0.11975</v>
      </c>
      <c r="CJ338">
        <f t="shared" si="85"/>
        <v>9.3068508468611597</v>
      </c>
      <c r="CL338" s="1">
        <v>6.8939300000000004E-9</v>
      </c>
      <c r="CM338">
        <v>0.80154000000000003</v>
      </c>
      <c r="CN338">
        <f t="shared" si="86"/>
        <v>62.294891255057152</v>
      </c>
    </row>
    <row r="339" spans="4:92" x14ac:dyDescent="0.35">
      <c r="D339" s="1">
        <v>7.5436800000000002E-9</v>
      </c>
      <c r="E339">
        <v>2.0103800000000001</v>
      </c>
      <c r="F339">
        <v>0</v>
      </c>
      <c r="G339">
        <v>0.39558500000000002</v>
      </c>
      <c r="I339" s="1">
        <v>7.5436800000000002E-9</v>
      </c>
      <c r="J339">
        <f t="shared" si="82"/>
        <v>3.5681125564302331E-3</v>
      </c>
      <c r="K339">
        <v>0</v>
      </c>
      <c r="L339">
        <v>1.3005541184779961E-3</v>
      </c>
      <c r="N339" s="1">
        <v>7.5436800000000002E-9</v>
      </c>
      <c r="O339">
        <f t="shared" si="83"/>
        <v>0</v>
      </c>
      <c r="Q339" s="1">
        <v>7.5436800000000002E-9</v>
      </c>
      <c r="R339">
        <f t="shared" si="84"/>
        <v>1.3005541184779961E-3</v>
      </c>
      <c r="CH339" s="1">
        <v>6.9832100000000003E-9</v>
      </c>
      <c r="CI339">
        <v>0.11744599999999999</v>
      </c>
      <c r="CJ339">
        <f t="shared" si="85"/>
        <v>9.1277862593775012</v>
      </c>
      <c r="CL339" s="1">
        <v>6.9832100000000003E-9</v>
      </c>
      <c r="CM339">
        <v>0.53715999999999997</v>
      </c>
      <c r="CN339">
        <f t="shared" si="86"/>
        <v>41.747540717327269</v>
      </c>
    </row>
    <row r="340" spans="4:92" x14ac:dyDescent="0.35">
      <c r="D340" s="1">
        <v>7.6413699999999992E-9</v>
      </c>
      <c r="E340">
        <v>2.0733600000000001</v>
      </c>
      <c r="F340">
        <v>0</v>
      </c>
      <c r="G340">
        <v>0.45296599999999998</v>
      </c>
      <c r="I340" s="1">
        <v>7.6413699999999992E-9</v>
      </c>
      <c r="J340">
        <f t="shared" si="82"/>
        <v>3.6798922840458955E-3</v>
      </c>
      <c r="K340">
        <v>0</v>
      </c>
      <c r="L340">
        <v>1.4892040821328004E-3</v>
      </c>
      <c r="N340" s="1">
        <v>7.6413699999999992E-9</v>
      </c>
      <c r="O340">
        <f t="shared" si="83"/>
        <v>0</v>
      </c>
      <c r="Q340" s="1">
        <v>7.6413699999999992E-9</v>
      </c>
      <c r="R340">
        <f t="shared" si="84"/>
        <v>1.4892040821328004E-3</v>
      </c>
      <c r="CH340" s="1">
        <v>7.0736400000000004E-9</v>
      </c>
      <c r="CI340">
        <v>9.9869200000000005E-2</v>
      </c>
      <c r="CJ340">
        <f t="shared" si="85"/>
        <v>7.7617348525707435</v>
      </c>
      <c r="CL340" s="1">
        <v>7.0736400000000004E-9</v>
      </c>
      <c r="CM340">
        <v>0.79986000000000002</v>
      </c>
      <c r="CN340">
        <f t="shared" si="86"/>
        <v>62.16432332668365</v>
      </c>
    </row>
    <row r="341" spans="4:92" x14ac:dyDescent="0.35">
      <c r="D341" s="1">
        <v>7.7403299999999995E-9</v>
      </c>
      <c r="E341">
        <v>2.1413000000000002</v>
      </c>
      <c r="F341">
        <v>0</v>
      </c>
      <c r="G341">
        <v>0.43154999999999999</v>
      </c>
      <c r="I341" s="1">
        <v>7.7403299999999995E-9</v>
      </c>
      <c r="J341">
        <f t="shared" si="82"/>
        <v>3.8004752420358629E-3</v>
      </c>
      <c r="K341">
        <v>0</v>
      </c>
      <c r="L341">
        <v>1.4187952774477777E-3</v>
      </c>
      <c r="N341" s="1">
        <v>7.7403299999999995E-9</v>
      </c>
      <c r="O341">
        <f t="shared" si="83"/>
        <v>0</v>
      </c>
      <c r="Q341" s="1">
        <v>7.7403299999999995E-9</v>
      </c>
      <c r="R341">
        <f t="shared" si="84"/>
        <v>1.4187952774477777E-3</v>
      </c>
      <c r="CH341" s="1">
        <v>7.1652500000000003E-9</v>
      </c>
      <c r="CI341">
        <v>9.5829999999999999E-2</v>
      </c>
      <c r="CJ341">
        <f t="shared" si="85"/>
        <v>7.4478122476384545</v>
      </c>
      <c r="CL341" s="1">
        <v>7.1652500000000003E-9</v>
      </c>
      <c r="CM341">
        <v>0.43524000000000002</v>
      </c>
      <c r="CN341">
        <f t="shared" si="86"/>
        <v>33.826419729334873</v>
      </c>
    </row>
    <row r="342" spans="4:92" x14ac:dyDescent="0.35">
      <c r="D342" s="1">
        <v>7.8405700000000008E-9</v>
      </c>
      <c r="E342">
        <v>2.05288</v>
      </c>
      <c r="F342">
        <v>0</v>
      </c>
      <c r="G342">
        <v>0.43076900000000001</v>
      </c>
      <c r="I342" s="1">
        <v>7.8405700000000008E-9</v>
      </c>
      <c r="J342">
        <f t="shared" si="82"/>
        <v>3.6435434618552194E-3</v>
      </c>
      <c r="K342">
        <v>0</v>
      </c>
      <c r="L342">
        <v>1.4162276048450973E-3</v>
      </c>
      <c r="N342" s="1">
        <v>7.8405700000000008E-9</v>
      </c>
      <c r="O342">
        <f t="shared" si="83"/>
        <v>0</v>
      </c>
      <c r="Q342" s="1">
        <v>7.8405700000000008E-9</v>
      </c>
      <c r="R342">
        <f t="shared" si="84"/>
        <v>1.4162276048450973E-3</v>
      </c>
      <c r="CH342" s="1">
        <v>7.2580399999999999E-9</v>
      </c>
      <c r="CI342">
        <v>8.0373200000000006E-2</v>
      </c>
      <c r="CJ342">
        <f t="shared" si="85"/>
        <v>6.2465251313982586</v>
      </c>
      <c r="CL342" s="1">
        <v>7.2580399999999999E-9</v>
      </c>
      <c r="CM342">
        <v>0.43458000000000002</v>
      </c>
      <c r="CN342">
        <f t="shared" si="86"/>
        <v>33.775125186045287</v>
      </c>
    </row>
    <row r="343" spans="4:92" x14ac:dyDescent="0.35">
      <c r="D343" s="1">
        <v>7.9420999999999997E-9</v>
      </c>
      <c r="E343">
        <v>2.2699199999999999</v>
      </c>
      <c r="F343">
        <v>0</v>
      </c>
      <c r="G343">
        <v>0.46237899999999998</v>
      </c>
      <c r="I343" s="1">
        <v>7.9420999999999997E-9</v>
      </c>
      <c r="J343">
        <f t="shared" si="82"/>
        <v>4.0287557845243753E-3</v>
      </c>
      <c r="K343">
        <v>0</v>
      </c>
      <c r="L343">
        <v>1.5201509479574233E-3</v>
      </c>
      <c r="N343" s="1">
        <v>7.9420999999999997E-9</v>
      </c>
      <c r="O343">
        <f t="shared" si="83"/>
        <v>0</v>
      </c>
      <c r="Q343" s="1">
        <v>7.9420999999999997E-9</v>
      </c>
      <c r="R343">
        <f t="shared" si="84"/>
        <v>1.5201509479574233E-3</v>
      </c>
      <c r="CH343" s="1">
        <v>7.3520299999999999E-9</v>
      </c>
      <c r="CI343">
        <v>8.1137799999999996E-2</v>
      </c>
      <c r="CJ343">
        <f t="shared" si="85"/>
        <v>6.3059490826091968</v>
      </c>
      <c r="CL343" s="1">
        <v>7.3520299999999999E-9</v>
      </c>
      <c r="CM343">
        <v>0.65061000000000002</v>
      </c>
      <c r="CN343">
        <f t="shared" si="86"/>
        <v>50.564761832787802</v>
      </c>
    </row>
    <row r="344" spans="4:92" x14ac:dyDescent="0.35">
      <c r="D344" s="1">
        <v>8.0449499999999992E-9</v>
      </c>
      <c r="E344">
        <v>2.4192800000000001</v>
      </c>
      <c r="F344">
        <v>0</v>
      </c>
      <c r="G344">
        <v>0.45374300000000001</v>
      </c>
      <c r="I344" s="1">
        <v>8.0449499999999992E-9</v>
      </c>
      <c r="J344">
        <f t="shared" si="82"/>
        <v>4.2938466088602821E-3</v>
      </c>
      <c r="K344">
        <v>0</v>
      </c>
      <c r="L344">
        <v>1.4917586040435339E-3</v>
      </c>
      <c r="N344" s="1">
        <v>8.0449499999999992E-9</v>
      </c>
      <c r="O344">
        <f t="shared" si="83"/>
        <v>0</v>
      </c>
      <c r="Q344" s="1">
        <v>8.0449499999999992E-9</v>
      </c>
      <c r="R344">
        <f t="shared" si="84"/>
        <v>1.4917586040435339E-3</v>
      </c>
      <c r="CH344" s="1">
        <v>7.44724E-9</v>
      </c>
      <c r="CI344">
        <v>7.757E-2</v>
      </c>
      <c r="CJ344">
        <f t="shared" si="85"/>
        <v>6.0286632166264731</v>
      </c>
      <c r="CL344" s="1">
        <v>7.44724E-9</v>
      </c>
      <c r="CM344">
        <v>0.69855999999999996</v>
      </c>
      <c r="CN344">
        <f t="shared" si="86"/>
        <v>54.291388121781473</v>
      </c>
    </row>
    <row r="345" spans="4:92" x14ac:dyDescent="0.35">
      <c r="D345" s="1">
        <v>8.1491400000000007E-9</v>
      </c>
      <c r="E345">
        <v>2.3430499999999999</v>
      </c>
      <c r="F345">
        <v>0</v>
      </c>
      <c r="G345">
        <v>0.44641700000000001</v>
      </c>
      <c r="I345" s="1">
        <v>8.1491400000000007E-9</v>
      </c>
      <c r="J345">
        <f t="shared" si="82"/>
        <v>4.1585501872003581E-3</v>
      </c>
      <c r="K345">
        <v>0</v>
      </c>
      <c r="L345">
        <v>1.4676731117423349E-3</v>
      </c>
      <c r="N345" s="1">
        <v>8.1491400000000007E-9</v>
      </c>
      <c r="O345">
        <f t="shared" si="83"/>
        <v>0</v>
      </c>
      <c r="Q345" s="1">
        <v>8.1491400000000007E-9</v>
      </c>
      <c r="R345">
        <f t="shared" si="84"/>
        <v>1.4676731117423349E-3</v>
      </c>
      <c r="CH345" s="1">
        <v>7.5436800000000002E-9</v>
      </c>
      <c r="CI345">
        <v>0.16309199999999999</v>
      </c>
      <c r="CJ345">
        <f t="shared" si="85"/>
        <v>12.675347960887517</v>
      </c>
      <c r="CL345" s="1">
        <v>7.5436800000000002E-9</v>
      </c>
      <c r="CM345">
        <v>0.84053</v>
      </c>
      <c r="CN345">
        <f t="shared" si="86"/>
        <v>65.325155259392162</v>
      </c>
    </row>
    <row r="346" spans="4:92" x14ac:dyDescent="0.35">
      <c r="D346" s="1">
        <v>8.2546700000000008E-9</v>
      </c>
      <c r="E346">
        <v>2.3774899999999999</v>
      </c>
      <c r="F346">
        <v>0</v>
      </c>
      <c r="G346">
        <v>0.51132900000000003</v>
      </c>
      <c r="I346" s="1">
        <v>8.2546700000000008E-9</v>
      </c>
      <c r="J346">
        <f t="shared" si="82"/>
        <v>4.2196758432671002E-3</v>
      </c>
      <c r="K346">
        <v>0</v>
      </c>
      <c r="L346">
        <v>1.6810825406606297E-3</v>
      </c>
      <c r="N346" s="1">
        <v>8.2546700000000008E-9</v>
      </c>
      <c r="O346">
        <f t="shared" si="83"/>
        <v>0</v>
      </c>
      <c r="Q346" s="1">
        <v>8.2546700000000008E-9</v>
      </c>
      <c r="R346">
        <f t="shared" si="84"/>
        <v>1.6810825406606297E-3</v>
      </c>
      <c r="CH346" s="1">
        <v>7.6413699999999992E-9</v>
      </c>
      <c r="CI346">
        <v>6.8058900000000006E-2</v>
      </c>
      <c r="CJ346">
        <f t="shared" si="85"/>
        <v>5.2894699883209944</v>
      </c>
      <c r="CL346" s="1">
        <v>7.6413699999999992E-9</v>
      </c>
      <c r="CM346">
        <v>0.95270999999999995</v>
      </c>
      <c r="CN346">
        <f t="shared" si="86"/>
        <v>74.043673238522715</v>
      </c>
    </row>
    <row r="347" spans="4:92" x14ac:dyDescent="0.35">
      <c r="D347" s="1">
        <v>8.3615699999999993E-9</v>
      </c>
      <c r="E347">
        <v>2.49729</v>
      </c>
      <c r="F347">
        <v>0</v>
      </c>
      <c r="G347">
        <v>0.53075799999999995</v>
      </c>
      <c r="I347" s="1">
        <v>8.3615699999999993E-9</v>
      </c>
      <c r="J347">
        <f t="shared" si="82"/>
        <v>4.4323022543238874E-3</v>
      </c>
      <c r="K347">
        <v>0</v>
      </c>
      <c r="L347">
        <v>1.7449587391209073E-3</v>
      </c>
      <c r="N347" s="1">
        <v>8.3615699999999993E-9</v>
      </c>
      <c r="O347">
        <f t="shared" si="83"/>
        <v>0</v>
      </c>
      <c r="Q347" s="1">
        <v>8.3615699999999993E-9</v>
      </c>
      <c r="R347">
        <f t="shared" si="84"/>
        <v>1.7449587391209073E-3</v>
      </c>
      <c r="CH347" s="1">
        <v>7.7403299999999995E-9</v>
      </c>
      <c r="CI347">
        <v>0.13195100000000001</v>
      </c>
      <c r="CJ347">
        <f t="shared" si="85"/>
        <v>10.255100426673712</v>
      </c>
      <c r="CL347" s="1">
        <v>7.7403299999999995E-9</v>
      </c>
      <c r="CM347">
        <v>1</v>
      </c>
      <c r="CN347">
        <f t="shared" si="86"/>
        <v>77.7190049842268</v>
      </c>
    </row>
    <row r="348" spans="4:92" x14ac:dyDescent="0.35">
      <c r="D348" s="1">
        <v>8.4698499999999992E-9</v>
      </c>
      <c r="E348">
        <v>2.5792999999999999</v>
      </c>
      <c r="F348">
        <v>0</v>
      </c>
      <c r="G348">
        <v>0.50089899999999998</v>
      </c>
      <c r="I348" s="1">
        <v>8.4698499999999992E-9</v>
      </c>
      <c r="J348">
        <f t="shared" si="82"/>
        <v>4.5778572791216089E-3</v>
      </c>
      <c r="K348">
        <v>0</v>
      </c>
      <c r="L348">
        <v>1.646792111408445E-3</v>
      </c>
      <c r="N348" s="1">
        <v>8.4698499999999992E-9</v>
      </c>
      <c r="O348">
        <f t="shared" si="83"/>
        <v>0</v>
      </c>
      <c r="Q348" s="1">
        <v>8.4698499999999992E-9</v>
      </c>
      <c r="R348">
        <f t="shared" si="84"/>
        <v>1.646792111408445E-3</v>
      </c>
      <c r="CH348" s="1">
        <v>7.8405700000000008E-9</v>
      </c>
      <c r="CI348">
        <v>9.0012700000000001E-2</v>
      </c>
      <c r="CJ348">
        <f t="shared" si="85"/>
        <v>6.9956974799437122</v>
      </c>
      <c r="CL348" s="1">
        <v>7.8405700000000008E-9</v>
      </c>
      <c r="CM348">
        <v>0.76739999999999997</v>
      </c>
      <c r="CN348">
        <f t="shared" si="86"/>
        <v>59.641564424895648</v>
      </c>
    </row>
    <row r="349" spans="4:92" x14ac:dyDescent="0.35">
      <c r="D349" s="1">
        <v>8.5795400000000003E-9</v>
      </c>
      <c r="E349">
        <v>2.6504500000000002</v>
      </c>
      <c r="F349">
        <v>0</v>
      </c>
      <c r="G349">
        <v>0.52067200000000002</v>
      </c>
      <c r="I349" s="1">
        <v>8.5795400000000003E-9</v>
      </c>
      <c r="J349">
        <f t="shared" si="82"/>
        <v>4.7041374890272047E-3</v>
      </c>
      <c r="K349">
        <v>0</v>
      </c>
      <c r="L349">
        <v>1.7117992693761776E-3</v>
      </c>
      <c r="N349" s="1">
        <v>8.5795400000000003E-9</v>
      </c>
      <c r="O349">
        <f t="shared" si="83"/>
        <v>0</v>
      </c>
      <c r="Q349" s="1">
        <v>8.5795400000000003E-9</v>
      </c>
      <c r="R349">
        <f t="shared" si="84"/>
        <v>1.7117992693761776E-3</v>
      </c>
      <c r="CH349" s="1">
        <v>7.9420999999999997E-9</v>
      </c>
      <c r="CI349">
        <v>5.1814600000000002E-2</v>
      </c>
      <c r="CJ349">
        <f t="shared" si="85"/>
        <v>4.0269791556557184</v>
      </c>
      <c r="CL349" s="1">
        <v>7.9420999999999997E-9</v>
      </c>
      <c r="CM349">
        <v>0.73282000000000003</v>
      </c>
      <c r="CN349">
        <f t="shared" si="86"/>
        <v>56.954041232541087</v>
      </c>
    </row>
    <row r="350" spans="4:92" x14ac:dyDescent="0.35">
      <c r="D350" s="1">
        <v>8.6906399999999993E-9</v>
      </c>
      <c r="E350">
        <v>2.6924600000000001</v>
      </c>
      <c r="F350">
        <v>0</v>
      </c>
      <c r="G350">
        <v>0.55188300000000001</v>
      </c>
      <c r="I350" s="1">
        <v>8.6906399999999993E-9</v>
      </c>
      <c r="J350">
        <f t="shared" si="82"/>
        <v>4.7786987204837626E-3</v>
      </c>
      <c r="K350">
        <v>0</v>
      </c>
      <c r="L350">
        <v>1.8144108309667757E-3</v>
      </c>
      <c r="N350" s="1">
        <v>8.6906399999999993E-9</v>
      </c>
      <c r="O350">
        <f t="shared" si="83"/>
        <v>0</v>
      </c>
      <c r="Q350" s="1">
        <v>8.6906399999999993E-9</v>
      </c>
      <c r="R350">
        <f t="shared" si="84"/>
        <v>1.8144108309667757E-3</v>
      </c>
      <c r="CH350" s="1">
        <v>8.0449499999999992E-9</v>
      </c>
      <c r="CI350">
        <v>3.9233499999999998E-2</v>
      </c>
      <c r="CJ350">
        <f t="shared" si="85"/>
        <v>3.0491885820486622</v>
      </c>
      <c r="CL350" s="1">
        <v>8.0449499999999992E-9</v>
      </c>
      <c r="CM350">
        <v>0.93525999999999998</v>
      </c>
      <c r="CN350">
        <f t="shared" si="86"/>
        <v>72.687476601547957</v>
      </c>
    </row>
    <row r="351" spans="4:92" x14ac:dyDescent="0.35">
      <c r="D351" s="1">
        <v>8.8031900000000005E-9</v>
      </c>
      <c r="E351">
        <v>2.6135899999999999</v>
      </c>
      <c r="F351">
        <v>0</v>
      </c>
      <c r="G351">
        <v>0.52297099999999996</v>
      </c>
      <c r="I351" s="1">
        <v>8.8031900000000005E-9</v>
      </c>
      <c r="J351">
        <f t="shared" si="82"/>
        <v>4.6387167084633212E-3</v>
      </c>
      <c r="K351">
        <v>0</v>
      </c>
      <c r="L351">
        <v>1.7193576295727998E-3</v>
      </c>
      <c r="N351" s="1">
        <v>8.8031900000000005E-9</v>
      </c>
      <c r="O351">
        <f t="shared" si="83"/>
        <v>0</v>
      </c>
      <c r="Q351" s="1">
        <v>8.8031900000000005E-9</v>
      </c>
      <c r="R351">
        <f t="shared" si="84"/>
        <v>1.7193576295727998E-3</v>
      </c>
      <c r="CH351" s="1">
        <v>8.1491400000000007E-9</v>
      </c>
      <c r="CI351">
        <v>5.5664199999999997E-2</v>
      </c>
      <c r="CJ351">
        <f t="shared" si="85"/>
        <v>4.3261662372429974</v>
      </c>
      <c r="CL351" s="1">
        <v>8.1491400000000007E-9</v>
      </c>
      <c r="CM351">
        <v>0</v>
      </c>
      <c r="CN351">
        <f t="shared" si="86"/>
        <v>0</v>
      </c>
    </row>
    <row r="352" spans="4:92" x14ac:dyDescent="0.35">
      <c r="D352" s="1">
        <v>8.9171900000000007E-9</v>
      </c>
      <c r="E352">
        <v>2.9215</v>
      </c>
      <c r="F352">
        <v>0</v>
      </c>
      <c r="G352">
        <v>0.54400899999999996</v>
      </c>
      <c r="I352" s="1">
        <v>8.9171900000000007E-9</v>
      </c>
      <c r="J352">
        <f t="shared" si="82"/>
        <v>5.1852091811552675E-3</v>
      </c>
      <c r="K352">
        <v>0</v>
      </c>
      <c r="L352">
        <v>1.7885236938688174E-3</v>
      </c>
      <c r="N352" s="1">
        <v>8.9171900000000007E-9</v>
      </c>
      <c r="O352">
        <f t="shared" si="83"/>
        <v>0</v>
      </c>
      <c r="Q352" s="1">
        <v>8.9171900000000007E-9</v>
      </c>
      <c r="R352">
        <f t="shared" si="84"/>
        <v>1.7885236938688174E-3</v>
      </c>
      <c r="CH352" s="1">
        <v>8.2546700000000008E-9</v>
      </c>
      <c r="CI352">
        <v>0.121263</v>
      </c>
      <c r="CJ352">
        <f t="shared" si="85"/>
        <v>9.424439701402294</v>
      </c>
      <c r="CL352" s="1">
        <v>8.2546700000000008E-9</v>
      </c>
      <c r="CM352">
        <v>1</v>
      </c>
      <c r="CN352">
        <f t="shared" si="86"/>
        <v>77.7190049842268</v>
      </c>
    </row>
    <row r="353" spans="4:92" x14ac:dyDescent="0.35">
      <c r="D353" s="1">
        <v>9.0326699999999996E-9</v>
      </c>
      <c r="E353">
        <v>2.8761299999999999</v>
      </c>
      <c r="F353">
        <v>1.29484E-3</v>
      </c>
      <c r="G353">
        <v>0.61163500000000004</v>
      </c>
      <c r="I353" s="1">
        <v>9.0326699999999996E-9</v>
      </c>
      <c r="J353">
        <f t="shared" si="82"/>
        <v>5.104684471058051E-3</v>
      </c>
      <c r="K353">
        <v>6.8720269778536944E-6</v>
      </c>
      <c r="L353">
        <v>2.0108558672732512E-3</v>
      </c>
      <c r="N353" s="1">
        <v>9.0326699999999996E-9</v>
      </c>
      <c r="O353">
        <f t="shared" si="83"/>
        <v>6.8720269778536944E-6</v>
      </c>
      <c r="Q353" s="1">
        <v>9.0326699999999996E-9</v>
      </c>
      <c r="R353">
        <f t="shared" si="84"/>
        <v>2.0108558672732512E-3</v>
      </c>
      <c r="CH353" s="1">
        <v>8.3615699999999993E-9</v>
      </c>
      <c r="CI353">
        <v>8.95117E-2</v>
      </c>
      <c r="CJ353">
        <f t="shared" si="85"/>
        <v>6.9567602584466144</v>
      </c>
      <c r="CL353" s="1">
        <v>8.3615699999999993E-9</v>
      </c>
      <c r="CM353">
        <v>0.71184999999999998</v>
      </c>
      <c r="CN353">
        <f t="shared" si="86"/>
        <v>55.324273698021848</v>
      </c>
    </row>
    <row r="354" spans="4:92" x14ac:dyDescent="0.35">
      <c r="D354" s="1">
        <v>9.1496400000000003E-9</v>
      </c>
      <c r="E354">
        <v>2.9992999999999999</v>
      </c>
      <c r="F354">
        <v>0</v>
      </c>
      <c r="G354">
        <v>0.58333299999999999</v>
      </c>
      <c r="I354" s="1">
        <v>9.1496400000000003E-9</v>
      </c>
      <c r="J354">
        <f t="shared" si="82"/>
        <v>5.3232921092038303E-3</v>
      </c>
      <c r="K354">
        <v>0</v>
      </c>
      <c r="L354">
        <v>1.9178081464012154E-3</v>
      </c>
      <c r="N354" s="1">
        <v>9.1496400000000003E-9</v>
      </c>
      <c r="O354">
        <f t="shared" si="83"/>
        <v>0</v>
      </c>
      <c r="Q354" s="1">
        <v>9.1496400000000003E-9</v>
      </c>
      <c r="R354">
        <f t="shared" si="84"/>
        <v>1.9178081464012154E-3</v>
      </c>
      <c r="CH354" s="1">
        <v>8.4698499999999992E-9</v>
      </c>
      <c r="CI354">
        <v>9.8829200000000006E-2</v>
      </c>
      <c r="CJ354">
        <f t="shared" si="85"/>
        <v>7.6809070873871477</v>
      </c>
      <c r="CL354" s="1">
        <v>8.4698499999999992E-9</v>
      </c>
      <c r="CM354">
        <v>1</v>
      </c>
      <c r="CN354">
        <f t="shared" si="86"/>
        <v>77.7190049842268</v>
      </c>
    </row>
    <row r="355" spans="4:92" x14ac:dyDescent="0.35">
      <c r="D355" s="1">
        <v>9.2681300000000008E-9</v>
      </c>
      <c r="E355">
        <v>2.9428899999999998</v>
      </c>
      <c r="F355">
        <v>0</v>
      </c>
      <c r="G355">
        <v>0.62286299999999994</v>
      </c>
      <c r="I355" s="1">
        <v>9.2681300000000008E-9</v>
      </c>
      <c r="J355">
        <f t="shared" si="82"/>
        <v>5.2231731121444537E-3</v>
      </c>
      <c r="K355">
        <v>0</v>
      </c>
      <c r="L355">
        <v>2.0477698595688914E-3</v>
      </c>
      <c r="N355" s="1">
        <v>9.2681300000000008E-9</v>
      </c>
      <c r="O355">
        <f t="shared" si="83"/>
        <v>0</v>
      </c>
      <c r="Q355" s="1">
        <v>9.2681300000000008E-9</v>
      </c>
      <c r="R355">
        <f t="shared" si="84"/>
        <v>2.0477698595688914E-3</v>
      </c>
      <c r="CH355" s="1">
        <v>8.5795400000000003E-9</v>
      </c>
      <c r="CI355">
        <v>3.6168499999999999E-2</v>
      </c>
      <c r="CJ355">
        <f t="shared" si="85"/>
        <v>2.8109798317720069</v>
      </c>
      <c r="CL355" s="1">
        <v>8.5795400000000003E-9</v>
      </c>
      <c r="CM355">
        <v>1</v>
      </c>
      <c r="CN355">
        <f t="shared" si="86"/>
        <v>77.7190049842268</v>
      </c>
    </row>
    <row r="356" spans="4:92" x14ac:dyDescent="0.35">
      <c r="D356" s="1">
        <v>9.3881499999999993E-9</v>
      </c>
      <c r="E356">
        <v>3.1436700000000002</v>
      </c>
      <c r="F356">
        <v>0</v>
      </c>
      <c r="G356">
        <v>0.63986100000000001</v>
      </c>
      <c r="I356" s="1">
        <v>9.3881499999999993E-9</v>
      </c>
      <c r="J356">
        <f t="shared" si="82"/>
        <v>5.579526457820427E-3</v>
      </c>
      <c r="K356">
        <v>0</v>
      </c>
      <c r="L356">
        <v>2.1036537249982915E-3</v>
      </c>
      <c r="N356" s="1">
        <v>9.3881499999999993E-9</v>
      </c>
      <c r="O356">
        <f t="shared" si="83"/>
        <v>0</v>
      </c>
      <c r="Q356" s="1">
        <v>9.3881499999999993E-9</v>
      </c>
      <c r="R356">
        <f t="shared" si="84"/>
        <v>2.1036537249982915E-3</v>
      </c>
      <c r="CH356" s="1">
        <v>8.6906399999999993E-9</v>
      </c>
      <c r="CI356">
        <v>7.4471499999999996E-2</v>
      </c>
      <c r="CJ356">
        <f t="shared" si="85"/>
        <v>5.7878508796828463</v>
      </c>
      <c r="CL356" s="1">
        <v>8.6906399999999993E-9</v>
      </c>
      <c r="CM356">
        <v>0</v>
      </c>
      <c r="CN356">
        <f t="shared" si="86"/>
        <v>0</v>
      </c>
    </row>
    <row r="357" spans="4:92" x14ac:dyDescent="0.35">
      <c r="D357" s="1">
        <v>9.5097300000000004E-9</v>
      </c>
      <c r="E357">
        <v>3.0994600000000001</v>
      </c>
      <c r="F357">
        <v>0</v>
      </c>
      <c r="G357">
        <v>0.62274300000000005</v>
      </c>
      <c r="I357" s="1">
        <v>9.5097300000000004E-9</v>
      </c>
      <c r="J357">
        <f t="shared" si="82"/>
        <v>5.5010605677301054E-3</v>
      </c>
      <c r="K357">
        <v>0</v>
      </c>
      <c r="L357">
        <v>2.0473753388104772E-3</v>
      </c>
      <c r="N357" s="1">
        <v>9.5097300000000004E-9</v>
      </c>
      <c r="O357">
        <f t="shared" si="83"/>
        <v>0</v>
      </c>
      <c r="Q357" s="1">
        <v>9.5097300000000004E-9</v>
      </c>
      <c r="R357">
        <f t="shared" si="84"/>
        <v>2.0473753388104772E-3</v>
      </c>
      <c r="CH357" s="1">
        <v>8.8031900000000005E-9</v>
      </c>
      <c r="CI357">
        <v>9.3801599999999999E-2</v>
      </c>
      <c r="CJ357">
        <f t="shared" si="85"/>
        <v>7.2901670179284492</v>
      </c>
      <c r="CL357" s="1">
        <v>8.8031900000000005E-9</v>
      </c>
      <c r="CM357">
        <v>0.98319999999999996</v>
      </c>
      <c r="CN357">
        <f t="shared" si="86"/>
        <v>76.413325700491797</v>
      </c>
    </row>
    <row r="358" spans="4:92" x14ac:dyDescent="0.35">
      <c r="D358" s="1">
        <v>9.6328800000000008E-9</v>
      </c>
      <c r="E358">
        <v>3.3010999999999999</v>
      </c>
      <c r="F358">
        <v>0</v>
      </c>
      <c r="G358">
        <v>0.66012000000000004</v>
      </c>
      <c r="I358" s="1">
        <v>9.6328800000000008E-9</v>
      </c>
      <c r="J358">
        <f t="shared" si="82"/>
        <v>5.8589402799629131E-3</v>
      </c>
      <c r="K358">
        <v>0</v>
      </c>
      <c r="L358">
        <v>2.1702586920376017E-3</v>
      </c>
      <c r="N358" s="1">
        <v>9.6328800000000008E-9</v>
      </c>
      <c r="O358">
        <f t="shared" si="83"/>
        <v>0</v>
      </c>
      <c r="Q358" s="1">
        <v>9.6328800000000008E-9</v>
      </c>
      <c r="R358">
        <f t="shared" si="84"/>
        <v>2.1702586920376017E-3</v>
      </c>
      <c r="CH358" s="1">
        <v>8.9171900000000007E-9</v>
      </c>
      <c r="CI358">
        <v>6.3907599999999995E-2</v>
      </c>
      <c r="CJ358">
        <f t="shared" si="85"/>
        <v>4.9668350829299728</v>
      </c>
      <c r="CL358" s="1">
        <v>8.9171900000000007E-9</v>
      </c>
      <c r="CM358">
        <v>0.97106999999999999</v>
      </c>
      <c r="CN358">
        <f t="shared" si="86"/>
        <v>75.470594170033124</v>
      </c>
    </row>
    <row r="359" spans="4:92" x14ac:dyDescent="0.35">
      <c r="D359" s="1">
        <v>9.7576299999999999E-9</v>
      </c>
      <c r="E359">
        <v>3.4468399999999999</v>
      </c>
      <c r="F359">
        <v>0</v>
      </c>
      <c r="G359">
        <v>0.67264199999999996</v>
      </c>
      <c r="I359" s="1">
        <v>9.7576299999999999E-9</v>
      </c>
      <c r="J359">
        <f t="shared" si="82"/>
        <v>6.1176061660014446E-3</v>
      </c>
      <c r="K359">
        <v>0</v>
      </c>
      <c r="L359">
        <v>2.211426933178144E-3</v>
      </c>
      <c r="N359" s="1">
        <v>9.7576299999999999E-9</v>
      </c>
      <c r="O359">
        <f t="shared" si="83"/>
        <v>0</v>
      </c>
      <c r="Q359" s="1">
        <v>9.7576299999999999E-9</v>
      </c>
      <c r="R359">
        <f t="shared" si="84"/>
        <v>2.211426933178144E-3</v>
      </c>
      <c r="CH359" s="1">
        <v>9.0326699999999996E-9</v>
      </c>
      <c r="CI359">
        <v>9.9151600000000006E-2</v>
      </c>
      <c r="CJ359">
        <f t="shared" si="85"/>
        <v>7.7059636945940628</v>
      </c>
      <c r="CL359" s="1">
        <v>9.0326699999999996E-9</v>
      </c>
      <c r="CM359">
        <v>0.91503000000000001</v>
      </c>
      <c r="CN359">
        <f t="shared" si="86"/>
        <v>71.115221130717046</v>
      </c>
    </row>
    <row r="360" spans="4:92" x14ac:dyDescent="0.35">
      <c r="D360" s="1">
        <v>9.8839899999999995E-9</v>
      </c>
      <c r="E360">
        <v>3.40265</v>
      </c>
      <c r="F360">
        <v>0</v>
      </c>
      <c r="G360">
        <v>0.69433599999999995</v>
      </c>
      <c r="I360" s="1">
        <v>9.8839899999999995E-9</v>
      </c>
      <c r="J360">
        <f t="shared" si="82"/>
        <v>6.0391757728077934E-3</v>
      </c>
      <c r="K360">
        <v>0</v>
      </c>
      <c r="L360">
        <v>2.2827497109534937E-3</v>
      </c>
      <c r="N360" s="1">
        <v>9.8839899999999995E-9</v>
      </c>
      <c r="O360">
        <f t="shared" si="83"/>
        <v>0</v>
      </c>
      <c r="Q360" s="1">
        <v>9.8839899999999995E-9</v>
      </c>
      <c r="R360">
        <f t="shared" si="84"/>
        <v>2.2827497109534937E-3</v>
      </c>
      <c r="CH360" s="1">
        <v>9.1496400000000003E-9</v>
      </c>
      <c r="CI360">
        <v>0.10088</v>
      </c>
      <c r="CJ360">
        <f t="shared" si="85"/>
        <v>7.8402932228087998</v>
      </c>
      <c r="CL360" s="1">
        <v>9.1496400000000003E-9</v>
      </c>
      <c r="CM360">
        <v>0.83414999999999995</v>
      </c>
      <c r="CN360">
        <f t="shared" si="86"/>
        <v>64.829308007592786</v>
      </c>
    </row>
    <row r="361" spans="4:92" x14ac:dyDescent="0.35">
      <c r="D361" s="1">
        <v>1.0012000000000001E-8</v>
      </c>
      <c r="E361">
        <v>3.4495499999999999</v>
      </c>
      <c r="F361">
        <v>0</v>
      </c>
      <c r="G361">
        <v>0.72280100000000003</v>
      </c>
      <c r="I361" s="1">
        <v>1.0012000000000001E-8</v>
      </c>
      <c r="J361">
        <f t="shared" si="82"/>
        <v>6.122415995500308E-3</v>
      </c>
      <c r="K361">
        <v>0</v>
      </c>
      <c r="L361">
        <v>2.3763333225223756E-3</v>
      </c>
      <c r="N361" s="1">
        <v>1.0012000000000001E-8</v>
      </c>
      <c r="O361">
        <f t="shared" si="83"/>
        <v>0</v>
      </c>
      <c r="Q361" s="1">
        <v>1.0012000000000001E-8</v>
      </c>
      <c r="R361">
        <f t="shared" si="84"/>
        <v>2.3763333225223756E-3</v>
      </c>
      <c r="CH361" s="1">
        <v>9.2681300000000008E-9</v>
      </c>
      <c r="CI361">
        <v>0.15123600000000001</v>
      </c>
      <c r="CJ361">
        <f t="shared" si="85"/>
        <v>11.753911437794526</v>
      </c>
      <c r="CL361" s="1">
        <v>9.2681300000000008E-9</v>
      </c>
      <c r="CM361">
        <v>0.59813000000000005</v>
      </c>
      <c r="CN361">
        <f t="shared" si="86"/>
        <v>46.48606845121558</v>
      </c>
    </row>
    <row r="362" spans="4:92" x14ac:dyDescent="0.35">
      <c r="D362" s="1">
        <v>1.0141600000000001E-8</v>
      </c>
      <c r="E362">
        <v>3.4948000000000001</v>
      </c>
      <c r="F362">
        <v>0</v>
      </c>
      <c r="G362">
        <v>0.74112100000000003</v>
      </c>
      <c r="I362" s="1">
        <v>1.0141600000000001E-8</v>
      </c>
      <c r="J362">
        <f t="shared" si="82"/>
        <v>6.2027277242175001E-3</v>
      </c>
      <c r="K362">
        <v>0</v>
      </c>
      <c r="L362">
        <v>2.4365634916403071E-3</v>
      </c>
      <c r="N362" s="1">
        <v>1.0141600000000001E-8</v>
      </c>
      <c r="O362">
        <f t="shared" si="83"/>
        <v>0</v>
      </c>
      <c r="Q362" s="1">
        <v>1.0141600000000001E-8</v>
      </c>
      <c r="R362">
        <f t="shared" si="84"/>
        <v>2.4365634916403071E-3</v>
      </c>
      <c r="CH362" s="1">
        <v>9.3881499999999993E-9</v>
      </c>
      <c r="CI362">
        <v>0.19006999999999999</v>
      </c>
      <c r="CJ362">
        <f t="shared" si="85"/>
        <v>14.772051277351988</v>
      </c>
      <c r="CL362" s="1">
        <v>9.3881499999999993E-9</v>
      </c>
      <c r="CM362">
        <v>0.75253999999999999</v>
      </c>
      <c r="CN362">
        <f t="shared" si="86"/>
        <v>58.486660010830036</v>
      </c>
    </row>
    <row r="363" spans="4:92" x14ac:dyDescent="0.35">
      <c r="D363" s="1">
        <v>1.0273E-8</v>
      </c>
      <c r="E363">
        <v>3.6703299999999999</v>
      </c>
      <c r="F363">
        <v>0</v>
      </c>
      <c r="G363">
        <v>0.72683200000000003</v>
      </c>
      <c r="I363" s="1">
        <v>1.0273E-8</v>
      </c>
      <c r="J363">
        <f t="shared" si="82"/>
        <v>6.5142662378468632E-3</v>
      </c>
      <c r="K363">
        <v>0</v>
      </c>
      <c r="L363">
        <v>2.389585932332113E-3</v>
      </c>
      <c r="N363" s="1">
        <v>1.0273E-8</v>
      </c>
      <c r="O363">
        <f t="shared" si="83"/>
        <v>0</v>
      </c>
      <c r="Q363" s="1">
        <v>1.0273E-8</v>
      </c>
      <c r="R363">
        <f t="shared" si="84"/>
        <v>2.389585932332113E-3</v>
      </c>
      <c r="CH363" s="1">
        <v>9.5097300000000004E-9</v>
      </c>
      <c r="CI363">
        <v>0.11849</v>
      </c>
      <c r="CJ363">
        <f t="shared" si="85"/>
        <v>9.2089249005810334</v>
      </c>
      <c r="CL363" s="1">
        <v>9.5097300000000004E-9</v>
      </c>
      <c r="CM363">
        <v>0.99568999999999996</v>
      </c>
      <c r="CN363">
        <f t="shared" si="86"/>
        <v>77.384036072744777</v>
      </c>
    </row>
    <row r="364" spans="4:92" x14ac:dyDescent="0.35">
      <c r="D364" s="1">
        <v>1.0406000000000001E-8</v>
      </c>
      <c r="E364">
        <v>3.8403299999999998</v>
      </c>
      <c r="F364">
        <v>0</v>
      </c>
      <c r="G364">
        <v>0.72964600000000002</v>
      </c>
      <c r="I364" s="1">
        <v>1.0406000000000001E-8</v>
      </c>
      <c r="J364">
        <f t="shared" si="82"/>
        <v>6.8159898595468102E-3</v>
      </c>
      <c r="K364">
        <v>0</v>
      </c>
      <c r="L364">
        <v>2.3988374441169307E-3</v>
      </c>
      <c r="N364" s="1">
        <v>1.0406000000000001E-8</v>
      </c>
      <c r="O364">
        <f t="shared" si="83"/>
        <v>0</v>
      </c>
      <c r="Q364" s="1">
        <v>1.0406000000000001E-8</v>
      </c>
      <c r="R364">
        <f t="shared" si="84"/>
        <v>2.3988374441169307E-3</v>
      </c>
      <c r="CH364" s="1">
        <v>9.6328800000000008E-9</v>
      </c>
      <c r="CI364">
        <v>0.17629400000000001</v>
      </c>
      <c r="CJ364">
        <f t="shared" si="85"/>
        <v>13.701394264689281</v>
      </c>
      <c r="CL364" s="1">
        <v>9.6328800000000008E-9</v>
      </c>
      <c r="CM364">
        <v>0.55947000000000002</v>
      </c>
      <c r="CN364">
        <f t="shared" si="86"/>
        <v>43.481451718525371</v>
      </c>
    </row>
    <row r="365" spans="4:92" x14ac:dyDescent="0.35">
      <c r="D365" s="1">
        <v>1.0540800000000001E-8</v>
      </c>
      <c r="E365">
        <v>3.8348</v>
      </c>
      <c r="F365">
        <v>0</v>
      </c>
      <c r="G365">
        <v>0.77245900000000001</v>
      </c>
      <c r="I365" s="1">
        <v>1.0540800000000001E-8</v>
      </c>
      <c r="J365">
        <f t="shared" si="82"/>
        <v>6.8061749676173941E-3</v>
      </c>
      <c r="K365">
        <v>0</v>
      </c>
      <c r="L365">
        <v>2.5395925877002268E-3</v>
      </c>
      <c r="N365" s="1">
        <v>1.0540800000000001E-8</v>
      </c>
      <c r="O365">
        <f t="shared" si="83"/>
        <v>0</v>
      </c>
      <c r="Q365" s="1">
        <v>1.0540800000000001E-8</v>
      </c>
      <c r="R365">
        <f t="shared" si="84"/>
        <v>2.5395925877002268E-3</v>
      </c>
      <c r="CH365" s="1">
        <v>9.7576299999999999E-9</v>
      </c>
      <c r="CI365">
        <v>0.12997900000000001</v>
      </c>
      <c r="CJ365">
        <f t="shared" si="85"/>
        <v>10.101838548844817</v>
      </c>
      <c r="CL365" s="1">
        <v>9.7576299999999999E-9</v>
      </c>
      <c r="CM365">
        <v>0.68850999999999996</v>
      </c>
      <c r="CN365">
        <f t="shared" si="86"/>
        <v>53.510312121689992</v>
      </c>
    </row>
    <row r="366" spans="4:92" x14ac:dyDescent="0.35">
      <c r="D366" s="1">
        <v>1.06773E-8</v>
      </c>
      <c r="E366">
        <v>4.0957100000000004</v>
      </c>
      <c r="F366">
        <v>0</v>
      </c>
      <c r="G366">
        <v>0.77476199999999995</v>
      </c>
      <c r="I366" s="1">
        <v>1.06773E-8</v>
      </c>
      <c r="J366">
        <f t="shared" si="82"/>
        <v>7.2692497331334725E-3</v>
      </c>
      <c r="K366">
        <v>0</v>
      </c>
      <c r="L366">
        <v>2.5471640985887962E-3</v>
      </c>
      <c r="N366" s="1">
        <v>1.06773E-8</v>
      </c>
      <c r="O366">
        <f t="shared" si="83"/>
        <v>0</v>
      </c>
      <c r="Q366" s="1">
        <v>1.06773E-8</v>
      </c>
      <c r="R366">
        <f t="shared" si="84"/>
        <v>2.5471640985887962E-3</v>
      </c>
      <c r="CH366" s="1">
        <v>9.8839899999999995E-9</v>
      </c>
      <c r="CI366">
        <v>0.17103099999999999</v>
      </c>
      <c r="CJ366">
        <f t="shared" si="85"/>
        <v>13.292359141457293</v>
      </c>
      <c r="CL366" s="1">
        <v>9.8839899999999995E-9</v>
      </c>
      <c r="CM366">
        <v>0.62970999999999999</v>
      </c>
      <c r="CN366">
        <f t="shared" si="86"/>
        <v>48.94043462861746</v>
      </c>
    </row>
    <row r="367" spans="4:92" x14ac:dyDescent="0.35">
      <c r="D367" s="1">
        <v>1.08155E-8</v>
      </c>
      <c r="E367">
        <v>3.96197</v>
      </c>
      <c r="F367">
        <v>0</v>
      </c>
      <c r="G367">
        <v>0.82943100000000003</v>
      </c>
      <c r="I367" s="1">
        <v>1.08155E-8</v>
      </c>
      <c r="J367">
        <f t="shared" si="82"/>
        <v>7.0318819850972904E-3</v>
      </c>
      <c r="K367">
        <v>0</v>
      </c>
      <c r="L367">
        <v>2.7268978931034357E-3</v>
      </c>
      <c r="N367" s="1">
        <v>1.08155E-8</v>
      </c>
      <c r="O367">
        <f t="shared" si="83"/>
        <v>0</v>
      </c>
      <c r="Q367" s="1">
        <v>1.08155E-8</v>
      </c>
      <c r="R367">
        <f t="shared" si="84"/>
        <v>2.7268978931034357E-3</v>
      </c>
      <c r="CH367" s="1">
        <v>1.0012000000000001E-8</v>
      </c>
      <c r="CI367">
        <v>0.114603</v>
      </c>
      <c r="CJ367">
        <f t="shared" si="85"/>
        <v>8.9068311282073438</v>
      </c>
      <c r="CL367" s="1">
        <v>1.0012000000000001E-8</v>
      </c>
      <c r="CM367">
        <v>0.72728000000000004</v>
      </c>
      <c r="CN367">
        <f t="shared" si="86"/>
        <v>56.523477944928473</v>
      </c>
    </row>
    <row r="368" spans="4:92" x14ac:dyDescent="0.35">
      <c r="D368" s="1">
        <v>1.0955600000000001E-8</v>
      </c>
      <c r="E368">
        <v>4.2198900000000004</v>
      </c>
      <c r="F368">
        <v>0</v>
      </c>
      <c r="G368">
        <v>0.84514800000000001</v>
      </c>
      <c r="I368" s="1">
        <v>1.0955600000000001E-8</v>
      </c>
      <c r="J368">
        <f t="shared" si="82"/>
        <v>7.489649964561116E-3</v>
      </c>
      <c r="K368">
        <v>0</v>
      </c>
      <c r="L368">
        <v>2.7785702494367613E-3</v>
      </c>
      <c r="N368" s="1">
        <v>1.0955600000000001E-8</v>
      </c>
      <c r="O368">
        <f t="shared" si="83"/>
        <v>0</v>
      </c>
      <c r="Q368" s="1">
        <v>1.0955600000000001E-8</v>
      </c>
      <c r="R368">
        <f t="shared" si="84"/>
        <v>2.7785702494367613E-3</v>
      </c>
      <c r="CH368" s="1">
        <v>1.0141600000000001E-8</v>
      </c>
      <c r="CI368">
        <v>9.6813999999999997E-2</v>
      </c>
      <c r="CJ368">
        <f t="shared" si="85"/>
        <v>7.5242877485429336</v>
      </c>
      <c r="CL368" s="1">
        <v>1.0141600000000001E-8</v>
      </c>
      <c r="CM368">
        <v>0.77871000000000001</v>
      </c>
      <c r="CN368">
        <f t="shared" si="86"/>
        <v>60.520566371267257</v>
      </c>
    </row>
    <row r="369" spans="4:92" x14ac:dyDescent="0.35">
      <c r="D369" s="1">
        <v>1.1097500000000001E-8</v>
      </c>
      <c r="E369">
        <v>4.2654500000000004</v>
      </c>
      <c r="F369">
        <v>0</v>
      </c>
      <c r="G369">
        <v>0.89114000000000004</v>
      </c>
      <c r="I369" s="1">
        <v>1.1097500000000001E-8</v>
      </c>
      <c r="J369">
        <f t="shared" si="82"/>
        <v>7.5705118951767021E-3</v>
      </c>
      <c r="K369">
        <v>0</v>
      </c>
      <c r="L369">
        <v>2.9297769054450534E-3</v>
      </c>
      <c r="N369" s="1">
        <v>1.1097500000000001E-8</v>
      </c>
      <c r="O369">
        <f t="shared" si="83"/>
        <v>0</v>
      </c>
      <c r="Q369" s="1">
        <v>1.1097500000000001E-8</v>
      </c>
      <c r="R369">
        <f t="shared" si="84"/>
        <v>2.9297769054450534E-3</v>
      </c>
      <c r="CH369" s="1">
        <v>1.0273E-8</v>
      </c>
      <c r="CI369">
        <v>0.11123</v>
      </c>
      <c r="CJ369">
        <f t="shared" si="85"/>
        <v>8.6446849243955466</v>
      </c>
      <c r="CL369" s="1">
        <v>1.0273E-8</v>
      </c>
      <c r="CM369">
        <v>0.62143999999999999</v>
      </c>
      <c r="CN369">
        <f t="shared" si="86"/>
        <v>48.297698457397907</v>
      </c>
    </row>
    <row r="370" spans="4:92" x14ac:dyDescent="0.35">
      <c r="D370" s="1">
        <v>1.12412E-8</v>
      </c>
      <c r="E370">
        <v>4.3999499999999996</v>
      </c>
      <c r="F370">
        <v>0</v>
      </c>
      <c r="G370">
        <v>0.94317300000000004</v>
      </c>
      <c r="I370" s="1">
        <v>1.12412E-8</v>
      </c>
      <c r="J370">
        <f t="shared" si="82"/>
        <v>7.8092285252863644E-3</v>
      </c>
      <c r="K370">
        <v>0</v>
      </c>
      <c r="L370">
        <v>3.1008443939665228E-3</v>
      </c>
      <c r="N370" s="1">
        <v>1.12412E-8</v>
      </c>
      <c r="O370">
        <f t="shared" si="83"/>
        <v>0</v>
      </c>
      <c r="Q370" s="1">
        <v>1.12412E-8</v>
      </c>
      <c r="R370">
        <f t="shared" si="84"/>
        <v>3.1008443939665228E-3</v>
      </c>
      <c r="CH370" s="1">
        <v>1.0406000000000001E-8</v>
      </c>
      <c r="CI370">
        <v>0.134552</v>
      </c>
      <c r="CJ370">
        <f t="shared" si="85"/>
        <v>10.457247558637686</v>
      </c>
      <c r="CL370" s="1">
        <v>1.0406000000000001E-8</v>
      </c>
      <c r="CM370">
        <v>0.70079999999999998</v>
      </c>
      <c r="CN370">
        <f t="shared" si="86"/>
        <v>54.465478692946142</v>
      </c>
    </row>
    <row r="371" spans="4:92" x14ac:dyDescent="0.35">
      <c r="D371" s="1">
        <v>1.13868E-8</v>
      </c>
      <c r="E371">
        <v>4.5736999999999997</v>
      </c>
      <c r="F371">
        <v>0</v>
      </c>
      <c r="G371">
        <v>0.97359899999999999</v>
      </c>
      <c r="I371" s="1">
        <v>1.13868E-8</v>
      </c>
      <c r="J371">
        <f t="shared" si="82"/>
        <v>8.1176078151120462E-3</v>
      </c>
      <c r="K371">
        <v>0</v>
      </c>
      <c r="L371">
        <v>3.2008751322624932E-3</v>
      </c>
      <c r="N371" s="1">
        <v>1.13868E-8</v>
      </c>
      <c r="O371">
        <f t="shared" si="83"/>
        <v>0</v>
      </c>
      <c r="Q371" s="1">
        <v>1.13868E-8</v>
      </c>
      <c r="R371">
        <f t="shared" si="84"/>
        <v>3.2008751322624932E-3</v>
      </c>
      <c r="CH371" s="1">
        <v>1.0540800000000001E-8</v>
      </c>
      <c r="CI371">
        <v>0.164331</v>
      </c>
      <c r="CJ371">
        <f t="shared" si="85"/>
        <v>12.771641808062975</v>
      </c>
      <c r="CL371" s="1">
        <v>1.0540800000000001E-8</v>
      </c>
      <c r="CM371">
        <v>0.58526999999999996</v>
      </c>
      <c r="CN371">
        <f t="shared" si="86"/>
        <v>45.486602047118417</v>
      </c>
    </row>
    <row r="372" spans="4:92" x14ac:dyDescent="0.35">
      <c r="D372" s="1">
        <v>1.15342E-8</v>
      </c>
      <c r="E372">
        <v>4.52121</v>
      </c>
      <c r="F372">
        <v>0</v>
      </c>
      <c r="G372">
        <v>0.95810799999999996</v>
      </c>
      <c r="I372" s="1">
        <v>1.15342E-8</v>
      </c>
      <c r="J372">
        <f t="shared" si="82"/>
        <v>8.0244462098001037E-3</v>
      </c>
      <c r="K372">
        <v>0</v>
      </c>
      <c r="L372">
        <v>3.149945790024181E-3</v>
      </c>
      <c r="N372" s="1">
        <v>1.15342E-8</v>
      </c>
      <c r="O372">
        <f t="shared" si="83"/>
        <v>0</v>
      </c>
      <c r="Q372" s="1">
        <v>1.15342E-8</v>
      </c>
      <c r="R372">
        <f t="shared" si="84"/>
        <v>3.149945790024181E-3</v>
      </c>
      <c r="CH372" s="1">
        <v>1.06773E-8</v>
      </c>
      <c r="CI372">
        <v>0.17418</v>
      </c>
      <c r="CJ372">
        <f t="shared" si="85"/>
        <v>13.537096288152625</v>
      </c>
      <c r="CL372" s="1">
        <v>1.06773E-8</v>
      </c>
      <c r="CM372">
        <v>0.69016</v>
      </c>
      <c r="CN372">
        <f t="shared" si="86"/>
        <v>53.638548479913972</v>
      </c>
    </row>
    <row r="373" spans="4:92" x14ac:dyDescent="0.35">
      <c r="D373" s="1">
        <v>1.16836E-8</v>
      </c>
      <c r="E373">
        <v>4.7411399999999997</v>
      </c>
      <c r="F373">
        <v>0</v>
      </c>
      <c r="G373">
        <v>0.90604300000000004</v>
      </c>
      <c r="I373" s="1">
        <v>1.16836E-8</v>
      </c>
      <c r="J373">
        <f t="shared" si="82"/>
        <v>8.4147878340381597E-3</v>
      </c>
      <c r="K373">
        <v>0</v>
      </c>
      <c r="L373">
        <v>2.9787730959671345E-3</v>
      </c>
      <c r="N373" s="1">
        <v>1.16836E-8</v>
      </c>
      <c r="O373">
        <f t="shared" si="83"/>
        <v>0</v>
      </c>
      <c r="Q373" s="1">
        <v>1.16836E-8</v>
      </c>
      <c r="R373">
        <f t="shared" si="84"/>
        <v>2.9787730959671345E-3</v>
      </c>
      <c r="CH373" s="1">
        <v>1.08155E-8</v>
      </c>
      <c r="CI373">
        <v>0.25067600000000001</v>
      </c>
      <c r="CJ373">
        <f t="shared" si="85"/>
        <v>19.482289293426039</v>
      </c>
      <c r="CL373" s="1">
        <v>1.08155E-8</v>
      </c>
      <c r="CM373">
        <v>0.53552999999999995</v>
      </c>
      <c r="CN373">
        <f t="shared" si="86"/>
        <v>41.62085873920298</v>
      </c>
    </row>
    <row r="374" spans="4:92" x14ac:dyDescent="0.35">
      <c r="D374" s="1">
        <v>1.1834899999999999E-8</v>
      </c>
      <c r="E374">
        <v>4.8533200000000001</v>
      </c>
      <c r="F374">
        <v>0</v>
      </c>
      <c r="G374">
        <v>1.00352</v>
      </c>
      <c r="I374" s="1">
        <v>1.1834899999999999E-8</v>
      </c>
      <c r="J374">
        <f t="shared" si="82"/>
        <v>8.6138899274634546E-3</v>
      </c>
      <c r="K374">
        <v>0</v>
      </c>
      <c r="L374">
        <v>3.2992455957001365E-3</v>
      </c>
      <c r="N374" s="1">
        <v>1.1834899999999999E-8</v>
      </c>
      <c r="O374">
        <f t="shared" si="83"/>
        <v>0</v>
      </c>
      <c r="Q374" s="1">
        <v>1.1834899999999999E-8</v>
      </c>
      <c r="R374">
        <f t="shared" si="84"/>
        <v>3.2992455957001365E-3</v>
      </c>
      <c r="CH374" s="1">
        <v>1.0955600000000001E-8</v>
      </c>
      <c r="CI374">
        <v>0.139154</v>
      </c>
      <c r="CJ374">
        <f t="shared" si="85"/>
        <v>10.814910419575096</v>
      </c>
      <c r="CL374" s="1">
        <v>1.0955600000000001E-8</v>
      </c>
      <c r="CM374">
        <v>0.72931000000000001</v>
      </c>
      <c r="CN374">
        <f t="shared" si="86"/>
        <v>56.681247525046452</v>
      </c>
    </row>
    <row r="375" spans="4:92" x14ac:dyDescent="0.35">
      <c r="D375" s="1">
        <v>1.19882E-8</v>
      </c>
      <c r="E375">
        <v>4.8214199999999998</v>
      </c>
      <c r="F375">
        <v>0</v>
      </c>
      <c r="G375">
        <v>1.01437</v>
      </c>
      <c r="I375" s="1">
        <v>1.19882E-8</v>
      </c>
      <c r="J375">
        <f t="shared" si="82"/>
        <v>8.5572723772738748E-3</v>
      </c>
      <c r="K375">
        <v>0</v>
      </c>
      <c r="L375">
        <v>3.3349168476067715E-3</v>
      </c>
      <c r="N375" s="1">
        <v>1.19882E-8</v>
      </c>
      <c r="O375">
        <f t="shared" si="83"/>
        <v>0</v>
      </c>
      <c r="Q375" s="1">
        <v>1.19882E-8</v>
      </c>
      <c r="R375">
        <f t="shared" si="84"/>
        <v>3.3349168476067715E-3</v>
      </c>
      <c r="CH375" s="1">
        <v>1.1097500000000001E-8</v>
      </c>
      <c r="CI375">
        <v>0.14649499999999999</v>
      </c>
      <c r="CJ375">
        <f t="shared" si="85"/>
        <v>11.385445635164304</v>
      </c>
      <c r="CL375" s="1">
        <v>1.1097500000000001E-8</v>
      </c>
      <c r="CM375">
        <v>0.70350999999999997</v>
      </c>
      <c r="CN375">
        <f t="shared" si="86"/>
        <v>54.676097196453398</v>
      </c>
    </row>
    <row r="376" spans="4:92" x14ac:dyDescent="0.35">
      <c r="D376" s="1">
        <v>1.21434E-8</v>
      </c>
      <c r="E376">
        <v>5.0205299999999999</v>
      </c>
      <c r="F376">
        <v>0</v>
      </c>
      <c r="G376">
        <v>1.0097700000000001</v>
      </c>
      <c r="I376" s="1">
        <v>1.21434E-8</v>
      </c>
      <c r="J376">
        <f t="shared" si="82"/>
        <v>8.9106617320778552E-3</v>
      </c>
      <c r="K376">
        <v>0</v>
      </c>
      <c r="L376">
        <v>3.3197935518675531E-3</v>
      </c>
      <c r="N376" s="1">
        <v>1.21434E-8</v>
      </c>
      <c r="O376">
        <f t="shared" si="83"/>
        <v>0</v>
      </c>
      <c r="Q376" s="1">
        <v>1.21434E-8</v>
      </c>
      <c r="R376">
        <f t="shared" si="84"/>
        <v>3.3197935518675531E-3</v>
      </c>
      <c r="CH376" s="1">
        <v>1.12412E-8</v>
      </c>
      <c r="CI376">
        <v>0.197993</v>
      </c>
      <c r="CJ376">
        <f t="shared" si="85"/>
        <v>15.387818953842018</v>
      </c>
      <c r="CL376" s="1">
        <v>1.12412E-8</v>
      </c>
      <c r="CM376">
        <v>0.49319000000000002</v>
      </c>
      <c r="CN376">
        <f t="shared" si="86"/>
        <v>38.330236068170819</v>
      </c>
    </row>
    <row r="377" spans="4:92" x14ac:dyDescent="0.35">
      <c r="D377" s="1">
        <v>1.2300700000000001E-8</v>
      </c>
      <c r="E377">
        <v>5.1689999999999996</v>
      </c>
      <c r="F377">
        <v>0</v>
      </c>
      <c r="G377">
        <v>1.1153</v>
      </c>
      <c r="I377" s="1">
        <v>1.2300700000000001E-8</v>
      </c>
      <c r="J377">
        <f t="shared" si="82"/>
        <v>9.1741729445119196E-3</v>
      </c>
      <c r="K377">
        <v>0</v>
      </c>
      <c r="L377">
        <v>3.6667416821631479E-3</v>
      </c>
      <c r="N377" s="1">
        <v>1.2300700000000001E-8</v>
      </c>
      <c r="O377">
        <f t="shared" si="83"/>
        <v>0</v>
      </c>
      <c r="Q377" s="1">
        <v>1.2300700000000001E-8</v>
      </c>
      <c r="R377">
        <f t="shared" si="84"/>
        <v>3.6667416821631479E-3</v>
      </c>
      <c r="CH377" s="1">
        <v>1.13868E-8</v>
      </c>
      <c r="CI377">
        <v>8.5596199999999997E-2</v>
      </c>
      <c r="CJ377">
        <f t="shared" si="85"/>
        <v>6.6524514944308741</v>
      </c>
      <c r="CL377" s="1">
        <v>1.13868E-8</v>
      </c>
      <c r="CM377">
        <v>0.62980999999999998</v>
      </c>
      <c r="CN377">
        <f t="shared" si="86"/>
        <v>48.948206529115879</v>
      </c>
    </row>
    <row r="378" spans="4:92" x14ac:dyDescent="0.35">
      <c r="D378" s="1">
        <v>1.246E-8</v>
      </c>
      <c r="E378">
        <v>5.3434600000000003</v>
      </c>
      <c r="F378">
        <v>1.45502E-3</v>
      </c>
      <c r="G378">
        <v>1.13178</v>
      </c>
      <c r="I378" s="1">
        <v>1.246E-8</v>
      </c>
      <c r="J378">
        <f t="shared" si="82"/>
        <v>9.4838123741694067E-3</v>
      </c>
      <c r="K378">
        <v>7.7221407226504292E-6</v>
      </c>
      <c r="L378">
        <v>3.7209225329853921E-3</v>
      </c>
      <c r="N378" s="1">
        <v>1.246E-8</v>
      </c>
      <c r="O378">
        <f t="shared" si="83"/>
        <v>7.7221407226504292E-6</v>
      </c>
      <c r="Q378" s="1">
        <v>1.246E-8</v>
      </c>
      <c r="R378">
        <f t="shared" si="84"/>
        <v>3.7209225329853921E-3</v>
      </c>
      <c r="CH378" s="1">
        <v>1.15342E-8</v>
      </c>
      <c r="CI378">
        <v>0.13489399999999999</v>
      </c>
      <c r="CJ378">
        <f t="shared" si="85"/>
        <v>10.48382745834229</v>
      </c>
      <c r="CL378" s="1">
        <v>1.15342E-8</v>
      </c>
      <c r="CM378">
        <v>0.58660999999999996</v>
      </c>
      <c r="CN378">
        <f t="shared" si="86"/>
        <v>45.59074551379728</v>
      </c>
    </row>
    <row r="379" spans="4:92" x14ac:dyDescent="0.35">
      <c r="D379" s="1">
        <v>1.2621300000000001E-8</v>
      </c>
      <c r="E379">
        <v>5.4611200000000002</v>
      </c>
      <c r="F379">
        <v>0</v>
      </c>
      <c r="G379">
        <v>1.0771200000000001</v>
      </c>
      <c r="I379" s="1">
        <v>1.2621300000000001E-8</v>
      </c>
      <c r="J379">
        <f t="shared" si="82"/>
        <v>9.6926406172824411E-3</v>
      </c>
      <c r="K379">
        <v>0</v>
      </c>
      <c r="L379">
        <v>3.5412183275276344E-3</v>
      </c>
      <c r="N379" s="1">
        <v>1.2621300000000001E-8</v>
      </c>
      <c r="O379">
        <f t="shared" si="83"/>
        <v>0</v>
      </c>
      <c r="Q379" s="1">
        <v>1.2621300000000001E-8</v>
      </c>
      <c r="R379">
        <f t="shared" si="84"/>
        <v>3.5412183275276344E-3</v>
      </c>
      <c r="CH379" s="1">
        <v>1.16836E-8</v>
      </c>
      <c r="CI379">
        <v>0.21935499999999999</v>
      </c>
      <c r="CJ379">
        <f t="shared" si="85"/>
        <v>17.04805233831507</v>
      </c>
      <c r="CL379" s="1">
        <v>1.16836E-8</v>
      </c>
      <c r="CM379">
        <v>0.49315999999999999</v>
      </c>
      <c r="CN379">
        <f t="shared" si="86"/>
        <v>38.32790449802129</v>
      </c>
    </row>
    <row r="380" spans="4:92" x14ac:dyDescent="0.35">
      <c r="D380" s="1">
        <v>1.2784800000000001E-8</v>
      </c>
      <c r="E380">
        <v>5.5981399999999999</v>
      </c>
      <c r="F380">
        <v>0</v>
      </c>
      <c r="G380">
        <v>1.0703400000000001</v>
      </c>
      <c r="I380" s="1">
        <v>1.2784800000000001E-8</v>
      </c>
      <c r="J380">
        <f t="shared" si="82"/>
        <v>9.935829856372598E-3</v>
      </c>
      <c r="K380">
        <v>0</v>
      </c>
      <c r="L380">
        <v>3.5189279046772205E-3</v>
      </c>
      <c r="N380" s="1">
        <v>1.2784800000000001E-8</v>
      </c>
      <c r="O380">
        <f t="shared" si="83"/>
        <v>0</v>
      </c>
      <c r="Q380" s="1">
        <v>1.2784800000000001E-8</v>
      </c>
      <c r="R380">
        <f t="shared" si="84"/>
        <v>3.5189279046772205E-3</v>
      </c>
      <c r="CH380" s="1">
        <v>1.1834899999999999E-8</v>
      </c>
      <c r="CI380">
        <v>0.24715300000000001</v>
      </c>
      <c r="CJ380">
        <f t="shared" si="85"/>
        <v>19.208485238866608</v>
      </c>
      <c r="CL380" s="1">
        <v>1.1834899999999999E-8</v>
      </c>
      <c r="CM380">
        <v>0.60904999999999998</v>
      </c>
      <c r="CN380">
        <f t="shared" si="86"/>
        <v>47.334759985643331</v>
      </c>
    </row>
    <row r="381" spans="4:92" x14ac:dyDescent="0.35">
      <c r="D381" s="1">
        <v>1.29503E-8</v>
      </c>
      <c r="E381">
        <v>5.6771799999999999</v>
      </c>
      <c r="F381">
        <v>0</v>
      </c>
      <c r="G381">
        <v>1.0950200000000001</v>
      </c>
      <c r="I381" s="1">
        <v>1.29503E-8</v>
      </c>
      <c r="J381">
        <f t="shared" si="82"/>
        <v>1.0076113592014737E-2</v>
      </c>
      <c r="K381">
        <v>0</v>
      </c>
      <c r="L381">
        <v>3.6000676739911153E-3</v>
      </c>
      <c r="N381" s="1">
        <v>1.29503E-8</v>
      </c>
      <c r="O381">
        <f t="shared" si="83"/>
        <v>0</v>
      </c>
      <c r="Q381" s="1">
        <v>1.29503E-8</v>
      </c>
      <c r="R381">
        <f t="shared" si="84"/>
        <v>3.6000676739911153E-3</v>
      </c>
      <c r="CH381" s="1">
        <v>1.19882E-8</v>
      </c>
      <c r="CI381">
        <v>0.118663</v>
      </c>
      <c r="CJ381">
        <f t="shared" si="85"/>
        <v>9.2223702884433063</v>
      </c>
      <c r="CL381" s="1">
        <v>1.19882E-8</v>
      </c>
      <c r="CM381">
        <v>0.59347000000000005</v>
      </c>
      <c r="CN381">
        <f t="shared" si="86"/>
        <v>46.123897887989088</v>
      </c>
    </row>
    <row r="382" spans="4:92" x14ac:dyDescent="0.35">
      <c r="D382" s="1">
        <v>1.3118099999999999E-8</v>
      </c>
      <c r="E382">
        <v>5.8811900000000001</v>
      </c>
      <c r="F382">
        <v>0</v>
      </c>
      <c r="G382">
        <v>1.1932499999999999</v>
      </c>
      <c r="I382" s="1">
        <v>1.3118099999999999E-8</v>
      </c>
      <c r="J382">
        <f t="shared" si="82"/>
        <v>1.0438199686503011E-2</v>
      </c>
      <c r="K382">
        <v>0</v>
      </c>
      <c r="L382">
        <v>3.9230157914831674E-3</v>
      </c>
      <c r="N382" s="1">
        <v>1.3118099999999999E-8</v>
      </c>
      <c r="O382">
        <f t="shared" si="83"/>
        <v>0</v>
      </c>
      <c r="Q382" s="1">
        <v>1.3118099999999999E-8</v>
      </c>
      <c r="R382">
        <f t="shared" si="84"/>
        <v>3.9230157914831674E-3</v>
      </c>
      <c r="CH382" s="1">
        <v>1.21434E-8</v>
      </c>
      <c r="CI382">
        <v>0.146976</v>
      </c>
      <c r="CJ382">
        <f t="shared" si="85"/>
        <v>11.422828476561719</v>
      </c>
      <c r="CL382" s="1">
        <v>1.21434E-8</v>
      </c>
      <c r="CM382">
        <v>0.70704999999999996</v>
      </c>
      <c r="CN382">
        <f t="shared" si="86"/>
        <v>54.951222474097555</v>
      </c>
    </row>
    <row r="383" spans="4:92" x14ac:dyDescent="0.35">
      <c r="D383" s="1">
        <v>1.3287900000000001E-8</v>
      </c>
      <c r="E383">
        <v>6.0452199999999996</v>
      </c>
      <c r="F383">
        <v>0</v>
      </c>
      <c r="G383">
        <v>1.2389699999999999</v>
      </c>
      <c r="I383" s="1">
        <v>1.3287900000000001E-8</v>
      </c>
      <c r="J383">
        <f t="shared" si="82"/>
        <v>1.0729327484546788E-2</v>
      </c>
      <c r="K383">
        <v>0</v>
      </c>
      <c r="L383">
        <v>4.0733282004390527E-3</v>
      </c>
      <c r="N383" s="1">
        <v>1.3287900000000001E-8</v>
      </c>
      <c r="O383">
        <f t="shared" si="83"/>
        <v>0</v>
      </c>
      <c r="Q383" s="1">
        <v>1.3287900000000001E-8</v>
      </c>
      <c r="R383">
        <f t="shared" si="84"/>
        <v>4.0733282004390527E-3</v>
      </c>
      <c r="CH383" s="1">
        <v>1.2300700000000001E-8</v>
      </c>
      <c r="CI383">
        <v>0.13571900000000001</v>
      </c>
      <c r="CJ383">
        <f t="shared" si="85"/>
        <v>10.547945637454278</v>
      </c>
      <c r="CL383" s="1">
        <v>1.2300700000000001E-8</v>
      </c>
      <c r="CM383">
        <v>0</v>
      </c>
      <c r="CN383">
        <f t="shared" si="86"/>
        <v>0</v>
      </c>
    </row>
    <row r="384" spans="4:92" x14ac:dyDescent="0.35">
      <c r="D384" s="1">
        <v>1.3459999999999999E-8</v>
      </c>
      <c r="E384">
        <v>6.0750099999999998</v>
      </c>
      <c r="F384">
        <v>0</v>
      </c>
      <c r="G384">
        <v>1.2764200000000001</v>
      </c>
      <c r="I384" s="1">
        <v>1.3459999999999999E-8</v>
      </c>
      <c r="J384">
        <f t="shared" si="82"/>
        <v>1.0782200112137621E-2</v>
      </c>
      <c r="K384">
        <v>0</v>
      </c>
      <c r="L384">
        <v>4.1964515537942131E-3</v>
      </c>
      <c r="N384" s="1">
        <v>1.3459999999999999E-8</v>
      </c>
      <c r="O384">
        <f t="shared" si="83"/>
        <v>0</v>
      </c>
      <c r="Q384" s="1">
        <v>1.3459999999999999E-8</v>
      </c>
      <c r="R384">
        <f t="shared" si="84"/>
        <v>4.1964515537942131E-3</v>
      </c>
      <c r="CH384" s="1">
        <v>1.246E-8</v>
      </c>
      <c r="CI384">
        <v>0.12650900000000001</v>
      </c>
      <c r="CJ384">
        <f t="shared" si="85"/>
        <v>9.8321536015495496</v>
      </c>
      <c r="CL384" s="1">
        <v>1.246E-8</v>
      </c>
      <c r="CM384">
        <v>0.57211999999999996</v>
      </c>
      <c r="CN384">
        <f t="shared" si="86"/>
        <v>44.464597131575836</v>
      </c>
    </row>
    <row r="385" spans="4:92" x14ac:dyDescent="0.35">
      <c r="D385" s="1">
        <v>1.36343E-8</v>
      </c>
      <c r="E385">
        <v>6.3251799999999996</v>
      </c>
      <c r="F385">
        <v>0</v>
      </c>
      <c r="G385">
        <v>1.2834099999999999</v>
      </c>
      <c r="I385" s="1">
        <v>1.36343E-8</v>
      </c>
      <c r="J385">
        <f t="shared" si="82"/>
        <v>1.1226213044141594E-2</v>
      </c>
      <c r="K385">
        <v>0</v>
      </c>
      <c r="L385">
        <v>4.2194323879718512E-3</v>
      </c>
      <c r="N385" s="1">
        <v>1.36343E-8</v>
      </c>
      <c r="O385">
        <f t="shared" si="83"/>
        <v>0</v>
      </c>
      <c r="Q385" s="1">
        <v>1.36343E-8</v>
      </c>
      <c r="R385">
        <f t="shared" si="84"/>
        <v>4.2194323879718512E-3</v>
      </c>
      <c r="CH385" s="1">
        <v>1.2621300000000001E-8</v>
      </c>
      <c r="CI385">
        <v>0.19217500000000001</v>
      </c>
      <c r="CJ385">
        <f t="shared" si="85"/>
        <v>14.935649782843788</v>
      </c>
      <c r="CL385" s="1">
        <v>1.2621300000000001E-8</v>
      </c>
      <c r="CM385">
        <v>0.54718</v>
      </c>
      <c r="CN385">
        <f t="shared" si="86"/>
        <v>42.52628514726922</v>
      </c>
    </row>
    <row r="386" spans="4:92" x14ac:dyDescent="0.35">
      <c r="D386" s="1">
        <v>1.38109E-8</v>
      </c>
      <c r="E386">
        <v>6.6212900000000001</v>
      </c>
      <c r="F386">
        <v>0</v>
      </c>
      <c r="G386">
        <v>1.2234700000000001</v>
      </c>
      <c r="I386" s="1">
        <v>1.38109E-8</v>
      </c>
      <c r="J386">
        <f t="shared" si="82"/>
        <v>1.1751762347797897E-2</v>
      </c>
      <c r="K386">
        <v>0</v>
      </c>
      <c r="L386">
        <v>4.0223692691438596E-3</v>
      </c>
      <c r="N386" s="1">
        <v>1.38109E-8</v>
      </c>
      <c r="O386">
        <f t="shared" si="83"/>
        <v>0</v>
      </c>
      <c r="Q386" s="1">
        <v>1.38109E-8</v>
      </c>
      <c r="R386">
        <f t="shared" si="84"/>
        <v>4.0223692691438596E-3</v>
      </c>
      <c r="CH386" s="1">
        <v>1.2784800000000001E-8</v>
      </c>
      <c r="CI386">
        <v>0.18253</v>
      </c>
      <c r="CJ386">
        <f t="shared" si="85"/>
        <v>14.186049979770919</v>
      </c>
      <c r="CL386" s="1">
        <v>1.2784800000000001E-8</v>
      </c>
      <c r="CM386">
        <v>0.53583000000000003</v>
      </c>
      <c r="CN386">
        <f t="shared" si="86"/>
        <v>41.644174440698251</v>
      </c>
    </row>
    <row r="387" spans="4:92" x14ac:dyDescent="0.35">
      <c r="D387" s="1">
        <v>1.39897E-8</v>
      </c>
      <c r="E387">
        <v>6.7469000000000001</v>
      </c>
      <c r="F387">
        <v>0</v>
      </c>
      <c r="G387">
        <v>1.3884799999999999</v>
      </c>
      <c r="I387" s="1">
        <v>1.39897E-8</v>
      </c>
      <c r="J387">
        <f t="shared" si="82"/>
        <v>1.1974700607337487E-2</v>
      </c>
      <c r="K387">
        <v>0</v>
      </c>
      <c r="L387">
        <v>4.5648681886935249E-3</v>
      </c>
      <c r="N387" s="1">
        <v>1.39897E-8</v>
      </c>
      <c r="O387">
        <f t="shared" si="83"/>
        <v>0</v>
      </c>
      <c r="Q387" s="1">
        <v>1.39897E-8</v>
      </c>
      <c r="R387">
        <f t="shared" si="84"/>
        <v>4.5648681886935249E-3</v>
      </c>
      <c r="CH387" s="1">
        <v>1.29503E-8</v>
      </c>
      <c r="CI387">
        <v>0.25435200000000002</v>
      </c>
      <c r="CJ387">
        <f t="shared" si="85"/>
        <v>19.767984355748059</v>
      </c>
      <c r="CL387" s="1">
        <v>1.29503E-8</v>
      </c>
      <c r="CM387">
        <v>0.48398000000000002</v>
      </c>
      <c r="CN387">
        <f t="shared" si="86"/>
        <v>37.614444032266093</v>
      </c>
    </row>
    <row r="388" spans="4:92" x14ac:dyDescent="0.35">
      <c r="D388" s="1">
        <v>1.41709E-8</v>
      </c>
      <c r="E388">
        <v>6.7397600000000004</v>
      </c>
      <c r="F388">
        <v>0</v>
      </c>
      <c r="G388">
        <v>1.3870800000000001</v>
      </c>
      <c r="I388" s="1">
        <v>1.41709E-8</v>
      </c>
      <c r="J388">
        <f t="shared" ref="J388:J451" si="87">E388/SUM($E$3:$E$2002)/$C$3</f>
        <v>1.196202821522609E-2</v>
      </c>
      <c r="K388">
        <v>0</v>
      </c>
      <c r="L388">
        <v>4.5602654465120235E-3</v>
      </c>
      <c r="N388" s="1">
        <v>1.41709E-8</v>
      </c>
      <c r="O388">
        <f t="shared" ref="O388:O451" si="88">F388/SUM($F$3:$F$2002)/$C$3</f>
        <v>0</v>
      </c>
      <c r="Q388" s="1">
        <v>1.41709E-8</v>
      </c>
      <c r="R388">
        <f t="shared" ref="R388:R451" si="89">G388/SUM($G$3:$G$2002)/$C$3</f>
        <v>4.5602654465120235E-3</v>
      </c>
      <c r="CH388" s="1">
        <v>1.3118099999999999E-8</v>
      </c>
      <c r="CI388">
        <v>0.219638</v>
      </c>
      <c r="CJ388">
        <f t="shared" si="85"/>
        <v>17.070046816725608</v>
      </c>
      <c r="CL388" s="1">
        <v>1.3118099999999999E-8</v>
      </c>
      <c r="CM388">
        <v>0.51529999999999998</v>
      </c>
      <c r="CN388">
        <f t="shared" si="86"/>
        <v>40.048603268372069</v>
      </c>
    </row>
    <row r="389" spans="4:92" x14ac:dyDescent="0.35">
      <c r="D389" s="1">
        <v>1.4354400000000001E-8</v>
      </c>
      <c r="E389">
        <v>6.9462099999999998</v>
      </c>
      <c r="F389">
        <v>1.5002500000000001E-3</v>
      </c>
      <c r="G389">
        <v>1.45123</v>
      </c>
      <c r="I389" s="1">
        <v>1.4354400000000001E-8</v>
      </c>
      <c r="J389">
        <f t="shared" si="87"/>
        <v>1.2328444931108172E-2</v>
      </c>
      <c r="K389">
        <v>7.9621871995960931E-6</v>
      </c>
      <c r="L389">
        <v>4.7711696686143865E-3</v>
      </c>
      <c r="N389" s="1">
        <v>1.4354400000000001E-8</v>
      </c>
      <c r="O389">
        <f t="shared" si="88"/>
        <v>7.9621871995960931E-6</v>
      </c>
      <c r="Q389" s="1">
        <v>1.4354400000000001E-8</v>
      </c>
      <c r="R389">
        <f t="shared" si="89"/>
        <v>4.7711696686143865E-3</v>
      </c>
      <c r="CH389" s="1">
        <v>1.3287900000000001E-8</v>
      </c>
      <c r="CI389">
        <v>0.20591799999999999</v>
      </c>
      <c r="CJ389">
        <f t="shared" si="85"/>
        <v>16.003742068342014</v>
      </c>
      <c r="CL389" s="1">
        <v>1.3287900000000001E-8</v>
      </c>
      <c r="CM389">
        <v>0.52524000000000004</v>
      </c>
      <c r="CN389">
        <f t="shared" si="86"/>
        <v>40.821130177915286</v>
      </c>
    </row>
    <row r="390" spans="4:92" x14ac:dyDescent="0.35">
      <c r="D390" s="1">
        <v>1.45403E-8</v>
      </c>
      <c r="E390">
        <v>7.02041</v>
      </c>
      <c r="F390">
        <v>0</v>
      </c>
      <c r="G390">
        <v>1.4067400000000001</v>
      </c>
      <c r="I390" s="1">
        <v>1.45403E-8</v>
      </c>
      <c r="J390">
        <f t="shared" si="87"/>
        <v>1.2460138417756032E-2</v>
      </c>
      <c r="K390">
        <v>0</v>
      </c>
      <c r="L390">
        <v>4.6249010974322487E-3</v>
      </c>
      <c r="N390" s="1">
        <v>1.45403E-8</v>
      </c>
      <c r="O390">
        <f t="shared" si="88"/>
        <v>0</v>
      </c>
      <c r="Q390" s="1">
        <v>1.45403E-8</v>
      </c>
      <c r="R390">
        <f t="shared" si="89"/>
        <v>4.6249010974322487E-3</v>
      </c>
      <c r="CH390" s="1">
        <v>1.3459999999999999E-8</v>
      </c>
      <c r="CI390">
        <v>9.33306E-2</v>
      </c>
      <c r="CJ390">
        <f t="shared" si="85"/>
        <v>7.253561366580878</v>
      </c>
      <c r="CL390" s="1">
        <v>1.3459999999999999E-8</v>
      </c>
      <c r="CM390">
        <v>0.98473999999999995</v>
      </c>
      <c r="CN390">
        <f t="shared" si="86"/>
        <v>76.533012968167498</v>
      </c>
    </row>
    <row r="391" spans="4:92" x14ac:dyDescent="0.35">
      <c r="D391" s="1">
        <v>1.4728600000000001E-8</v>
      </c>
      <c r="E391">
        <v>7.3003299999999998</v>
      </c>
      <c r="F391">
        <v>0</v>
      </c>
      <c r="G391">
        <v>1.4440900000000001</v>
      </c>
      <c r="I391" s="1">
        <v>1.4728600000000001E-8</v>
      </c>
      <c r="J391">
        <f t="shared" si="87"/>
        <v>1.2956952983557497E-2</v>
      </c>
      <c r="K391">
        <v>0</v>
      </c>
      <c r="L391">
        <v>4.7476956834887306E-3</v>
      </c>
      <c r="N391" s="1">
        <v>1.4728600000000001E-8</v>
      </c>
      <c r="O391">
        <f t="shared" si="88"/>
        <v>0</v>
      </c>
      <c r="Q391" s="1">
        <v>1.4728600000000001E-8</v>
      </c>
      <c r="R391">
        <f t="shared" si="89"/>
        <v>4.7476956834887306E-3</v>
      </c>
      <c r="CH391" s="1">
        <v>1.36343E-8</v>
      </c>
      <c r="CI391">
        <v>0.27787600000000001</v>
      </c>
      <c r="CJ391">
        <f t="shared" si="85"/>
        <v>21.596246228997007</v>
      </c>
      <c r="CL391" s="1">
        <v>1.36343E-8</v>
      </c>
      <c r="CM391">
        <v>0.45598</v>
      </c>
      <c r="CN391">
        <f t="shared" si="86"/>
        <v>35.438311892707738</v>
      </c>
    </row>
    <row r="392" spans="4:92" x14ac:dyDescent="0.35">
      <c r="D392" s="1">
        <v>1.4919299999999999E-8</v>
      </c>
      <c r="E392">
        <v>7.4463100000000004</v>
      </c>
      <c r="F392">
        <v>0</v>
      </c>
      <c r="G392">
        <v>1.51793</v>
      </c>
      <c r="I392" s="1">
        <v>1.4919299999999999E-8</v>
      </c>
      <c r="J392">
        <f t="shared" si="87"/>
        <v>1.3216044832356076E-2</v>
      </c>
      <c r="K392">
        <v>0</v>
      </c>
      <c r="L392">
        <v>4.990457456833056E-3</v>
      </c>
      <c r="N392" s="1">
        <v>1.4919299999999999E-8</v>
      </c>
      <c r="O392">
        <f t="shared" si="88"/>
        <v>0</v>
      </c>
      <c r="Q392" s="1">
        <v>1.4919299999999999E-8</v>
      </c>
      <c r="R392">
        <f t="shared" si="89"/>
        <v>4.990457456833056E-3</v>
      </c>
      <c r="CH392" s="1">
        <v>1.38109E-8</v>
      </c>
      <c r="CI392">
        <v>0.20397999999999999</v>
      </c>
      <c r="CJ392">
        <f t="shared" si="85"/>
        <v>15.853122636682583</v>
      </c>
      <c r="CL392" s="1">
        <v>1.38109E-8</v>
      </c>
      <c r="CM392">
        <v>0.55381999999999998</v>
      </c>
      <c r="CN392">
        <f t="shared" si="86"/>
        <v>43.042339340364485</v>
      </c>
    </row>
    <row r="393" spans="4:92" x14ac:dyDescent="0.35">
      <c r="D393" s="1">
        <v>1.5112599999999999E-8</v>
      </c>
      <c r="E393">
        <v>7.6837400000000002</v>
      </c>
      <c r="F393">
        <v>0</v>
      </c>
      <c r="G393">
        <v>1.55501</v>
      </c>
      <c r="I393" s="1">
        <v>1.5112599999999999E-8</v>
      </c>
      <c r="J393">
        <f t="shared" si="87"/>
        <v>1.363744624118089E-2</v>
      </c>
      <c r="K393">
        <v>0</v>
      </c>
      <c r="L393">
        <v>5.1123643711831045E-3</v>
      </c>
      <c r="N393" s="1">
        <v>1.5112599999999999E-8</v>
      </c>
      <c r="O393">
        <f t="shared" si="88"/>
        <v>0</v>
      </c>
      <c r="Q393" s="1">
        <v>1.5112599999999999E-8</v>
      </c>
      <c r="R393">
        <f t="shared" si="89"/>
        <v>5.1123643711831045E-3</v>
      </c>
      <c r="CH393" s="1">
        <v>1.39897E-8</v>
      </c>
      <c r="CI393">
        <v>0.28641699999999998</v>
      </c>
      <c r="CJ393">
        <f t="shared" si="85"/>
        <v>22.260044250567287</v>
      </c>
      <c r="CL393" s="1">
        <v>1.39897E-8</v>
      </c>
      <c r="CM393">
        <v>0.47531000000000001</v>
      </c>
      <c r="CN393">
        <f t="shared" si="86"/>
        <v>36.940620259052842</v>
      </c>
    </row>
    <row r="394" spans="4:92" x14ac:dyDescent="0.35">
      <c r="D394" s="1">
        <v>1.53083E-8</v>
      </c>
      <c r="E394">
        <v>7.6647699999999999</v>
      </c>
      <c r="F394">
        <v>0</v>
      </c>
      <c r="G394">
        <v>1.6694800000000001</v>
      </c>
      <c r="I394" s="1">
        <v>1.53083E-8</v>
      </c>
      <c r="J394">
        <f t="shared" si="87"/>
        <v>1.3603777434688843E-2</v>
      </c>
      <c r="K394">
        <v>0</v>
      </c>
      <c r="L394">
        <v>5.4887042979805721E-3</v>
      </c>
      <c r="N394" s="1">
        <v>1.53083E-8</v>
      </c>
      <c r="O394">
        <f t="shared" si="88"/>
        <v>0</v>
      </c>
      <c r="Q394" s="1">
        <v>1.53083E-8</v>
      </c>
      <c r="R394">
        <f t="shared" si="89"/>
        <v>5.4887042979805721E-3</v>
      </c>
      <c r="CH394" s="1">
        <v>1.41709E-8</v>
      </c>
      <c r="CI394">
        <v>0.22209400000000001</v>
      </c>
      <c r="CJ394">
        <f t="shared" ref="CJ394:CJ457" si="90">CI394/$CG$9</f>
        <v>17.260924692966867</v>
      </c>
      <c r="CL394" s="1">
        <v>1.41709E-8</v>
      </c>
      <c r="CM394">
        <v>0.46838000000000002</v>
      </c>
      <c r="CN394">
        <f t="shared" ref="CN394:CN457" si="91">CM394/$CG$9</f>
        <v>36.402027554512152</v>
      </c>
    </row>
    <row r="395" spans="4:92" x14ac:dyDescent="0.35">
      <c r="D395" s="1">
        <v>1.5506500000000001E-8</v>
      </c>
      <c r="E395">
        <v>7.8186299999999997</v>
      </c>
      <c r="F395">
        <v>0</v>
      </c>
      <c r="G395">
        <v>1.6366000000000001</v>
      </c>
      <c r="I395" s="1">
        <v>1.5506500000000001E-8</v>
      </c>
      <c r="J395">
        <f t="shared" si="87"/>
        <v>1.387685506077563E-2</v>
      </c>
      <c r="K395">
        <v>0</v>
      </c>
      <c r="L395">
        <v>5.3806056101750278E-3</v>
      </c>
      <c r="N395" s="1">
        <v>1.5506500000000001E-8</v>
      </c>
      <c r="O395">
        <f t="shared" si="88"/>
        <v>0</v>
      </c>
      <c r="Q395" s="1">
        <v>1.5506500000000001E-8</v>
      </c>
      <c r="R395">
        <f t="shared" si="89"/>
        <v>5.3806056101750278E-3</v>
      </c>
      <c r="CH395" s="1">
        <v>1.4354400000000001E-8</v>
      </c>
      <c r="CI395">
        <v>0.24337700000000001</v>
      </c>
      <c r="CJ395">
        <f t="shared" si="90"/>
        <v>18.915018276046169</v>
      </c>
      <c r="CL395" s="1">
        <v>1.4354400000000001E-8</v>
      </c>
      <c r="CM395">
        <v>0.4632</v>
      </c>
      <c r="CN395">
        <f t="shared" si="91"/>
        <v>35.999443108693853</v>
      </c>
    </row>
    <row r="396" spans="4:92" x14ac:dyDescent="0.35">
      <c r="D396" s="1">
        <v>1.5707299999999999E-8</v>
      </c>
      <c r="E396">
        <v>8.0548999999999999</v>
      </c>
      <c r="F396">
        <v>0</v>
      </c>
      <c r="G396">
        <v>1.6964900000000001</v>
      </c>
      <c r="I396" s="1">
        <v>1.5707299999999999E-8</v>
      </c>
      <c r="J396">
        <f t="shared" si="87"/>
        <v>1.4296197649593551E-2</v>
      </c>
      <c r="K396">
        <v>0</v>
      </c>
      <c r="L396">
        <v>5.5775043453536802E-3</v>
      </c>
      <c r="N396" s="1">
        <v>1.5707299999999999E-8</v>
      </c>
      <c r="O396">
        <f t="shared" si="88"/>
        <v>0</v>
      </c>
      <c r="Q396" s="1">
        <v>1.5707299999999999E-8</v>
      </c>
      <c r="R396">
        <f t="shared" si="89"/>
        <v>5.5775043453536802E-3</v>
      </c>
      <c r="CH396" s="1">
        <v>1.45403E-8</v>
      </c>
      <c r="CI396">
        <v>0.316861</v>
      </c>
      <c r="CJ396">
        <f t="shared" si="90"/>
        <v>24.62612163830709</v>
      </c>
      <c r="CL396" s="1">
        <v>1.45403E-8</v>
      </c>
      <c r="CM396">
        <v>0.50382000000000005</v>
      </c>
      <c r="CN396">
        <f t="shared" si="91"/>
        <v>39.156389091153152</v>
      </c>
    </row>
    <row r="397" spans="4:92" x14ac:dyDescent="0.35">
      <c r="D397" s="1">
        <v>1.59107E-8</v>
      </c>
      <c r="E397">
        <v>8.4402600000000003</v>
      </c>
      <c r="F397">
        <v>0</v>
      </c>
      <c r="G397">
        <v>1.73044</v>
      </c>
      <c r="I397" s="1">
        <v>1.59107E-8</v>
      </c>
      <c r="J397">
        <f t="shared" si="87"/>
        <v>1.4980151854642325E-2</v>
      </c>
      <c r="K397">
        <v>0</v>
      </c>
      <c r="L397">
        <v>5.6891208432550862E-3</v>
      </c>
      <c r="N397" s="1">
        <v>1.59107E-8</v>
      </c>
      <c r="O397">
        <f t="shared" si="88"/>
        <v>0</v>
      </c>
      <c r="Q397" s="1">
        <v>1.59107E-8</v>
      </c>
      <c r="R397">
        <f t="shared" si="89"/>
        <v>5.6891208432550862E-3</v>
      </c>
      <c r="CH397" s="1">
        <v>1.4728600000000001E-8</v>
      </c>
      <c r="CI397">
        <v>0.51966699999999999</v>
      </c>
      <c r="CJ397">
        <f t="shared" si="90"/>
        <v>40.388002163138189</v>
      </c>
      <c r="CL397" s="1">
        <v>1.4728600000000001E-8</v>
      </c>
      <c r="CM397">
        <v>0.36384</v>
      </c>
      <c r="CN397">
        <f t="shared" si="91"/>
        <v>28.277282773461081</v>
      </c>
    </row>
    <row r="398" spans="4:92" x14ac:dyDescent="0.35">
      <c r="D398" s="1">
        <v>1.61168E-8</v>
      </c>
      <c r="E398">
        <v>8.5732999999999997</v>
      </c>
      <c r="F398">
        <v>0</v>
      </c>
      <c r="G398">
        <v>1.8436999999999999</v>
      </c>
      <c r="I398" s="1">
        <v>1.61168E-8</v>
      </c>
      <c r="J398">
        <f t="shared" si="87"/>
        <v>1.5216277211295037E-2</v>
      </c>
      <c r="K398">
        <v>0</v>
      </c>
      <c r="L398">
        <v>6.0614826857385415E-3</v>
      </c>
      <c r="N398" s="1">
        <v>1.61168E-8</v>
      </c>
      <c r="O398">
        <f t="shared" si="88"/>
        <v>0</v>
      </c>
      <c r="Q398" s="1">
        <v>1.61168E-8</v>
      </c>
      <c r="R398">
        <f t="shared" si="89"/>
        <v>6.0614826857385415E-3</v>
      </c>
      <c r="CH398" s="1">
        <v>1.4919299999999999E-8</v>
      </c>
      <c r="CI398">
        <v>0.52429000000000003</v>
      </c>
      <c r="CJ398">
        <f t="shared" si="90"/>
        <v>40.747297123180275</v>
      </c>
      <c r="CL398" s="1">
        <v>1.4919299999999999E-8</v>
      </c>
      <c r="CM398">
        <v>0.35354999999999998</v>
      </c>
      <c r="CN398">
        <f t="shared" si="91"/>
        <v>27.477554212173384</v>
      </c>
    </row>
    <row r="399" spans="4:92" x14ac:dyDescent="0.35">
      <c r="D399" s="1">
        <v>1.63255E-8</v>
      </c>
      <c r="E399">
        <v>8.7631200000000007</v>
      </c>
      <c r="F399">
        <v>0</v>
      </c>
      <c r="G399">
        <v>1.82504</v>
      </c>
      <c r="I399" s="1">
        <v>1.63255E-8</v>
      </c>
      <c r="J399">
        <f t="shared" si="87"/>
        <v>1.5553178257595533E-2</v>
      </c>
      <c r="K399">
        <v>0</v>
      </c>
      <c r="L399">
        <v>6.0001347078051043E-3</v>
      </c>
      <c r="N399" s="1">
        <v>1.63255E-8</v>
      </c>
      <c r="O399">
        <f t="shared" si="88"/>
        <v>0</v>
      </c>
      <c r="Q399" s="1">
        <v>1.63255E-8</v>
      </c>
      <c r="R399">
        <f t="shared" si="89"/>
        <v>6.0001347078051043E-3</v>
      </c>
      <c r="CH399" s="1">
        <v>1.5112599999999999E-8</v>
      </c>
      <c r="CI399">
        <v>0.37359100000000001</v>
      </c>
      <c r="CJ399">
        <f t="shared" si="90"/>
        <v>29.035120791062276</v>
      </c>
      <c r="CL399" s="1">
        <v>1.5112599999999999E-8</v>
      </c>
      <c r="CM399">
        <v>0.38791999999999999</v>
      </c>
      <c r="CN399">
        <f t="shared" si="91"/>
        <v>30.148756413481262</v>
      </c>
    </row>
    <row r="400" spans="4:92" x14ac:dyDescent="0.35">
      <c r="D400" s="1">
        <v>1.6536899999999999E-8</v>
      </c>
      <c r="E400">
        <v>8.9300200000000007</v>
      </c>
      <c r="F400">
        <v>0</v>
      </c>
      <c r="G400">
        <v>1.8450599999999999</v>
      </c>
      <c r="I400" s="1">
        <v>1.6536899999999999E-8</v>
      </c>
      <c r="J400">
        <f t="shared" si="87"/>
        <v>1.5849399860311537E-2</v>
      </c>
      <c r="K400">
        <v>0</v>
      </c>
      <c r="L400">
        <v>6.0659539210005725E-3</v>
      </c>
      <c r="N400" s="1">
        <v>1.6536899999999999E-8</v>
      </c>
      <c r="O400">
        <f t="shared" si="88"/>
        <v>0</v>
      </c>
      <c r="Q400" s="1">
        <v>1.6536899999999999E-8</v>
      </c>
      <c r="R400">
        <f t="shared" si="89"/>
        <v>6.0659539210005725E-3</v>
      </c>
      <c r="CH400" s="1">
        <v>1.53083E-8</v>
      </c>
      <c r="CI400">
        <v>0.29654399999999997</v>
      </c>
      <c r="CJ400">
        <f t="shared" si="90"/>
        <v>23.047104614042553</v>
      </c>
      <c r="CL400" s="1">
        <v>1.53083E-8</v>
      </c>
      <c r="CM400">
        <v>0.37759999999999999</v>
      </c>
      <c r="CN400">
        <f t="shared" si="91"/>
        <v>29.346696282044039</v>
      </c>
    </row>
    <row r="401" spans="4:92" x14ac:dyDescent="0.35">
      <c r="D401" s="1">
        <v>1.6751100000000001E-8</v>
      </c>
      <c r="E401">
        <v>9.2721499999999999</v>
      </c>
      <c r="F401">
        <v>0</v>
      </c>
      <c r="G401">
        <v>1.9269499999999999</v>
      </c>
      <c r="I401" s="1">
        <v>1.6751100000000001E-8</v>
      </c>
      <c r="J401">
        <f t="shared" si="87"/>
        <v>1.6456627523206847E-2</v>
      </c>
      <c r="K401">
        <v>0</v>
      </c>
      <c r="L401">
        <v>6.3351814618885305E-3</v>
      </c>
      <c r="N401" s="1">
        <v>1.6751100000000001E-8</v>
      </c>
      <c r="O401">
        <f t="shared" si="88"/>
        <v>0</v>
      </c>
      <c r="Q401" s="1">
        <v>1.6751100000000001E-8</v>
      </c>
      <c r="R401">
        <f t="shared" si="89"/>
        <v>6.3351814618885305E-3</v>
      </c>
      <c r="CH401" s="1">
        <v>1.5506500000000001E-8</v>
      </c>
      <c r="CI401">
        <v>0.37777300000000003</v>
      </c>
      <c r="CJ401">
        <f t="shared" si="90"/>
        <v>29.360141669906316</v>
      </c>
      <c r="CL401" s="1">
        <v>1.5506500000000001E-8</v>
      </c>
      <c r="CM401">
        <v>0.37191999999999997</v>
      </c>
      <c r="CN401">
        <f t="shared" si="91"/>
        <v>28.905252333733632</v>
      </c>
    </row>
    <row r="402" spans="4:92" x14ac:dyDescent="0.35">
      <c r="D402" s="1">
        <v>1.6968E-8</v>
      </c>
      <c r="E402">
        <v>9.4864700000000006</v>
      </c>
      <c r="F402">
        <v>0</v>
      </c>
      <c r="G402">
        <v>1.9578100000000001</v>
      </c>
      <c r="I402" s="1">
        <v>1.6968E-8</v>
      </c>
      <c r="J402">
        <f t="shared" si="87"/>
        <v>1.6837012267928806E-2</v>
      </c>
      <c r="K402">
        <v>0</v>
      </c>
      <c r="L402">
        <v>6.436639050260767E-3</v>
      </c>
      <c r="N402" s="1">
        <v>1.6968E-8</v>
      </c>
      <c r="O402">
        <f t="shared" si="88"/>
        <v>0</v>
      </c>
      <c r="Q402" s="1">
        <v>1.6968E-8</v>
      </c>
      <c r="R402">
        <f t="shared" si="89"/>
        <v>6.436639050260767E-3</v>
      </c>
      <c r="CH402" s="1">
        <v>1.5707299999999999E-8</v>
      </c>
      <c r="CI402">
        <v>0.32650600000000002</v>
      </c>
      <c r="CJ402">
        <f t="shared" si="90"/>
        <v>25.375721441379959</v>
      </c>
      <c r="CL402" s="1">
        <v>1.5707299999999999E-8</v>
      </c>
      <c r="CM402">
        <v>0.32871</v>
      </c>
      <c r="CN402">
        <f t="shared" si="91"/>
        <v>25.547014128365191</v>
      </c>
    </row>
    <row r="403" spans="4:92" x14ac:dyDescent="0.35">
      <c r="D403" s="1">
        <v>1.7187699999999998E-8</v>
      </c>
      <c r="E403">
        <v>9.8029200000000003</v>
      </c>
      <c r="F403">
        <v>0</v>
      </c>
      <c r="G403">
        <v>1.9834700000000001</v>
      </c>
      <c r="I403" s="1">
        <v>1.7187699999999998E-8</v>
      </c>
      <c r="J403">
        <f t="shared" si="87"/>
        <v>1.7398661915499089E-2</v>
      </c>
      <c r="K403">
        <v>0</v>
      </c>
      <c r="L403">
        <v>6.521000739101712E-3</v>
      </c>
      <c r="N403" s="1">
        <v>1.7187699999999998E-8</v>
      </c>
      <c r="O403">
        <f t="shared" si="88"/>
        <v>0</v>
      </c>
      <c r="Q403" s="1">
        <v>1.7187699999999998E-8</v>
      </c>
      <c r="R403">
        <f t="shared" si="89"/>
        <v>6.521000739101712E-3</v>
      </c>
      <c r="CH403" s="1">
        <v>1.59107E-8</v>
      </c>
      <c r="CI403">
        <v>0.33943099999999998</v>
      </c>
      <c r="CJ403">
        <f t="shared" si="90"/>
        <v>26.380239580801089</v>
      </c>
      <c r="CL403" s="1">
        <v>1.59107E-8</v>
      </c>
      <c r="CM403">
        <v>0.58611999999999997</v>
      </c>
      <c r="CN403">
        <f t="shared" si="91"/>
        <v>45.55266320135501</v>
      </c>
    </row>
    <row r="404" spans="4:92" x14ac:dyDescent="0.35">
      <c r="D404" s="1">
        <v>1.7410300000000001E-8</v>
      </c>
      <c r="E404">
        <v>10.024900000000001</v>
      </c>
      <c r="F404">
        <v>0</v>
      </c>
      <c r="G404">
        <v>2.04053</v>
      </c>
      <c r="I404" s="1">
        <v>1.7410300000000001E-8</v>
      </c>
      <c r="J404">
        <f t="shared" si="87"/>
        <v>1.779264197164588E-2</v>
      </c>
      <c r="K404">
        <v>0</v>
      </c>
      <c r="L404">
        <v>6.7085953597277584E-3</v>
      </c>
      <c r="N404" s="1">
        <v>1.7410300000000001E-8</v>
      </c>
      <c r="O404">
        <f t="shared" si="88"/>
        <v>0</v>
      </c>
      <c r="Q404" s="1">
        <v>1.7410300000000001E-8</v>
      </c>
      <c r="R404">
        <f t="shared" si="89"/>
        <v>6.7085953597277584E-3</v>
      </c>
      <c r="CH404" s="1">
        <v>1.61168E-8</v>
      </c>
      <c r="CI404">
        <v>0.316442</v>
      </c>
      <c r="CJ404">
        <f t="shared" si="90"/>
        <v>24.593557375218698</v>
      </c>
      <c r="CL404" s="1">
        <v>1.61168E-8</v>
      </c>
      <c r="CM404">
        <v>0.37346000000000001</v>
      </c>
      <c r="CN404">
        <f t="shared" si="91"/>
        <v>29.024939601409343</v>
      </c>
    </row>
    <row r="405" spans="4:92" x14ac:dyDescent="0.35">
      <c r="D405" s="1">
        <v>1.7635799999999999E-8</v>
      </c>
      <c r="E405">
        <v>10.209099999999999</v>
      </c>
      <c r="F405">
        <v>0</v>
      </c>
      <c r="G405">
        <v>2.0310299999999999</v>
      </c>
      <c r="I405" s="1">
        <v>1.7635799999999999E-8</v>
      </c>
      <c r="J405">
        <f t="shared" si="87"/>
        <v>1.8119568389981938E-2</v>
      </c>
      <c r="K405">
        <v>0</v>
      </c>
      <c r="L405">
        <v>6.6773624663532842E-3</v>
      </c>
      <c r="N405" s="1">
        <v>1.7635799999999999E-8</v>
      </c>
      <c r="O405">
        <f t="shared" si="88"/>
        <v>0</v>
      </c>
      <c r="Q405" s="1">
        <v>1.7635799999999999E-8</v>
      </c>
      <c r="R405">
        <f t="shared" si="89"/>
        <v>6.6773624663532842E-3</v>
      </c>
      <c r="CH405" s="1">
        <v>1.63255E-8</v>
      </c>
      <c r="CI405">
        <v>0.30568000000000001</v>
      </c>
      <c r="CJ405">
        <f t="shared" si="90"/>
        <v>23.757145443578452</v>
      </c>
      <c r="CL405" s="1">
        <v>1.63255E-8</v>
      </c>
      <c r="CM405">
        <v>0.53700000000000003</v>
      </c>
      <c r="CN405">
        <f t="shared" si="91"/>
        <v>41.735105676529798</v>
      </c>
    </row>
    <row r="406" spans="4:92" x14ac:dyDescent="0.35">
      <c r="D406" s="1">
        <v>1.7864200000000001E-8</v>
      </c>
      <c r="E406">
        <v>10.4407</v>
      </c>
      <c r="F406">
        <v>1.60114E-3</v>
      </c>
      <c r="G406">
        <v>2.1225000000000001</v>
      </c>
      <c r="I406" s="1">
        <v>1.7864200000000001E-8</v>
      </c>
      <c r="J406">
        <f t="shared" si="87"/>
        <v>1.8530622453427278E-2</v>
      </c>
      <c r="K406">
        <v>8.49763466939596E-6</v>
      </c>
      <c r="L406">
        <v>6.9780859144546598E-3</v>
      </c>
      <c r="N406" s="1">
        <v>1.7864200000000001E-8</v>
      </c>
      <c r="O406">
        <f t="shared" si="88"/>
        <v>8.49763466939596E-6</v>
      </c>
      <c r="Q406" s="1">
        <v>1.7864200000000001E-8</v>
      </c>
      <c r="R406">
        <f t="shared" si="89"/>
        <v>6.9780859144546598E-3</v>
      </c>
      <c r="CH406" s="1">
        <v>1.6536899999999999E-8</v>
      </c>
      <c r="CI406">
        <v>0.330424</v>
      </c>
      <c r="CJ406">
        <f t="shared" si="90"/>
        <v>25.680224502908157</v>
      </c>
      <c r="CL406" s="1">
        <v>1.6536899999999999E-8</v>
      </c>
      <c r="CM406">
        <v>0.37485000000000002</v>
      </c>
      <c r="CN406">
        <f t="shared" si="91"/>
        <v>29.13296901833742</v>
      </c>
    </row>
    <row r="407" spans="4:92" x14ac:dyDescent="0.35">
      <c r="D407" s="1">
        <v>1.8095500000000001E-8</v>
      </c>
      <c r="E407">
        <v>10.2181</v>
      </c>
      <c r="F407">
        <v>0</v>
      </c>
      <c r="G407">
        <v>2.2081300000000001</v>
      </c>
      <c r="I407" s="1">
        <v>1.8095500000000001E-8</v>
      </c>
      <c r="J407">
        <f t="shared" si="87"/>
        <v>1.81355419934837E-2</v>
      </c>
      <c r="K407">
        <v>0</v>
      </c>
      <c r="L407">
        <v>7.2596093523132005E-3</v>
      </c>
      <c r="N407" s="1">
        <v>1.8095500000000001E-8</v>
      </c>
      <c r="O407">
        <f t="shared" si="88"/>
        <v>0</v>
      </c>
      <c r="Q407" s="1">
        <v>1.8095500000000001E-8</v>
      </c>
      <c r="R407">
        <f t="shared" si="89"/>
        <v>7.2596093523132005E-3</v>
      </c>
      <c r="CH407" s="1">
        <v>1.6751100000000001E-8</v>
      </c>
      <c r="CI407">
        <v>0.33722800000000003</v>
      </c>
      <c r="CJ407">
        <f t="shared" si="90"/>
        <v>26.209024612820837</v>
      </c>
      <c r="CL407" s="1">
        <v>1.6751100000000001E-8</v>
      </c>
      <c r="CM407">
        <v>0.3831</v>
      </c>
      <c r="CN407">
        <f t="shared" si="91"/>
        <v>29.774150809457289</v>
      </c>
    </row>
    <row r="408" spans="4:92" x14ac:dyDescent="0.35">
      <c r="D408" s="1">
        <v>1.8329799999999998E-8</v>
      </c>
      <c r="E408">
        <v>10.6998</v>
      </c>
      <c r="F408">
        <v>0</v>
      </c>
      <c r="G408">
        <v>2.1587200000000002</v>
      </c>
      <c r="I408" s="1">
        <v>1.8329799999999998E-8</v>
      </c>
      <c r="J408">
        <f t="shared" si="87"/>
        <v>1.8990484749794669E-2</v>
      </c>
      <c r="K408">
        <v>0</v>
      </c>
      <c r="L408">
        <v>7.0971654300360726E-3</v>
      </c>
      <c r="N408" s="1">
        <v>1.8329799999999998E-8</v>
      </c>
      <c r="O408">
        <f t="shared" si="88"/>
        <v>0</v>
      </c>
      <c r="Q408" s="1">
        <v>1.8329799999999998E-8</v>
      </c>
      <c r="R408">
        <f t="shared" si="89"/>
        <v>7.0971654300360726E-3</v>
      </c>
      <c r="CH408" s="1">
        <v>1.6968E-8</v>
      </c>
      <c r="CI408">
        <v>0.47436699999999998</v>
      </c>
      <c r="CJ408">
        <f t="shared" si="90"/>
        <v>36.867331237352715</v>
      </c>
      <c r="CL408" s="1">
        <v>1.6968E-8</v>
      </c>
      <c r="CM408">
        <v>0.52761000000000002</v>
      </c>
      <c r="CN408">
        <f t="shared" si="91"/>
        <v>41.005324219727903</v>
      </c>
    </row>
    <row r="409" spans="4:92" x14ac:dyDescent="0.35">
      <c r="D409" s="1">
        <v>1.8567200000000001E-8</v>
      </c>
      <c r="E409">
        <v>11.1005</v>
      </c>
      <c r="F409">
        <v>0</v>
      </c>
      <c r="G409">
        <v>2.2497699999999998</v>
      </c>
      <c r="I409" s="1">
        <v>1.8567200000000001E-8</v>
      </c>
      <c r="J409">
        <f t="shared" si="87"/>
        <v>1.9701665074589779E-2</v>
      </c>
      <c r="K409">
        <v>0</v>
      </c>
      <c r="L409">
        <v>7.3965080554829954E-3</v>
      </c>
      <c r="N409" s="1">
        <v>1.8567200000000001E-8</v>
      </c>
      <c r="O409">
        <f t="shared" si="88"/>
        <v>0</v>
      </c>
      <c r="Q409" s="1">
        <v>1.8567200000000001E-8</v>
      </c>
      <c r="R409">
        <f t="shared" si="89"/>
        <v>7.3965080554829954E-3</v>
      </c>
      <c r="CH409" s="1">
        <v>1.7187699999999998E-8</v>
      </c>
      <c r="CI409">
        <v>0.50253599999999998</v>
      </c>
      <c r="CJ409">
        <f t="shared" si="90"/>
        <v>39.056597888753402</v>
      </c>
      <c r="CL409" s="1">
        <v>1.7187699999999998E-8</v>
      </c>
      <c r="CM409">
        <v>0.42277999999999999</v>
      </c>
      <c r="CN409">
        <f t="shared" si="91"/>
        <v>32.858040927231407</v>
      </c>
    </row>
    <row r="410" spans="4:92" x14ac:dyDescent="0.35">
      <c r="D410" s="1">
        <v>1.8807699999999999E-8</v>
      </c>
      <c r="E410">
        <v>11.1958</v>
      </c>
      <c r="F410">
        <v>0</v>
      </c>
      <c r="G410">
        <v>2.2052999999999998</v>
      </c>
      <c r="I410" s="1">
        <v>1.8807699999999999E-8</v>
      </c>
      <c r="J410">
        <f t="shared" si="87"/>
        <v>1.9870807787225102E-2</v>
      </c>
      <c r="K410">
        <v>0</v>
      </c>
      <c r="L410">
        <v>7.2503052377605936E-3</v>
      </c>
      <c r="N410" s="1">
        <v>1.8807699999999999E-8</v>
      </c>
      <c r="O410">
        <f t="shared" si="88"/>
        <v>0</v>
      </c>
      <c r="Q410" s="1">
        <v>1.8807699999999999E-8</v>
      </c>
      <c r="R410">
        <f t="shared" si="89"/>
        <v>7.2503052377605936E-3</v>
      </c>
      <c r="CH410" s="1">
        <v>1.7410300000000001E-8</v>
      </c>
      <c r="CI410">
        <v>0.50785100000000005</v>
      </c>
      <c r="CJ410">
        <f t="shared" si="90"/>
        <v>39.469674400244571</v>
      </c>
      <c r="CL410" s="1">
        <v>1.7410300000000001E-8</v>
      </c>
      <c r="CM410">
        <v>0.33234999999999998</v>
      </c>
      <c r="CN410">
        <f t="shared" si="91"/>
        <v>25.829911306507778</v>
      </c>
    </row>
    <row r="411" spans="4:92" x14ac:dyDescent="0.35">
      <c r="D411" s="1">
        <v>1.9051200000000001E-8</v>
      </c>
      <c r="E411">
        <v>11.6929</v>
      </c>
      <c r="F411">
        <v>0</v>
      </c>
      <c r="G411">
        <v>2.3627099999999999</v>
      </c>
      <c r="I411" s="1">
        <v>1.9051200000000001E-8</v>
      </c>
      <c r="J411">
        <f t="shared" si="87"/>
        <v>2.0753083153972417E-2</v>
      </c>
      <c r="K411">
        <v>0</v>
      </c>
      <c r="L411">
        <v>7.7678178426106807E-3</v>
      </c>
      <c r="N411" s="1">
        <v>1.9051200000000001E-8</v>
      </c>
      <c r="O411">
        <f t="shared" si="88"/>
        <v>0</v>
      </c>
      <c r="Q411" s="1">
        <v>1.9051200000000001E-8</v>
      </c>
      <c r="R411">
        <f t="shared" si="89"/>
        <v>7.7678178426106807E-3</v>
      </c>
      <c r="CH411" s="1">
        <v>1.7635799999999999E-8</v>
      </c>
      <c r="CI411">
        <v>0.38530700000000001</v>
      </c>
      <c r="CJ411">
        <f t="shared" si="90"/>
        <v>29.945676653457479</v>
      </c>
      <c r="CL411" s="1">
        <v>1.7635799999999999E-8</v>
      </c>
      <c r="CM411">
        <v>0.38996999999999998</v>
      </c>
      <c r="CN411">
        <f t="shared" si="91"/>
        <v>30.308080373698925</v>
      </c>
    </row>
    <row r="412" spans="4:92" x14ac:dyDescent="0.35">
      <c r="D412" s="1">
        <v>1.92979E-8</v>
      </c>
      <c r="E412">
        <v>11.769399999999999</v>
      </c>
      <c r="F412">
        <v>0</v>
      </c>
      <c r="G412">
        <v>2.36198</v>
      </c>
      <c r="I412" s="1">
        <v>1.92979E-8</v>
      </c>
      <c r="J412">
        <f t="shared" si="87"/>
        <v>2.0888858783737391E-2</v>
      </c>
      <c r="K412">
        <v>0</v>
      </c>
      <c r="L412">
        <v>7.7654178413303259E-3</v>
      </c>
      <c r="N412" s="1">
        <v>1.92979E-8</v>
      </c>
      <c r="O412">
        <f t="shared" si="88"/>
        <v>0</v>
      </c>
      <c r="Q412" s="1">
        <v>1.92979E-8</v>
      </c>
      <c r="R412">
        <f t="shared" si="89"/>
        <v>7.7654178413303259E-3</v>
      </c>
      <c r="CH412" s="1">
        <v>1.7864200000000001E-8</v>
      </c>
      <c r="CI412">
        <v>0.55245599999999995</v>
      </c>
      <c r="CJ412">
        <f t="shared" si="90"/>
        <v>42.936330617566</v>
      </c>
      <c r="CL412" s="1">
        <v>1.7864200000000001E-8</v>
      </c>
      <c r="CM412">
        <v>0.42249999999999999</v>
      </c>
      <c r="CN412">
        <f t="shared" si="91"/>
        <v>32.836279605835827</v>
      </c>
    </row>
    <row r="413" spans="4:92" x14ac:dyDescent="0.35">
      <c r="D413" s="1">
        <v>1.95478E-8</v>
      </c>
      <c r="E413">
        <v>12.051500000000001</v>
      </c>
      <c r="F413">
        <v>1.65559E-3</v>
      </c>
      <c r="G413">
        <v>2.4206500000000002</v>
      </c>
      <c r="I413" s="1">
        <v>1.95478E-8</v>
      </c>
      <c r="J413">
        <f t="shared" si="87"/>
        <v>2.1389542511275953E-2</v>
      </c>
      <c r="K413">
        <v>8.78661390153594E-6</v>
      </c>
      <c r="L413">
        <v>7.9583056154650996E-3</v>
      </c>
      <c r="N413" s="1">
        <v>1.95478E-8</v>
      </c>
      <c r="O413">
        <f t="shared" si="88"/>
        <v>8.78661390153594E-6</v>
      </c>
      <c r="Q413" s="1">
        <v>1.95478E-8</v>
      </c>
      <c r="R413">
        <f t="shared" si="89"/>
        <v>7.9583056154650996E-3</v>
      </c>
      <c r="CH413" s="1">
        <v>1.8095500000000001E-8</v>
      </c>
      <c r="CI413">
        <v>0.42033799999999999</v>
      </c>
      <c r="CJ413">
        <f t="shared" si="90"/>
        <v>32.668251117059924</v>
      </c>
      <c r="CL413" s="1">
        <v>1.8095500000000001E-8</v>
      </c>
      <c r="CM413">
        <v>0.42732999999999999</v>
      </c>
      <c r="CN413">
        <f t="shared" si="91"/>
        <v>33.211662399909642</v>
      </c>
    </row>
    <row r="414" spans="4:92" x14ac:dyDescent="0.35">
      <c r="D414" s="1">
        <v>1.9801E-8</v>
      </c>
      <c r="E414">
        <v>12.404199999999999</v>
      </c>
      <c r="F414">
        <v>0</v>
      </c>
      <c r="G414">
        <v>2.6088499999999999</v>
      </c>
      <c r="I414" s="1">
        <v>1.9801E-8</v>
      </c>
      <c r="J414">
        <f t="shared" si="87"/>
        <v>2.2015530284061668E-2</v>
      </c>
      <c r="K414">
        <v>0</v>
      </c>
      <c r="L414">
        <v>8.5770456715783452E-3</v>
      </c>
      <c r="N414" s="1">
        <v>1.9801E-8</v>
      </c>
      <c r="O414">
        <f t="shared" si="88"/>
        <v>0</v>
      </c>
      <c r="Q414" s="1">
        <v>1.9801E-8</v>
      </c>
      <c r="R414">
        <f t="shared" si="89"/>
        <v>8.5770456715783452E-3</v>
      </c>
      <c r="CH414" s="1">
        <v>1.8329799999999998E-8</v>
      </c>
      <c r="CI414">
        <v>0.50895400000000002</v>
      </c>
      <c r="CJ414">
        <f t="shared" si="90"/>
        <v>39.555398462742168</v>
      </c>
      <c r="CL414" s="1">
        <v>1.8329799999999998E-8</v>
      </c>
      <c r="CM414">
        <v>0.32313999999999998</v>
      </c>
      <c r="CN414">
        <f t="shared" si="91"/>
        <v>25.114119270603048</v>
      </c>
    </row>
    <row r="415" spans="4:92" x14ac:dyDescent="0.35">
      <c r="D415" s="1">
        <v>2.0057400000000001E-8</v>
      </c>
      <c r="E415">
        <v>12.771599999999999</v>
      </c>
      <c r="F415">
        <v>1.7276699999999999E-3</v>
      </c>
      <c r="G415">
        <v>2.6228500000000001</v>
      </c>
      <c r="I415" s="1">
        <v>2.0057400000000001E-8</v>
      </c>
      <c r="J415">
        <f t="shared" si="87"/>
        <v>2.2667608275900256E-2</v>
      </c>
      <c r="K415">
        <v>9.1691597794542105E-6</v>
      </c>
      <c r="L415">
        <v>8.6230730933933592E-3</v>
      </c>
      <c r="N415" s="1">
        <v>2.0057400000000001E-8</v>
      </c>
      <c r="O415">
        <f t="shared" si="88"/>
        <v>9.1691597794542105E-6</v>
      </c>
      <c r="Q415" s="1">
        <v>2.0057400000000001E-8</v>
      </c>
      <c r="R415">
        <f t="shared" si="89"/>
        <v>8.6230730933933592E-3</v>
      </c>
      <c r="CH415" s="1">
        <v>1.8567200000000001E-8</v>
      </c>
      <c r="CI415">
        <v>0.429114</v>
      </c>
      <c r="CJ415">
        <f t="shared" si="90"/>
        <v>33.350313104801501</v>
      </c>
      <c r="CL415" s="1">
        <v>1.8567200000000001E-8</v>
      </c>
      <c r="CM415">
        <v>0.36849999999999999</v>
      </c>
      <c r="CN415">
        <f t="shared" si="91"/>
        <v>28.639453336687577</v>
      </c>
    </row>
    <row r="416" spans="4:92" x14ac:dyDescent="0.35">
      <c r="D416" s="1">
        <v>2.03172E-8</v>
      </c>
      <c r="E416">
        <v>13.3398</v>
      </c>
      <c r="F416">
        <v>0</v>
      </c>
      <c r="G416">
        <v>2.7605</v>
      </c>
      <c r="I416" s="1">
        <v>2.03172E-8</v>
      </c>
      <c r="J416">
        <f t="shared" si="87"/>
        <v>2.3676075110311497E-2</v>
      </c>
      <c r="K416">
        <v>0</v>
      </c>
      <c r="L416">
        <v>9.0756212800245407E-3</v>
      </c>
      <c r="N416" s="1">
        <v>2.03172E-8</v>
      </c>
      <c r="O416">
        <f t="shared" si="88"/>
        <v>0</v>
      </c>
      <c r="Q416" s="1">
        <v>2.03172E-8</v>
      </c>
      <c r="R416">
        <f t="shared" si="89"/>
        <v>9.0756212800245407E-3</v>
      </c>
      <c r="CH416" s="1">
        <v>1.8807699999999999E-8</v>
      </c>
      <c r="CI416">
        <v>0.43232300000000001</v>
      </c>
      <c r="CJ416">
        <f t="shared" si="90"/>
        <v>33.599713391795888</v>
      </c>
      <c r="CL416" s="1">
        <v>1.8807699999999999E-8</v>
      </c>
      <c r="CM416">
        <v>0.315</v>
      </c>
      <c r="CN416">
        <f t="shared" si="91"/>
        <v>24.481486570031443</v>
      </c>
    </row>
    <row r="417" spans="4:92" x14ac:dyDescent="0.35">
      <c r="D417" s="1">
        <v>2.0580299999999999E-8</v>
      </c>
      <c r="E417">
        <v>13.449299999999999</v>
      </c>
      <c r="F417">
        <v>0</v>
      </c>
      <c r="G417">
        <v>2.7711800000000002</v>
      </c>
      <c r="I417" s="1">
        <v>2.0580299999999999E-8</v>
      </c>
      <c r="J417">
        <f t="shared" si="87"/>
        <v>2.387042061958293E-2</v>
      </c>
      <c r="K417">
        <v>0</v>
      </c>
      <c r="L417">
        <v>9.1107336275234232E-3</v>
      </c>
      <c r="N417" s="1">
        <v>2.0580299999999999E-8</v>
      </c>
      <c r="O417">
        <f t="shared" si="88"/>
        <v>0</v>
      </c>
      <c r="Q417" s="1">
        <v>2.0580299999999999E-8</v>
      </c>
      <c r="R417">
        <f t="shared" si="89"/>
        <v>9.1107336275234232E-3</v>
      </c>
      <c r="CH417" s="1">
        <v>1.9051200000000001E-8</v>
      </c>
      <c r="CI417">
        <v>0.43351600000000001</v>
      </c>
      <c r="CJ417">
        <f t="shared" si="90"/>
        <v>33.692432164742065</v>
      </c>
      <c r="CL417" s="1">
        <v>1.9051200000000001E-8</v>
      </c>
      <c r="CM417">
        <v>0.47782999999999998</v>
      </c>
      <c r="CN417">
        <f t="shared" si="91"/>
        <v>37.136472151613091</v>
      </c>
    </row>
    <row r="418" spans="4:92" x14ac:dyDescent="0.35">
      <c r="D418" s="1">
        <v>2.08468E-8</v>
      </c>
      <c r="E418">
        <v>13.5099</v>
      </c>
      <c r="F418">
        <v>0</v>
      </c>
      <c r="G418">
        <v>2.7991000000000001</v>
      </c>
      <c r="I418" s="1">
        <v>2.08468E-8</v>
      </c>
      <c r="J418">
        <f t="shared" si="87"/>
        <v>2.3977976216494792E-2</v>
      </c>
      <c r="K418">
        <v>0</v>
      </c>
      <c r="L418">
        <v>9.202525457314507E-3</v>
      </c>
      <c r="N418" s="1">
        <v>2.08468E-8</v>
      </c>
      <c r="O418">
        <f t="shared" si="88"/>
        <v>0</v>
      </c>
      <c r="Q418" s="1">
        <v>2.08468E-8</v>
      </c>
      <c r="R418">
        <f t="shared" si="89"/>
        <v>9.202525457314507E-3</v>
      </c>
      <c r="CH418" s="1">
        <v>1.92979E-8</v>
      </c>
      <c r="CI418">
        <v>0.44574900000000001</v>
      </c>
      <c r="CJ418">
        <f t="shared" si="90"/>
        <v>34.643168752714111</v>
      </c>
      <c r="CL418" s="1">
        <v>1.92979E-8</v>
      </c>
      <c r="CM418">
        <v>0.44292999999999999</v>
      </c>
      <c r="CN418">
        <f t="shared" si="91"/>
        <v>34.424078877663575</v>
      </c>
    </row>
    <row r="419" spans="4:92" x14ac:dyDescent="0.35">
      <c r="D419" s="1">
        <v>2.11167E-8</v>
      </c>
      <c r="E419">
        <v>13.9871</v>
      </c>
      <c r="F419">
        <v>1.66971E-3</v>
      </c>
      <c r="G419">
        <v>2.9426700000000001</v>
      </c>
      <c r="I419" s="1">
        <v>2.11167E-8</v>
      </c>
      <c r="J419">
        <f t="shared" si="87"/>
        <v>2.482493217105488E-2</v>
      </c>
      <c r="K419">
        <v>8.8615521340027285E-6</v>
      </c>
      <c r="L419">
        <v>9.6745366680274641E-3</v>
      </c>
      <c r="N419" s="1">
        <v>2.11167E-8</v>
      </c>
      <c r="O419">
        <f t="shared" si="88"/>
        <v>8.8615521340027285E-6</v>
      </c>
      <c r="Q419" s="1">
        <v>2.11167E-8</v>
      </c>
      <c r="R419">
        <f t="shared" si="89"/>
        <v>9.6745366680274641E-3</v>
      </c>
      <c r="CH419" s="1">
        <v>1.95478E-8</v>
      </c>
      <c r="CI419">
        <v>0.55745699999999998</v>
      </c>
      <c r="CJ419">
        <f t="shared" si="90"/>
        <v>43.325003361492122</v>
      </c>
      <c r="CL419" s="1">
        <v>1.95478E-8</v>
      </c>
      <c r="CM419">
        <v>0.27252999999999999</v>
      </c>
      <c r="CN419">
        <f t="shared" si="91"/>
        <v>21.180760428351331</v>
      </c>
    </row>
    <row r="420" spans="4:92" x14ac:dyDescent="0.35">
      <c r="D420" s="1">
        <v>2.1390199999999999E-8</v>
      </c>
      <c r="E420">
        <v>14.1959</v>
      </c>
      <c r="F420">
        <v>0</v>
      </c>
      <c r="G420">
        <v>2.90632</v>
      </c>
      <c r="I420" s="1">
        <v>2.1390199999999999E-8</v>
      </c>
      <c r="J420">
        <f t="shared" si="87"/>
        <v>2.5195519772295755E-2</v>
      </c>
      <c r="K420">
        <v>0</v>
      </c>
      <c r="L420">
        <v>9.5550297549577695E-3</v>
      </c>
      <c r="N420" s="1">
        <v>2.1390199999999999E-8</v>
      </c>
      <c r="O420">
        <f t="shared" si="88"/>
        <v>0</v>
      </c>
      <c r="Q420" s="1">
        <v>2.1390199999999999E-8</v>
      </c>
      <c r="R420">
        <f t="shared" si="89"/>
        <v>9.5550297549577695E-3</v>
      </c>
      <c r="CH420" s="1">
        <v>1.9801E-8</v>
      </c>
      <c r="CI420">
        <v>0.55356799999999995</v>
      </c>
      <c r="CJ420">
        <f t="shared" si="90"/>
        <v>43.022754151108458</v>
      </c>
      <c r="CL420" s="1">
        <v>1.9801E-8</v>
      </c>
      <c r="CM420">
        <v>0.29171000000000002</v>
      </c>
      <c r="CN420">
        <f t="shared" si="91"/>
        <v>22.671410943948803</v>
      </c>
    </row>
    <row r="421" spans="4:92" x14ac:dyDescent="0.35">
      <c r="D421" s="1">
        <v>2.1667199999999999E-8</v>
      </c>
      <c r="E421">
        <v>14.372299999999999</v>
      </c>
      <c r="F421">
        <v>0</v>
      </c>
      <c r="G421">
        <v>3.0350100000000002</v>
      </c>
      <c r="I421" s="1">
        <v>2.1667199999999999E-8</v>
      </c>
      <c r="J421">
        <f t="shared" si="87"/>
        <v>2.5508602400930287E-2</v>
      </c>
      <c r="K421">
        <v>0</v>
      </c>
      <c r="L421">
        <v>9.9781203916273434E-3</v>
      </c>
      <c r="N421" s="1">
        <v>2.1667199999999999E-8</v>
      </c>
      <c r="O421">
        <f t="shared" si="88"/>
        <v>0</v>
      </c>
      <c r="Q421" s="1">
        <v>2.1667199999999999E-8</v>
      </c>
      <c r="R421">
        <f t="shared" si="89"/>
        <v>9.9781203916273434E-3</v>
      </c>
      <c r="CH421" s="1">
        <v>2.0057400000000001E-8</v>
      </c>
      <c r="CI421">
        <v>0.54195400000000005</v>
      </c>
      <c r="CJ421">
        <f t="shared" si="90"/>
        <v>42.120125627221654</v>
      </c>
      <c r="CL421" s="1">
        <v>2.0057400000000001E-8</v>
      </c>
      <c r="CM421">
        <v>0.36055999999999999</v>
      </c>
      <c r="CN421">
        <f t="shared" si="91"/>
        <v>28.022364437112817</v>
      </c>
    </row>
    <row r="422" spans="4:92" x14ac:dyDescent="0.35">
      <c r="D422" s="1">
        <v>2.1947800000000001E-8</v>
      </c>
      <c r="E422">
        <v>14.8194</v>
      </c>
      <c r="F422">
        <v>0</v>
      </c>
      <c r="G422">
        <v>3.1592799999999999</v>
      </c>
      <c r="I422" s="1">
        <v>2.1947800000000001E-8</v>
      </c>
      <c r="J422">
        <f t="shared" si="87"/>
        <v>2.6302135526001153E-2</v>
      </c>
      <c r="K422">
        <v>0</v>
      </c>
      <c r="L422">
        <v>1.0386679513695318E-2</v>
      </c>
      <c r="N422" s="1">
        <v>2.1947800000000001E-8</v>
      </c>
      <c r="O422">
        <f t="shared" si="88"/>
        <v>0</v>
      </c>
      <c r="Q422" s="1">
        <v>2.1947800000000001E-8</v>
      </c>
      <c r="R422">
        <f t="shared" si="89"/>
        <v>1.0386679513695318E-2</v>
      </c>
      <c r="CH422" s="1">
        <v>2.03172E-8</v>
      </c>
      <c r="CI422">
        <v>0.60577899999999996</v>
      </c>
      <c r="CJ422">
        <f t="shared" si="90"/>
        <v>47.080541120339923</v>
      </c>
      <c r="CL422" s="1">
        <v>2.03172E-8</v>
      </c>
      <c r="CM422">
        <v>0.37508999999999998</v>
      </c>
      <c r="CN422">
        <f t="shared" si="91"/>
        <v>29.151621579533629</v>
      </c>
    </row>
    <row r="423" spans="4:92" x14ac:dyDescent="0.35">
      <c r="D423" s="1">
        <v>2.2232E-8</v>
      </c>
      <c r="E423">
        <v>15.237500000000001</v>
      </c>
      <c r="F423">
        <v>3.4307600000000001E-3</v>
      </c>
      <c r="G423">
        <v>3.2192500000000002</v>
      </c>
      <c r="I423" s="1">
        <v>2.2232E-8</v>
      </c>
      <c r="J423">
        <f t="shared" si="87"/>
        <v>2.704419815089967E-2</v>
      </c>
      <c r="K423">
        <v>1.8207867593325308E-5</v>
      </c>
      <c r="L423">
        <v>1.0583841262712916E-2</v>
      </c>
      <c r="N423" s="1">
        <v>2.2232E-8</v>
      </c>
      <c r="O423">
        <f t="shared" si="88"/>
        <v>1.8207867593325308E-5</v>
      </c>
      <c r="Q423" s="1">
        <v>2.2232E-8</v>
      </c>
      <c r="R423">
        <f t="shared" si="89"/>
        <v>1.0583841262712916E-2</v>
      </c>
      <c r="CH423" s="1">
        <v>2.0580299999999999E-8</v>
      </c>
      <c r="CI423">
        <v>0.48869699999999999</v>
      </c>
      <c r="CJ423">
        <f t="shared" si="90"/>
        <v>37.981044578776682</v>
      </c>
      <c r="CL423" s="1">
        <v>2.0580299999999999E-8</v>
      </c>
      <c r="CM423">
        <v>0.31487999999999999</v>
      </c>
      <c r="CN423">
        <f t="shared" si="91"/>
        <v>24.472160289433337</v>
      </c>
    </row>
    <row r="424" spans="4:92" x14ac:dyDescent="0.35">
      <c r="D424" s="1">
        <v>2.25199E-8</v>
      </c>
      <c r="E424">
        <v>15.5067</v>
      </c>
      <c r="F424">
        <v>1.6824400000000001E-3</v>
      </c>
      <c r="G424">
        <v>3.2837900000000002</v>
      </c>
      <c r="I424" s="1">
        <v>2.25199E-8</v>
      </c>
      <c r="J424">
        <f t="shared" si="87"/>
        <v>2.7521986380085704E-2</v>
      </c>
      <c r="K424">
        <v>8.9291133025085484E-6</v>
      </c>
      <c r="L424">
        <v>1.0796027677280126E-2</v>
      </c>
      <c r="N424" s="1">
        <v>2.25199E-8</v>
      </c>
      <c r="O424">
        <f t="shared" si="88"/>
        <v>8.9291133025085484E-6</v>
      </c>
      <c r="Q424" s="1">
        <v>2.25199E-8</v>
      </c>
      <c r="R424">
        <f t="shared" si="89"/>
        <v>1.0796027677280126E-2</v>
      </c>
      <c r="CH424" s="1">
        <v>2.08468E-8</v>
      </c>
      <c r="CI424">
        <v>0.64434100000000005</v>
      </c>
      <c r="CJ424">
        <f t="shared" si="90"/>
        <v>50.07754139054169</v>
      </c>
      <c r="CL424" s="1">
        <v>2.08468E-8</v>
      </c>
      <c r="CM424">
        <v>0.40399000000000002</v>
      </c>
      <c r="CN424">
        <f t="shared" si="91"/>
        <v>31.397700823577786</v>
      </c>
    </row>
    <row r="425" spans="4:92" x14ac:dyDescent="0.35">
      <c r="D425" s="1">
        <v>2.2811600000000001E-8</v>
      </c>
      <c r="E425">
        <v>16.012</v>
      </c>
      <c r="F425">
        <v>0</v>
      </c>
      <c r="G425">
        <v>3.2428599999999999</v>
      </c>
      <c r="I425" s="1">
        <v>2.2811600000000001E-8</v>
      </c>
      <c r="J425">
        <f t="shared" si="87"/>
        <v>2.8418815474467955E-2</v>
      </c>
      <c r="K425">
        <v>0</v>
      </c>
      <c r="L425">
        <v>1.0661463221930949E-2</v>
      </c>
      <c r="N425" s="1">
        <v>2.2811600000000001E-8</v>
      </c>
      <c r="O425">
        <f t="shared" si="88"/>
        <v>0</v>
      </c>
      <c r="Q425" s="1">
        <v>2.2811600000000001E-8</v>
      </c>
      <c r="R425">
        <f t="shared" si="89"/>
        <v>1.0661463221930949E-2</v>
      </c>
      <c r="CH425" s="1">
        <v>2.11167E-8</v>
      </c>
      <c r="CI425">
        <v>0.84551699999999996</v>
      </c>
      <c r="CJ425">
        <f t="shared" si="90"/>
        <v>65.712739937248486</v>
      </c>
      <c r="CL425" s="1">
        <v>2.11167E-8</v>
      </c>
      <c r="CM425">
        <v>0.36554999999999999</v>
      </c>
      <c r="CN425">
        <f t="shared" si="91"/>
        <v>28.410182271984105</v>
      </c>
    </row>
    <row r="426" spans="4:92" x14ac:dyDescent="0.35">
      <c r="D426" s="1">
        <v>2.3107E-8</v>
      </c>
      <c r="E426">
        <v>16.3934</v>
      </c>
      <c r="F426">
        <v>0</v>
      </c>
      <c r="G426">
        <v>3.2317499999999999</v>
      </c>
      <c r="I426" s="1">
        <v>2.3107E-8</v>
      </c>
      <c r="J426">
        <f t="shared" si="87"/>
        <v>2.9095741293975953E-2</v>
      </c>
      <c r="K426">
        <v>0</v>
      </c>
      <c r="L426">
        <v>1.0624937175047748E-2</v>
      </c>
      <c r="N426" s="1">
        <v>2.3107E-8</v>
      </c>
      <c r="O426">
        <f t="shared" si="88"/>
        <v>0</v>
      </c>
      <c r="Q426" s="1">
        <v>2.3107E-8</v>
      </c>
      <c r="R426">
        <f t="shared" si="89"/>
        <v>1.0624937175047748E-2</v>
      </c>
      <c r="CH426" s="1">
        <v>2.1390199999999999E-8</v>
      </c>
      <c r="CI426">
        <v>0.51489099999999999</v>
      </c>
      <c r="CJ426">
        <f t="shared" si="90"/>
        <v>40.016816195333526</v>
      </c>
      <c r="CL426" s="1">
        <v>2.1390199999999999E-8</v>
      </c>
      <c r="CM426">
        <v>0.32699</v>
      </c>
      <c r="CN426">
        <f t="shared" si="91"/>
        <v>25.413337439792322</v>
      </c>
    </row>
    <row r="427" spans="4:92" x14ac:dyDescent="0.35">
      <c r="D427" s="1">
        <v>2.3406199999999999E-8</v>
      </c>
      <c r="E427">
        <v>16.5307</v>
      </c>
      <c r="F427">
        <v>0</v>
      </c>
      <c r="G427">
        <v>3.3851100000000001</v>
      </c>
      <c r="I427" s="1">
        <v>2.3406199999999999E-8</v>
      </c>
      <c r="J427">
        <f t="shared" si="87"/>
        <v>2.9339427489619499E-2</v>
      </c>
      <c r="K427">
        <v>0</v>
      </c>
      <c r="L427">
        <v>1.1129134704301349E-2</v>
      </c>
      <c r="N427" s="1">
        <v>2.3406199999999999E-8</v>
      </c>
      <c r="O427">
        <f t="shared" si="88"/>
        <v>0</v>
      </c>
      <c r="Q427" s="1">
        <v>2.3406199999999999E-8</v>
      </c>
      <c r="R427">
        <f t="shared" si="89"/>
        <v>1.1129134704301349E-2</v>
      </c>
      <c r="CH427" s="1">
        <v>2.1667199999999999E-8</v>
      </c>
      <c r="CI427">
        <v>0.74707900000000005</v>
      </c>
      <c r="CJ427">
        <f t="shared" si="90"/>
        <v>58.06223652461118</v>
      </c>
      <c r="CL427" s="1">
        <v>2.1667199999999999E-8</v>
      </c>
      <c r="CM427">
        <v>0.34322000000000003</v>
      </c>
      <c r="CN427">
        <f t="shared" si="91"/>
        <v>26.674716890686327</v>
      </c>
    </row>
    <row r="428" spans="4:92" x14ac:dyDescent="0.35">
      <c r="D428" s="1">
        <v>2.37093E-8</v>
      </c>
      <c r="E428">
        <v>16.7818</v>
      </c>
      <c r="F428">
        <v>0</v>
      </c>
      <c r="G428">
        <v>3.5709200000000001</v>
      </c>
      <c r="I428" s="1">
        <v>2.37093E-8</v>
      </c>
      <c r="J428">
        <f t="shared" si="87"/>
        <v>2.9785091027318661E-2</v>
      </c>
      <c r="K428">
        <v>0</v>
      </c>
      <c r="L428">
        <v>1.1740017221976175E-2</v>
      </c>
      <c r="N428" s="1">
        <v>2.37093E-8</v>
      </c>
      <c r="O428">
        <f t="shared" si="88"/>
        <v>0</v>
      </c>
      <c r="Q428" s="1">
        <v>2.37093E-8</v>
      </c>
      <c r="R428">
        <f t="shared" si="89"/>
        <v>1.1740017221976175E-2</v>
      </c>
      <c r="CH428" s="1">
        <v>2.1947800000000001E-8</v>
      </c>
      <c r="CI428">
        <v>0.98983200000000005</v>
      </c>
      <c r="CJ428">
        <f t="shared" si="90"/>
        <v>76.928758141547192</v>
      </c>
      <c r="CL428" s="1">
        <v>2.1947800000000001E-8</v>
      </c>
      <c r="CM428">
        <v>0.19796</v>
      </c>
      <c r="CN428">
        <f t="shared" si="91"/>
        <v>15.385254226677539</v>
      </c>
    </row>
    <row r="429" spans="4:92" x14ac:dyDescent="0.35">
      <c r="D429" s="1">
        <v>2.40164E-8</v>
      </c>
      <c r="E429">
        <v>17.455500000000001</v>
      </c>
      <c r="F429">
        <v>0</v>
      </c>
      <c r="G429">
        <v>3.5351499999999998</v>
      </c>
      <c r="I429" s="1">
        <v>2.40164E-8</v>
      </c>
      <c r="J429">
        <f t="shared" si="87"/>
        <v>3.0980803991667211E-2</v>
      </c>
      <c r="K429">
        <v>0</v>
      </c>
      <c r="L429">
        <v>1.1622417159238816E-2</v>
      </c>
      <c r="N429" s="1">
        <v>2.40164E-8</v>
      </c>
      <c r="O429">
        <f t="shared" si="88"/>
        <v>0</v>
      </c>
      <c r="Q429" s="1">
        <v>2.40164E-8</v>
      </c>
      <c r="R429">
        <f t="shared" si="89"/>
        <v>1.1622417159238816E-2</v>
      </c>
      <c r="CH429" s="1">
        <v>2.2232E-8</v>
      </c>
      <c r="CI429">
        <v>0.83015499999999998</v>
      </c>
      <c r="CJ429">
        <f t="shared" si="90"/>
        <v>64.518820582680803</v>
      </c>
      <c r="CL429" s="1">
        <v>2.2232E-8</v>
      </c>
      <c r="CM429">
        <v>0.22317999999999999</v>
      </c>
      <c r="CN429">
        <f t="shared" si="91"/>
        <v>17.345327532379738</v>
      </c>
    </row>
    <row r="430" spans="4:92" x14ac:dyDescent="0.35">
      <c r="D430" s="1">
        <v>2.4327399999999999E-8</v>
      </c>
      <c r="E430">
        <v>17.8552</v>
      </c>
      <c r="F430">
        <v>0</v>
      </c>
      <c r="G430">
        <v>3.6701199999999998</v>
      </c>
      <c r="I430" s="1">
        <v>2.4327399999999999E-8</v>
      </c>
      <c r="J430">
        <f t="shared" si="87"/>
        <v>3.1690209471628795E-2</v>
      </c>
      <c r="K430">
        <v>0</v>
      </c>
      <c r="L430">
        <v>1.2066154382265411E-2</v>
      </c>
      <c r="N430" s="1">
        <v>2.4327399999999999E-8</v>
      </c>
      <c r="O430">
        <f t="shared" si="88"/>
        <v>0</v>
      </c>
      <c r="Q430" s="1">
        <v>2.4327399999999999E-8</v>
      </c>
      <c r="R430">
        <f t="shared" si="89"/>
        <v>1.2066154382265411E-2</v>
      </c>
      <c r="CH430" s="1">
        <v>2.25199E-8</v>
      </c>
      <c r="CI430">
        <v>0.773011</v>
      </c>
      <c r="CJ430">
        <f t="shared" si="90"/>
        <v>60.077645761862144</v>
      </c>
      <c r="CL430" s="1">
        <v>2.25199E-8</v>
      </c>
      <c r="CM430">
        <v>0.23527999999999999</v>
      </c>
      <c r="CN430">
        <f t="shared" si="91"/>
        <v>18.285727492688881</v>
      </c>
    </row>
    <row r="431" spans="4:92" x14ac:dyDescent="0.35">
      <c r="D431" s="1">
        <v>2.4642399999999998E-8</v>
      </c>
      <c r="E431">
        <v>18.240500000000001</v>
      </c>
      <c r="F431">
        <v>1.78302E-3</v>
      </c>
      <c r="G431">
        <v>3.7456399999999999</v>
      </c>
      <c r="I431" s="1">
        <v>2.4642399999999998E-8</v>
      </c>
      <c r="J431">
        <f t="shared" si="87"/>
        <v>3.2374057185987556E-2</v>
      </c>
      <c r="K431">
        <v>9.4629155278279118E-6</v>
      </c>
      <c r="L431">
        <v>1.2314439446227539E-2</v>
      </c>
      <c r="N431" s="1">
        <v>2.4642399999999998E-8</v>
      </c>
      <c r="O431">
        <f t="shared" si="88"/>
        <v>9.4629155278279118E-6</v>
      </c>
      <c r="Q431" s="1">
        <v>2.4642399999999998E-8</v>
      </c>
      <c r="R431">
        <f t="shared" si="89"/>
        <v>1.2314439446227539E-2</v>
      </c>
      <c r="CH431" s="1">
        <v>2.2811600000000001E-8</v>
      </c>
      <c r="CI431">
        <v>0.74589499999999997</v>
      </c>
      <c r="CJ431">
        <f t="shared" si="90"/>
        <v>57.970217222709849</v>
      </c>
      <c r="CL431" s="1">
        <v>2.2811600000000001E-8</v>
      </c>
      <c r="CM431">
        <v>0.30043999999999998</v>
      </c>
      <c r="CN431">
        <f t="shared" si="91"/>
        <v>23.349897857461098</v>
      </c>
    </row>
    <row r="432" spans="4:92" x14ac:dyDescent="0.35">
      <c r="D432" s="1">
        <v>2.49616E-8</v>
      </c>
      <c r="E432">
        <v>18.465399999999999</v>
      </c>
      <c r="F432">
        <v>0</v>
      </c>
      <c r="G432">
        <v>3.8168700000000002</v>
      </c>
      <c r="I432" s="1">
        <v>2.49616E-8</v>
      </c>
      <c r="J432">
        <f t="shared" si="87"/>
        <v>3.277321978904825E-2</v>
      </c>
      <c r="K432">
        <v>0</v>
      </c>
      <c r="L432">
        <v>1.2548620393076351E-2</v>
      </c>
      <c r="N432" s="1">
        <v>2.49616E-8</v>
      </c>
      <c r="O432">
        <f t="shared" si="88"/>
        <v>0</v>
      </c>
      <c r="Q432" s="1">
        <v>2.49616E-8</v>
      </c>
      <c r="R432">
        <f t="shared" si="89"/>
        <v>1.2548620393076351E-2</v>
      </c>
      <c r="CH432" s="1">
        <v>2.3107E-8</v>
      </c>
      <c r="CI432">
        <v>0.78808</v>
      </c>
      <c r="CJ432">
        <f t="shared" si="90"/>
        <v>61.248793447969462</v>
      </c>
      <c r="CL432" s="1">
        <v>2.3107E-8</v>
      </c>
      <c r="CM432">
        <v>0.23419000000000001</v>
      </c>
      <c r="CN432">
        <f t="shared" si="91"/>
        <v>18.201013777256076</v>
      </c>
    </row>
    <row r="433" spans="4:92" x14ac:dyDescent="0.35">
      <c r="D433" s="1">
        <v>2.52848E-8</v>
      </c>
      <c r="E433">
        <v>18.798999999999999</v>
      </c>
      <c r="F433">
        <v>3.6263300000000001E-3</v>
      </c>
      <c r="G433">
        <v>3.8957700000000002</v>
      </c>
      <c r="I433" s="1">
        <v>2.52848E-8</v>
      </c>
      <c r="J433">
        <f t="shared" si="87"/>
        <v>3.336530802551356E-2</v>
      </c>
      <c r="K433">
        <v>1.9245804570912382E-5</v>
      </c>
      <c r="L433">
        <v>1.2808017791733819E-2</v>
      </c>
      <c r="N433" s="1">
        <v>2.52848E-8</v>
      </c>
      <c r="O433">
        <f t="shared" si="88"/>
        <v>1.9245804570912382E-5</v>
      </c>
      <c r="Q433" s="1">
        <v>2.52848E-8</v>
      </c>
      <c r="R433">
        <f t="shared" si="89"/>
        <v>1.2808017791733819E-2</v>
      </c>
      <c r="CH433" s="1">
        <v>2.3406199999999999E-8</v>
      </c>
      <c r="CI433">
        <v>0.73999000000000004</v>
      </c>
      <c r="CJ433">
        <f t="shared" si="90"/>
        <v>57.511286498277997</v>
      </c>
      <c r="CL433" s="1">
        <v>2.3406199999999999E-8</v>
      </c>
      <c r="CM433">
        <v>0.25197999999999998</v>
      </c>
      <c r="CN433">
        <f t="shared" si="91"/>
        <v>19.583634875925469</v>
      </c>
    </row>
    <row r="434" spans="4:92" x14ac:dyDescent="0.35">
      <c r="D434" s="1">
        <v>2.5612199999999999E-8</v>
      </c>
      <c r="E434">
        <v>19.2591</v>
      </c>
      <c r="F434">
        <v>0</v>
      </c>
      <c r="G434">
        <v>3.9543900000000001</v>
      </c>
      <c r="I434" s="1">
        <v>2.5612199999999999E-8</v>
      </c>
      <c r="J434">
        <f t="shared" si="87"/>
        <v>3.4181914133420296E-2</v>
      </c>
      <c r="K434">
        <v>0</v>
      </c>
      <c r="L434">
        <v>1.3000741182219253E-2</v>
      </c>
      <c r="N434" s="1">
        <v>2.5612199999999999E-8</v>
      </c>
      <c r="O434">
        <f t="shared" si="88"/>
        <v>0</v>
      </c>
      <c r="Q434" s="1">
        <v>2.5612199999999999E-8</v>
      </c>
      <c r="R434">
        <f t="shared" si="89"/>
        <v>1.3000741182219253E-2</v>
      </c>
      <c r="CH434" s="1">
        <v>2.37093E-8</v>
      </c>
      <c r="CI434">
        <v>0.68245900000000004</v>
      </c>
      <c r="CJ434">
        <f t="shared" si="90"/>
        <v>53.040034422530447</v>
      </c>
      <c r="CL434" s="1">
        <v>2.37093E-8</v>
      </c>
      <c r="CM434">
        <v>0.33565</v>
      </c>
      <c r="CN434">
        <f t="shared" si="91"/>
        <v>26.086384022955727</v>
      </c>
    </row>
    <row r="435" spans="4:92" x14ac:dyDescent="0.35">
      <c r="D435" s="1">
        <v>2.5943899999999998E-8</v>
      </c>
      <c r="E435">
        <v>19.6739</v>
      </c>
      <c r="F435">
        <v>0</v>
      </c>
      <c r="G435">
        <v>4.0282099999999996</v>
      </c>
      <c r="I435" s="1">
        <v>2.5943899999999998E-8</v>
      </c>
      <c r="J435">
        <f t="shared" si="87"/>
        <v>3.4918119770368169E-2</v>
      </c>
      <c r="K435">
        <v>0</v>
      </c>
      <c r="L435">
        <v>1.3243437202103841E-2</v>
      </c>
      <c r="N435" s="1">
        <v>2.5943899999999998E-8</v>
      </c>
      <c r="O435">
        <f t="shared" si="88"/>
        <v>0</v>
      </c>
      <c r="Q435" s="1">
        <v>2.5943899999999998E-8</v>
      </c>
      <c r="R435">
        <f t="shared" si="89"/>
        <v>1.3243437202103841E-2</v>
      </c>
      <c r="CH435" s="1">
        <v>2.40164E-8</v>
      </c>
      <c r="CI435">
        <v>0.78453200000000001</v>
      </c>
      <c r="CJ435">
        <f t="shared" si="90"/>
        <v>60.973046418285421</v>
      </c>
      <c r="CL435" s="1">
        <v>2.40164E-8</v>
      </c>
      <c r="CM435">
        <v>0.30832999999999999</v>
      </c>
      <c r="CN435">
        <f t="shared" si="91"/>
        <v>23.963100806786649</v>
      </c>
    </row>
    <row r="436" spans="4:92" x14ac:dyDescent="0.35">
      <c r="D436" s="1">
        <v>2.6279899999999999E-8</v>
      </c>
      <c r="E436">
        <v>20.403099999999998</v>
      </c>
      <c r="F436">
        <v>0</v>
      </c>
      <c r="G436">
        <v>4.2507400000000004</v>
      </c>
      <c r="I436" s="1">
        <v>2.6279899999999999E-8</v>
      </c>
      <c r="J436">
        <f t="shared" si="87"/>
        <v>3.6212336622977584E-2</v>
      </c>
      <c r="K436">
        <v>0</v>
      </c>
      <c r="L436">
        <v>1.3975043071853476E-2</v>
      </c>
      <c r="N436" s="1">
        <v>2.6279899999999999E-8</v>
      </c>
      <c r="O436">
        <f t="shared" si="88"/>
        <v>0</v>
      </c>
      <c r="Q436" s="1">
        <v>2.6279899999999999E-8</v>
      </c>
      <c r="R436">
        <f t="shared" si="89"/>
        <v>1.3975043071853476E-2</v>
      </c>
      <c r="CH436" s="1">
        <v>2.4327399999999999E-8</v>
      </c>
      <c r="CI436">
        <v>0.64693100000000003</v>
      </c>
      <c r="CJ436">
        <f t="shared" si="90"/>
        <v>50.278833613450836</v>
      </c>
      <c r="CL436" s="1">
        <v>2.4327399999999999E-8</v>
      </c>
      <c r="CM436">
        <v>0.28842000000000001</v>
      </c>
      <c r="CN436">
        <f t="shared" si="91"/>
        <v>22.415715417550697</v>
      </c>
    </row>
    <row r="437" spans="4:92" x14ac:dyDescent="0.35">
      <c r="D437" s="1">
        <v>2.66202E-8</v>
      </c>
      <c r="E437">
        <v>20.8386</v>
      </c>
      <c r="F437">
        <v>0</v>
      </c>
      <c r="G437">
        <v>4.2813999999999997</v>
      </c>
      <c r="I437" s="1">
        <v>2.66202E-8</v>
      </c>
      <c r="J437">
        <f t="shared" si="87"/>
        <v>3.6985281547979511E-2</v>
      </c>
      <c r="K437">
        <v>0</v>
      </c>
      <c r="L437">
        <v>1.4075843125628351E-2</v>
      </c>
      <c r="N437" s="1">
        <v>2.66202E-8</v>
      </c>
      <c r="O437">
        <f t="shared" si="88"/>
        <v>0</v>
      </c>
      <c r="Q437" s="1">
        <v>2.66202E-8</v>
      </c>
      <c r="R437">
        <f t="shared" si="89"/>
        <v>1.4075843125628351E-2</v>
      </c>
      <c r="CH437" s="1">
        <v>2.4642399999999998E-8</v>
      </c>
      <c r="CI437">
        <v>0.71285699999999996</v>
      </c>
      <c r="CJ437">
        <f t="shared" si="90"/>
        <v>55.402536736040965</v>
      </c>
      <c r="CL437" s="1">
        <v>2.4642399999999998E-8</v>
      </c>
      <c r="CM437">
        <v>0.28088999999999997</v>
      </c>
      <c r="CN437">
        <f t="shared" si="91"/>
        <v>21.830491310019465</v>
      </c>
    </row>
    <row r="438" spans="4:92" x14ac:dyDescent="0.35">
      <c r="D438" s="1">
        <v>2.6965E-8</v>
      </c>
      <c r="E438">
        <v>20.9236</v>
      </c>
      <c r="F438">
        <v>0</v>
      </c>
      <c r="G438">
        <v>4.3611000000000004</v>
      </c>
      <c r="I438" s="1">
        <v>2.6965E-8</v>
      </c>
      <c r="J438">
        <f t="shared" si="87"/>
        <v>3.7136143358829483E-2</v>
      </c>
      <c r="K438">
        <v>0</v>
      </c>
      <c r="L438">
        <v>1.4337870662675251E-2</v>
      </c>
      <c r="N438" s="1">
        <v>2.6965E-8</v>
      </c>
      <c r="O438">
        <f t="shared" si="88"/>
        <v>0</v>
      </c>
      <c r="Q438" s="1">
        <v>2.6965E-8</v>
      </c>
      <c r="R438">
        <f t="shared" si="89"/>
        <v>1.4337870662675251E-2</v>
      </c>
      <c r="CH438" s="1">
        <v>2.49616E-8</v>
      </c>
      <c r="CI438">
        <v>0.874726</v>
      </c>
      <c r="CJ438">
        <f t="shared" si="90"/>
        <v>67.982834353832772</v>
      </c>
      <c r="CL438" s="1">
        <v>2.49616E-8</v>
      </c>
      <c r="CM438">
        <v>0.34960000000000002</v>
      </c>
      <c r="CN438">
        <f t="shared" si="91"/>
        <v>27.170564142485691</v>
      </c>
    </row>
    <row r="439" spans="4:92" x14ac:dyDescent="0.35">
      <c r="D439" s="1">
        <v>2.73142E-8</v>
      </c>
      <c r="E439">
        <v>22.0351</v>
      </c>
      <c r="F439">
        <v>3.6530299999999998E-3</v>
      </c>
      <c r="G439">
        <v>4.3905099999999999</v>
      </c>
      <c r="I439" s="1">
        <v>2.73142E-8</v>
      </c>
      <c r="J439">
        <f t="shared" si="87"/>
        <v>3.9108883391297082E-2</v>
      </c>
      <c r="K439">
        <v>1.9387507885846036E-5</v>
      </c>
      <c r="L439">
        <v>1.4434561125216645E-2</v>
      </c>
      <c r="N439" s="1">
        <v>2.73142E-8</v>
      </c>
      <c r="O439">
        <f t="shared" si="88"/>
        <v>1.9387507885846036E-5</v>
      </c>
      <c r="Q439" s="1">
        <v>2.73142E-8</v>
      </c>
      <c r="R439">
        <f t="shared" si="89"/>
        <v>1.4434561125216645E-2</v>
      </c>
      <c r="CH439" s="1">
        <v>2.52848E-8</v>
      </c>
      <c r="CI439">
        <v>0.94168499999999999</v>
      </c>
      <c r="CJ439">
        <f t="shared" si="90"/>
        <v>73.186821208571615</v>
      </c>
      <c r="CL439" s="1">
        <v>2.52848E-8</v>
      </c>
      <c r="CM439">
        <v>0.35324</v>
      </c>
      <c r="CN439">
        <f t="shared" si="91"/>
        <v>27.453461320628275</v>
      </c>
    </row>
    <row r="440" spans="4:92" x14ac:dyDescent="0.35">
      <c r="D440" s="1">
        <v>2.7667900000000001E-8</v>
      </c>
      <c r="E440">
        <v>22.619599999999998</v>
      </c>
      <c r="F440">
        <v>0</v>
      </c>
      <c r="G440">
        <v>4.63835</v>
      </c>
      <c r="I440" s="1">
        <v>2.7667900000000001E-8</v>
      </c>
      <c r="J440">
        <f t="shared" si="87"/>
        <v>4.0146280196494841E-2</v>
      </c>
      <c r="K440">
        <v>0</v>
      </c>
      <c r="L440">
        <v>1.5249377998261848E-2</v>
      </c>
      <c r="N440" s="1">
        <v>2.7667900000000001E-8</v>
      </c>
      <c r="O440">
        <f t="shared" si="88"/>
        <v>0</v>
      </c>
      <c r="Q440" s="1">
        <v>2.7667900000000001E-8</v>
      </c>
      <c r="R440">
        <f t="shared" si="89"/>
        <v>1.5249377998261848E-2</v>
      </c>
      <c r="CH440" s="1">
        <v>2.5612199999999999E-8</v>
      </c>
      <c r="CI440">
        <v>0.87128099999999997</v>
      </c>
      <c r="CJ440">
        <f t="shared" si="90"/>
        <v>67.715092381662117</v>
      </c>
      <c r="CL440" s="1">
        <v>2.5612199999999999E-8</v>
      </c>
      <c r="CM440">
        <v>0.25316</v>
      </c>
      <c r="CN440">
        <f t="shared" si="91"/>
        <v>19.675343301806858</v>
      </c>
    </row>
    <row r="441" spans="4:92" x14ac:dyDescent="0.35">
      <c r="D441" s="1">
        <v>2.80262E-8</v>
      </c>
      <c r="E441">
        <v>22.698799999999999</v>
      </c>
      <c r="F441">
        <v>0</v>
      </c>
      <c r="G441">
        <v>4.5209700000000002</v>
      </c>
      <c r="I441" s="1">
        <v>2.80262E-8</v>
      </c>
      <c r="J441">
        <f t="shared" si="87"/>
        <v>4.0286847907310339E-2</v>
      </c>
      <c r="K441">
        <v>0</v>
      </c>
      <c r="L441">
        <v>1.486347094307283E-2</v>
      </c>
      <c r="N441" s="1">
        <v>2.80262E-8</v>
      </c>
      <c r="O441">
        <f t="shared" si="88"/>
        <v>0</v>
      </c>
      <c r="Q441" s="1">
        <v>2.80262E-8</v>
      </c>
      <c r="R441">
        <f t="shared" si="89"/>
        <v>1.486347094307283E-2</v>
      </c>
      <c r="CH441" s="1">
        <v>2.5943899999999998E-8</v>
      </c>
      <c r="CI441">
        <v>0.89265300000000003</v>
      </c>
      <c r="CJ441">
        <f t="shared" si="90"/>
        <v>69.376102956185008</v>
      </c>
      <c r="CL441" s="1">
        <v>2.5943899999999998E-8</v>
      </c>
      <c r="CM441">
        <v>0.30114999999999997</v>
      </c>
      <c r="CN441">
        <f t="shared" si="91"/>
        <v>23.405078350999901</v>
      </c>
    </row>
    <row r="442" spans="4:92" x14ac:dyDescent="0.35">
      <c r="D442" s="1">
        <v>2.8389099999999999E-8</v>
      </c>
      <c r="E442">
        <v>23.284400000000002</v>
      </c>
      <c r="F442">
        <v>3.68251E-3</v>
      </c>
      <c r="G442">
        <v>4.7762099999999998</v>
      </c>
      <c r="I442" s="1">
        <v>2.8389099999999999E-8</v>
      </c>
      <c r="J442">
        <f t="shared" si="87"/>
        <v>4.132619704182499E-2</v>
      </c>
      <c r="K442">
        <v>1.954396532870162E-5</v>
      </c>
      <c r="L442">
        <v>1.5702616596220253E-2</v>
      </c>
      <c r="N442" s="1">
        <v>2.8389099999999999E-8</v>
      </c>
      <c r="O442">
        <f t="shared" si="88"/>
        <v>1.954396532870162E-5</v>
      </c>
      <c r="Q442" s="1">
        <v>2.8389099999999999E-8</v>
      </c>
      <c r="R442">
        <f t="shared" si="89"/>
        <v>1.5702616596220253E-2</v>
      </c>
      <c r="CH442" s="1">
        <v>2.6279899999999999E-8</v>
      </c>
      <c r="CI442">
        <v>0.97538400000000003</v>
      </c>
      <c r="CJ442">
        <f t="shared" si="90"/>
        <v>75.805873957535084</v>
      </c>
      <c r="CL442" s="1">
        <v>2.6279899999999999E-8</v>
      </c>
      <c r="CM442">
        <v>0.22189999999999999</v>
      </c>
      <c r="CN442">
        <f t="shared" si="91"/>
        <v>17.245847205999926</v>
      </c>
    </row>
    <row r="443" spans="4:92" x14ac:dyDescent="0.35">
      <c r="D443" s="1">
        <v>2.87568E-8</v>
      </c>
      <c r="E443">
        <v>23.958100000000002</v>
      </c>
      <c r="F443">
        <v>0</v>
      </c>
      <c r="G443">
        <v>5.0906599999999997</v>
      </c>
      <c r="I443" s="1">
        <v>2.87568E-8</v>
      </c>
      <c r="J443">
        <f t="shared" si="87"/>
        <v>4.2521910006173544E-2</v>
      </c>
      <c r="K443">
        <v>0</v>
      </c>
      <c r="L443">
        <v>1.6736425366915313E-2</v>
      </c>
      <c r="N443" s="1">
        <v>2.87568E-8</v>
      </c>
      <c r="O443">
        <f t="shared" si="88"/>
        <v>0</v>
      </c>
      <c r="Q443" s="1">
        <v>2.87568E-8</v>
      </c>
      <c r="R443">
        <f t="shared" si="89"/>
        <v>1.6736425366915313E-2</v>
      </c>
      <c r="CH443" s="1">
        <v>2.66202E-8</v>
      </c>
      <c r="CI443">
        <v>1.0200199999999999</v>
      </c>
      <c r="CJ443">
        <f t="shared" si="90"/>
        <v>79.274939464011013</v>
      </c>
      <c r="CL443" s="1">
        <v>2.66202E-8</v>
      </c>
      <c r="CM443">
        <v>0.28663</v>
      </c>
      <c r="CN443">
        <f t="shared" si="91"/>
        <v>22.276598398628927</v>
      </c>
    </row>
    <row r="444" spans="4:92" x14ac:dyDescent="0.35">
      <c r="D444" s="1">
        <v>2.91292E-8</v>
      </c>
      <c r="E444">
        <v>24.2898</v>
      </c>
      <c r="F444">
        <v>1.80977E-3</v>
      </c>
      <c r="G444">
        <v>4.9536800000000003</v>
      </c>
      <c r="I444" s="1">
        <v>2.91292E-8</v>
      </c>
      <c r="J444">
        <f t="shared" si="87"/>
        <v>4.3110626037455142E-2</v>
      </c>
      <c r="K444">
        <v>9.6048842047745515E-6</v>
      </c>
      <c r="L444">
        <v>1.6286079921185283E-2</v>
      </c>
      <c r="N444" s="1">
        <v>2.91292E-8</v>
      </c>
      <c r="O444">
        <f t="shared" si="88"/>
        <v>9.6048842047745515E-6</v>
      </c>
      <c r="Q444" s="1">
        <v>2.91292E-8</v>
      </c>
      <c r="R444">
        <f t="shared" si="89"/>
        <v>1.6286079921185283E-2</v>
      </c>
      <c r="CH444" s="1">
        <v>2.6965E-8</v>
      </c>
      <c r="CI444">
        <v>0.902613</v>
      </c>
      <c r="CJ444">
        <f t="shared" si="90"/>
        <v>70.150184245827901</v>
      </c>
      <c r="CL444" s="1">
        <v>2.6965E-8</v>
      </c>
      <c r="CM444">
        <v>0.23265</v>
      </c>
      <c r="CN444">
        <f t="shared" si="91"/>
        <v>18.081326509580364</v>
      </c>
    </row>
    <row r="445" spans="4:92" x14ac:dyDescent="0.35">
      <c r="D445" s="1">
        <v>2.9506400000000001E-8</v>
      </c>
      <c r="E445">
        <v>24.6708</v>
      </c>
      <c r="F445">
        <v>0</v>
      </c>
      <c r="G445">
        <v>5.26105</v>
      </c>
      <c r="I445" s="1">
        <v>2.9506400000000001E-8</v>
      </c>
      <c r="J445">
        <f t="shared" si="87"/>
        <v>4.3786841919029727E-2</v>
      </c>
      <c r="K445">
        <v>0</v>
      </c>
      <c r="L445">
        <v>1.729661196713389E-2</v>
      </c>
      <c r="N445" s="1">
        <v>2.9506400000000001E-8</v>
      </c>
      <c r="O445">
        <f t="shared" si="88"/>
        <v>0</v>
      </c>
      <c r="Q445" s="1">
        <v>2.9506400000000001E-8</v>
      </c>
      <c r="R445">
        <f t="shared" si="89"/>
        <v>1.729661196713389E-2</v>
      </c>
      <c r="CH445" s="1">
        <v>2.73142E-8</v>
      </c>
      <c r="CI445">
        <v>1.0884</v>
      </c>
      <c r="CJ445">
        <f t="shared" si="90"/>
        <v>84.58936502483246</v>
      </c>
      <c r="CL445" s="1">
        <v>2.73142E-8</v>
      </c>
      <c r="CM445">
        <v>0.26129000000000002</v>
      </c>
      <c r="CN445">
        <f t="shared" si="91"/>
        <v>20.307198812328622</v>
      </c>
    </row>
    <row r="446" spans="4:92" x14ac:dyDescent="0.35">
      <c r="D446" s="1">
        <v>2.9888500000000003E-8</v>
      </c>
      <c r="E446">
        <v>25.3809</v>
      </c>
      <c r="F446">
        <v>1.9246000000000001E-3</v>
      </c>
      <c r="G446">
        <v>5.3133499999999998</v>
      </c>
      <c r="I446" s="1">
        <v>2.9888500000000003E-8</v>
      </c>
      <c r="J446">
        <f t="shared" si="87"/>
        <v>4.5047159235318747E-2</v>
      </c>
      <c r="K446">
        <v>1.0214314603794461E-5</v>
      </c>
      <c r="L446">
        <v>1.7468557264342835E-2</v>
      </c>
      <c r="N446" s="1">
        <v>2.9888500000000003E-8</v>
      </c>
      <c r="O446">
        <f t="shared" si="88"/>
        <v>1.0214314603794461E-5</v>
      </c>
      <c r="Q446" s="1">
        <v>2.9888500000000003E-8</v>
      </c>
      <c r="R446">
        <f t="shared" si="89"/>
        <v>1.7468557264342835E-2</v>
      </c>
      <c r="CH446" s="1">
        <v>2.7667900000000001E-8</v>
      </c>
      <c r="CI446">
        <v>0.82002699999999995</v>
      </c>
      <c r="CJ446">
        <f t="shared" si="90"/>
        <v>63.731682500200549</v>
      </c>
      <c r="CL446" s="1">
        <v>2.7667900000000001E-8</v>
      </c>
      <c r="CM446">
        <v>0.28939999999999999</v>
      </c>
      <c r="CN446">
        <f t="shared" si="91"/>
        <v>22.491880042435238</v>
      </c>
    </row>
    <row r="447" spans="4:92" x14ac:dyDescent="0.35">
      <c r="D447" s="1">
        <v>3.0275599999999997E-8</v>
      </c>
      <c r="E447">
        <v>26.0319</v>
      </c>
      <c r="F447">
        <v>1.76256E-3</v>
      </c>
      <c r="G447">
        <v>5.4431799999999999</v>
      </c>
      <c r="I447" s="1">
        <v>3.0275599999999997E-8</v>
      </c>
      <c r="J447">
        <f t="shared" si="87"/>
        <v>4.6202583221946189E-2</v>
      </c>
      <c r="K447">
        <v>9.3543293921147063E-6</v>
      </c>
      <c r="L447">
        <v>1.7895395848217345E-2</v>
      </c>
      <c r="N447" s="1">
        <v>3.0275599999999997E-8</v>
      </c>
      <c r="O447">
        <f t="shared" si="88"/>
        <v>9.3543293921147063E-6</v>
      </c>
      <c r="Q447" s="1">
        <v>3.0275599999999997E-8</v>
      </c>
      <c r="R447">
        <f t="shared" si="89"/>
        <v>1.7895395848217345E-2</v>
      </c>
      <c r="CH447" s="1">
        <v>2.80262E-8</v>
      </c>
      <c r="CI447">
        <v>1.17347</v>
      </c>
      <c r="CJ447">
        <f t="shared" si="90"/>
        <v>91.200920778840626</v>
      </c>
      <c r="CL447" s="1">
        <v>2.80262E-8</v>
      </c>
      <c r="CM447">
        <v>0.24417</v>
      </c>
      <c r="CN447">
        <f t="shared" si="91"/>
        <v>18.976649446998657</v>
      </c>
    </row>
    <row r="448" spans="4:92" x14ac:dyDescent="0.35">
      <c r="D448" s="1">
        <v>3.0667599999999999E-8</v>
      </c>
      <c r="E448">
        <v>26.4283</v>
      </c>
      <c r="F448">
        <v>0</v>
      </c>
      <c r="G448">
        <v>5.5311300000000001</v>
      </c>
      <c r="I448" s="1">
        <v>3.0667599999999999E-8</v>
      </c>
      <c r="J448">
        <f t="shared" si="87"/>
        <v>4.6906131713957126E-2</v>
      </c>
      <c r="K448">
        <v>0</v>
      </c>
      <c r="L448">
        <v>1.8184546687405233E-2</v>
      </c>
      <c r="N448" s="1">
        <v>3.0667599999999999E-8</v>
      </c>
      <c r="O448">
        <f t="shared" si="88"/>
        <v>0</v>
      </c>
      <c r="Q448" s="1">
        <v>3.0667599999999999E-8</v>
      </c>
      <c r="R448">
        <f t="shared" si="89"/>
        <v>1.8184546687405233E-2</v>
      </c>
      <c r="CH448" s="1">
        <v>2.8389099999999999E-8</v>
      </c>
      <c r="CI448">
        <v>0.914269</v>
      </c>
      <c r="CJ448">
        <f t="shared" si="90"/>
        <v>71.056076967924056</v>
      </c>
      <c r="CL448" s="1">
        <v>2.8389099999999999E-8</v>
      </c>
      <c r="CM448">
        <v>0.29089999999999999</v>
      </c>
      <c r="CN448">
        <f t="shared" si="91"/>
        <v>22.608458549911578</v>
      </c>
    </row>
    <row r="449" spans="4:92" x14ac:dyDescent="0.35">
      <c r="D449" s="1">
        <v>3.1064800000000003E-8</v>
      </c>
      <c r="E449">
        <v>27.2776</v>
      </c>
      <c r="F449">
        <v>1.94305E-3</v>
      </c>
      <c r="G449">
        <v>5.6527700000000003</v>
      </c>
      <c r="I449" s="1">
        <v>3.1064800000000003E-8</v>
      </c>
      <c r="J449">
        <f t="shared" si="87"/>
        <v>4.8413507431073387E-2</v>
      </c>
      <c r="K449">
        <v>1.0312233186585693E-5</v>
      </c>
      <c r="L449">
        <v>1.8584459229517961E-2</v>
      </c>
      <c r="N449" s="1">
        <v>3.1064800000000003E-8</v>
      </c>
      <c r="O449">
        <f t="shared" si="88"/>
        <v>1.0312233186585693E-5</v>
      </c>
      <c r="Q449" s="1">
        <v>3.1064800000000003E-8</v>
      </c>
      <c r="R449">
        <f t="shared" si="89"/>
        <v>1.8584459229517961E-2</v>
      </c>
      <c r="CH449" s="1">
        <v>2.87568E-8</v>
      </c>
      <c r="CI449">
        <v>1.1492800000000001</v>
      </c>
      <c r="CJ449">
        <f t="shared" si="90"/>
        <v>89.320898048272184</v>
      </c>
      <c r="CL449" s="1">
        <v>2.87568E-8</v>
      </c>
      <c r="CM449">
        <v>0.20821999999999999</v>
      </c>
      <c r="CN449">
        <f t="shared" si="91"/>
        <v>16.182651217815703</v>
      </c>
    </row>
    <row r="450" spans="4:92" x14ac:dyDescent="0.35">
      <c r="D450" s="1">
        <v>3.1467099999999999E-8</v>
      </c>
      <c r="E450">
        <v>27.6675</v>
      </c>
      <c r="F450">
        <v>0</v>
      </c>
      <c r="G450">
        <v>5.8823299999999996</v>
      </c>
      <c r="I450" s="1">
        <v>3.1467099999999999E-8</v>
      </c>
      <c r="J450">
        <f t="shared" si="87"/>
        <v>4.9105519431666383E-2</v>
      </c>
      <c r="K450">
        <v>0</v>
      </c>
      <c r="L450">
        <v>1.9339177440364699E-2</v>
      </c>
      <c r="N450" s="1">
        <v>3.1467099999999999E-8</v>
      </c>
      <c r="O450">
        <f t="shared" si="88"/>
        <v>0</v>
      </c>
      <c r="Q450" s="1">
        <v>3.1467099999999999E-8</v>
      </c>
      <c r="R450">
        <f t="shared" si="89"/>
        <v>1.9339177440364699E-2</v>
      </c>
      <c r="CH450" s="1">
        <v>2.91292E-8</v>
      </c>
      <c r="CI450">
        <v>1.28996</v>
      </c>
      <c r="CJ450">
        <f t="shared" si="90"/>
        <v>100.2544076694532</v>
      </c>
      <c r="CL450" s="1">
        <v>2.91292E-8</v>
      </c>
      <c r="CM450">
        <v>0.20957000000000001</v>
      </c>
      <c r="CN450">
        <f t="shared" si="91"/>
        <v>16.287571874544412</v>
      </c>
    </row>
    <row r="451" spans="4:92" x14ac:dyDescent="0.35">
      <c r="D451" s="1">
        <v>3.1874599999999997E-8</v>
      </c>
      <c r="E451">
        <v>28.127500000000001</v>
      </c>
      <c r="F451">
        <v>0</v>
      </c>
      <c r="G451">
        <v>5.9882099999999996</v>
      </c>
      <c r="I451" s="1">
        <v>3.1874599999999997E-8</v>
      </c>
      <c r="J451">
        <f t="shared" si="87"/>
        <v>4.9921948055089774E-2</v>
      </c>
      <c r="K451">
        <v>0</v>
      </c>
      <c r="L451">
        <v>1.9687276256205668E-2</v>
      </c>
      <c r="N451" s="1">
        <v>3.1874599999999997E-8</v>
      </c>
      <c r="O451">
        <f t="shared" si="88"/>
        <v>0</v>
      </c>
      <c r="Q451" s="1">
        <v>3.1874599999999997E-8</v>
      </c>
      <c r="R451">
        <f t="shared" si="89"/>
        <v>1.9687276256205668E-2</v>
      </c>
      <c r="CH451" s="1">
        <v>2.9506400000000001E-8</v>
      </c>
      <c r="CI451">
        <v>1.44804</v>
      </c>
      <c r="CJ451">
        <f t="shared" si="90"/>
        <v>112.54022797735978</v>
      </c>
      <c r="CL451" s="1">
        <v>2.9506400000000001E-8</v>
      </c>
      <c r="CM451">
        <v>0.22639000000000001</v>
      </c>
      <c r="CN451">
        <f t="shared" si="91"/>
        <v>17.594805538379106</v>
      </c>
    </row>
    <row r="452" spans="4:92" x14ac:dyDescent="0.35">
      <c r="D452" s="1">
        <v>3.2287399999999998E-8</v>
      </c>
      <c r="E452">
        <v>28.648199999999999</v>
      </c>
      <c r="F452">
        <v>0</v>
      </c>
      <c r="G452">
        <v>6.0232200000000002</v>
      </c>
      <c r="I452" s="1">
        <v>3.2287399999999998E-8</v>
      </c>
      <c r="J452">
        <f t="shared" ref="J452:J515" si="92">E452/SUM($E$3:$E$2002)/$C$3</f>
        <v>5.0846109759908373E-2</v>
      </c>
      <c r="K452">
        <v>0</v>
      </c>
      <c r="L452">
        <v>1.9802377687473074E-2</v>
      </c>
      <c r="N452" s="1">
        <v>3.2287399999999998E-8</v>
      </c>
      <c r="O452">
        <f t="shared" ref="O452:O515" si="93">F452/SUM($F$3:$F$2002)/$C$3</f>
        <v>0</v>
      </c>
      <c r="Q452" s="1">
        <v>3.2287399999999998E-8</v>
      </c>
      <c r="R452">
        <f t="shared" ref="R452:R515" si="94">G452/SUM($G$3:$G$2002)/$C$3</f>
        <v>1.9802377687473074E-2</v>
      </c>
      <c r="CH452" s="1">
        <v>2.9888500000000003E-8</v>
      </c>
      <c r="CI452">
        <v>1.22525</v>
      </c>
      <c r="CJ452">
        <f t="shared" si="90"/>
        <v>95.225210856923894</v>
      </c>
      <c r="CL452" s="1">
        <v>2.9888500000000003E-8</v>
      </c>
      <c r="CM452">
        <v>0.1895</v>
      </c>
      <c r="CN452">
        <f t="shared" si="91"/>
        <v>14.727751444510979</v>
      </c>
    </row>
    <row r="453" spans="4:92" x14ac:dyDescent="0.35">
      <c r="D453" s="1">
        <v>3.2705500000000001E-8</v>
      </c>
      <c r="E453">
        <v>29.1937</v>
      </c>
      <c r="F453">
        <v>1.7891300000000001E-3</v>
      </c>
      <c r="G453">
        <v>6.0597700000000003</v>
      </c>
      <c r="I453" s="1">
        <v>3.2705500000000001E-8</v>
      </c>
      <c r="J453">
        <f t="shared" si="92"/>
        <v>5.1814287616598495E-2</v>
      </c>
      <c r="K453">
        <v>9.4953427658146021E-6</v>
      </c>
      <c r="L453">
        <v>1.9922542135140123E-2</v>
      </c>
      <c r="N453" s="1">
        <v>3.2705500000000001E-8</v>
      </c>
      <c r="O453">
        <f t="shared" si="93"/>
        <v>9.4953427658146021E-6</v>
      </c>
      <c r="Q453" s="1">
        <v>3.2705500000000001E-8</v>
      </c>
      <c r="R453">
        <f t="shared" si="94"/>
        <v>1.9922542135140123E-2</v>
      </c>
      <c r="CH453" s="1">
        <v>3.0275599999999997E-8</v>
      </c>
      <c r="CI453">
        <v>1.24274</v>
      </c>
      <c r="CJ453">
        <f t="shared" si="90"/>
        <v>96.58451625409802</v>
      </c>
      <c r="CL453" s="1">
        <v>3.0275599999999997E-8</v>
      </c>
      <c r="CM453">
        <v>0.23519000000000001</v>
      </c>
      <c r="CN453">
        <f t="shared" si="91"/>
        <v>18.278732782240304</v>
      </c>
    </row>
    <row r="454" spans="4:92" x14ac:dyDescent="0.35">
      <c r="D454" s="1">
        <v>3.3128999999999998E-8</v>
      </c>
      <c r="E454">
        <v>29.942699999999999</v>
      </c>
      <c r="F454">
        <v>0</v>
      </c>
      <c r="G454">
        <v>6.3526400000000001</v>
      </c>
      <c r="I454" s="1">
        <v>3.3128999999999998E-8</v>
      </c>
      <c r="J454">
        <f t="shared" si="92"/>
        <v>5.3143646396911791E-2</v>
      </c>
      <c r="K454">
        <v>0</v>
      </c>
      <c r="L454">
        <v>2.0885402922780329E-2</v>
      </c>
      <c r="N454" s="1">
        <v>3.3128999999999998E-8</v>
      </c>
      <c r="O454">
        <f t="shared" si="93"/>
        <v>0</v>
      </c>
      <c r="Q454" s="1">
        <v>3.3128999999999998E-8</v>
      </c>
      <c r="R454">
        <f t="shared" si="94"/>
        <v>2.0885402922780329E-2</v>
      </c>
      <c r="CH454" s="1">
        <v>3.0667599999999999E-8</v>
      </c>
      <c r="CI454">
        <v>1.2871900000000001</v>
      </c>
      <c r="CJ454">
        <f t="shared" si="90"/>
        <v>100.03912602564691</v>
      </c>
      <c r="CL454" s="1">
        <v>3.0667599999999999E-8</v>
      </c>
      <c r="CM454">
        <v>0.22259000000000001</v>
      </c>
      <c r="CN454">
        <f t="shared" si="91"/>
        <v>17.299473319439045</v>
      </c>
    </row>
    <row r="455" spans="4:92" x14ac:dyDescent="0.35">
      <c r="D455" s="1">
        <v>3.3558000000000002E-8</v>
      </c>
      <c r="E455">
        <v>30.970300000000002</v>
      </c>
      <c r="F455">
        <v>0</v>
      </c>
      <c r="G455">
        <v>6.42232</v>
      </c>
      <c r="I455" s="1">
        <v>3.3558000000000002E-8</v>
      </c>
      <c r="J455">
        <f t="shared" si="92"/>
        <v>5.4967476947846303E-2</v>
      </c>
      <c r="K455">
        <v>0</v>
      </c>
      <c r="L455">
        <v>2.1114487976499622E-2</v>
      </c>
      <c r="N455" s="1">
        <v>3.3558000000000002E-8</v>
      </c>
      <c r="O455">
        <f t="shared" si="93"/>
        <v>0</v>
      </c>
      <c r="Q455" s="1">
        <v>3.3558000000000002E-8</v>
      </c>
      <c r="R455">
        <f t="shared" si="94"/>
        <v>2.1114487976499622E-2</v>
      </c>
      <c r="CH455" s="1">
        <v>3.1064800000000003E-8</v>
      </c>
      <c r="CI455">
        <v>1.2201200000000001</v>
      </c>
      <c r="CJ455">
        <f t="shared" si="90"/>
        <v>94.826512361354816</v>
      </c>
      <c r="CL455" s="1">
        <v>3.1064800000000003E-8</v>
      </c>
      <c r="CM455">
        <v>0.19195000000000001</v>
      </c>
      <c r="CN455">
        <f t="shared" si="91"/>
        <v>14.918163006722336</v>
      </c>
    </row>
    <row r="456" spans="4:92" x14ac:dyDescent="0.35">
      <c r="D456" s="1">
        <v>3.3992599999999997E-8</v>
      </c>
      <c r="E456">
        <v>31.401299999999999</v>
      </c>
      <c r="F456">
        <v>1.85724E-3</v>
      </c>
      <c r="G456">
        <v>6.4361899999999999</v>
      </c>
      <c r="I456" s="1">
        <v>3.3992599999999997E-8</v>
      </c>
      <c r="J456">
        <f t="shared" si="92"/>
        <v>5.573243507109734E-2</v>
      </c>
      <c r="K456">
        <v>9.8568188999019159E-6</v>
      </c>
      <c r="L456">
        <v>2.1160088000826353E-2</v>
      </c>
      <c r="N456" s="1">
        <v>3.3992599999999997E-8</v>
      </c>
      <c r="O456">
        <f t="shared" si="93"/>
        <v>9.8568188999019159E-6</v>
      </c>
      <c r="Q456" s="1">
        <v>3.3992599999999997E-8</v>
      </c>
      <c r="R456">
        <f t="shared" si="94"/>
        <v>2.1160088000826353E-2</v>
      </c>
      <c r="CH456" s="1">
        <v>3.1467099999999999E-8</v>
      </c>
      <c r="CI456">
        <v>1.45496</v>
      </c>
      <c r="CJ456">
        <f t="shared" si="90"/>
        <v>113.07804349185064</v>
      </c>
      <c r="CL456" s="1">
        <v>3.1467099999999999E-8</v>
      </c>
      <c r="CM456">
        <v>0.22677</v>
      </c>
      <c r="CN456">
        <f t="shared" si="91"/>
        <v>17.624338760273112</v>
      </c>
    </row>
    <row r="457" spans="4:92" x14ac:dyDescent="0.35">
      <c r="D457" s="1">
        <v>3.4432799999999997E-8</v>
      </c>
      <c r="E457">
        <v>32.316800000000001</v>
      </c>
      <c r="F457">
        <v>0</v>
      </c>
      <c r="G457">
        <v>6.7267599999999996</v>
      </c>
      <c r="I457" s="1">
        <v>3.4432799999999997E-8</v>
      </c>
      <c r="J457">
        <f t="shared" si="92"/>
        <v>5.7357305516193231E-2</v>
      </c>
      <c r="K457">
        <v>0</v>
      </c>
      <c r="L457">
        <v>2.2115387140596951E-2</v>
      </c>
      <c r="N457" s="1">
        <v>3.4432799999999997E-8</v>
      </c>
      <c r="O457">
        <f t="shared" si="93"/>
        <v>0</v>
      </c>
      <c r="Q457" s="1">
        <v>3.4432799999999997E-8</v>
      </c>
      <c r="R457">
        <f t="shared" si="94"/>
        <v>2.2115387140596951E-2</v>
      </c>
      <c r="CH457" s="1">
        <v>3.1874599999999997E-8</v>
      </c>
      <c r="CI457">
        <v>1.1911400000000001</v>
      </c>
      <c r="CJ457">
        <f t="shared" si="90"/>
        <v>92.574215596911927</v>
      </c>
      <c r="CL457" s="1">
        <v>3.1874599999999997E-8</v>
      </c>
      <c r="CM457">
        <v>0.20474000000000001</v>
      </c>
      <c r="CN457">
        <f t="shared" si="91"/>
        <v>15.912189080470597</v>
      </c>
    </row>
    <row r="458" spans="4:92" x14ac:dyDescent="0.35">
      <c r="D458" s="1">
        <v>3.4878700000000001E-8</v>
      </c>
      <c r="E458">
        <v>32.500900000000001</v>
      </c>
      <c r="F458">
        <v>0</v>
      </c>
      <c r="G458">
        <v>6.89499</v>
      </c>
      <c r="I458" s="1">
        <v>3.4878700000000001E-8</v>
      </c>
      <c r="J458">
        <f t="shared" si="92"/>
        <v>5.7684054450045943E-2</v>
      </c>
      <c r="K458">
        <v>0</v>
      </c>
      <c r="L458">
        <v>2.2668472367164069E-2</v>
      </c>
      <c r="N458" s="1">
        <v>3.4878700000000001E-8</v>
      </c>
      <c r="O458">
        <f t="shared" si="93"/>
        <v>0</v>
      </c>
      <c r="Q458" s="1">
        <v>3.4878700000000001E-8</v>
      </c>
      <c r="R458">
        <f t="shared" si="94"/>
        <v>2.2668472367164069E-2</v>
      </c>
      <c r="CH458" s="1">
        <v>3.2287399999999998E-8</v>
      </c>
      <c r="CI458">
        <v>1.5584899999999999</v>
      </c>
      <c r="CJ458">
        <f t="shared" ref="CJ458:CJ521" si="95">CI458/$CG$9</f>
        <v>121.12429207786762</v>
      </c>
      <c r="CL458" s="1">
        <v>3.2287399999999998E-8</v>
      </c>
      <c r="CM458">
        <v>0.18448000000000001</v>
      </c>
      <c r="CN458">
        <f t="shared" ref="CN458:CN521" si="96">CM458/$CG$9</f>
        <v>14.337602039490161</v>
      </c>
    </row>
    <row r="459" spans="4:92" x14ac:dyDescent="0.35">
      <c r="D459" s="1">
        <v>3.5330400000000001E-8</v>
      </c>
      <c r="E459">
        <v>33.465600000000002</v>
      </c>
      <c r="F459">
        <v>0</v>
      </c>
      <c r="G459">
        <v>6.9876100000000001</v>
      </c>
      <c r="I459" s="1">
        <v>3.5330400000000001E-8</v>
      </c>
      <c r="J459">
        <f t="shared" si="92"/>
        <v>5.9396247260951468E-2</v>
      </c>
      <c r="K459">
        <v>0</v>
      </c>
      <c r="L459">
        <v>2.2972976639200247E-2</v>
      </c>
      <c r="N459" s="1">
        <v>3.5330400000000001E-8</v>
      </c>
      <c r="O459">
        <f t="shared" si="93"/>
        <v>0</v>
      </c>
      <c r="Q459" s="1">
        <v>3.5330400000000001E-8</v>
      </c>
      <c r="R459">
        <f t="shared" si="94"/>
        <v>2.2972976639200247E-2</v>
      </c>
      <c r="CH459" s="1">
        <v>3.2705500000000001E-8</v>
      </c>
      <c r="CI459">
        <v>1.6355900000000001</v>
      </c>
      <c r="CJ459">
        <f t="shared" si="95"/>
        <v>127.11642736215153</v>
      </c>
      <c r="CL459" s="1">
        <v>3.2705500000000001E-8</v>
      </c>
      <c r="CM459">
        <v>0.18978999999999999</v>
      </c>
      <c r="CN459">
        <f t="shared" si="96"/>
        <v>14.750289955956404</v>
      </c>
    </row>
    <row r="460" spans="4:92" x14ac:dyDescent="0.35">
      <c r="D460" s="1">
        <v>3.5788000000000003E-8</v>
      </c>
      <c r="E460">
        <v>33.758200000000002</v>
      </c>
      <c r="F460">
        <v>0</v>
      </c>
      <c r="G460">
        <v>7.3307000000000002</v>
      </c>
      <c r="I460" s="1">
        <v>3.5788000000000003E-8</v>
      </c>
      <c r="J460">
        <f t="shared" si="92"/>
        <v>5.9915566859242077E-2</v>
      </c>
      <c r="K460">
        <v>0</v>
      </c>
      <c r="L460">
        <v>2.4100944364236876E-2</v>
      </c>
      <c r="N460" s="1">
        <v>3.5788000000000003E-8</v>
      </c>
      <c r="O460">
        <f t="shared" si="93"/>
        <v>0</v>
      </c>
      <c r="Q460" s="1">
        <v>3.5788000000000003E-8</v>
      </c>
      <c r="R460">
        <f t="shared" si="94"/>
        <v>2.4100944364236876E-2</v>
      </c>
      <c r="CH460" s="1">
        <v>3.3128999999999998E-8</v>
      </c>
      <c r="CI460">
        <v>1.5444100000000001</v>
      </c>
      <c r="CJ460">
        <f t="shared" si="95"/>
        <v>120.03000848768973</v>
      </c>
      <c r="CL460" s="1">
        <v>3.3128999999999998E-8</v>
      </c>
      <c r="CM460">
        <v>0.18645999999999999</v>
      </c>
      <c r="CN460">
        <f t="shared" si="96"/>
        <v>14.491485669358928</v>
      </c>
    </row>
    <row r="461" spans="4:92" x14ac:dyDescent="0.35">
      <c r="D461" s="1">
        <v>3.62514E-8</v>
      </c>
      <c r="E461">
        <v>35.104199999999999</v>
      </c>
      <c r="F461">
        <v>0</v>
      </c>
      <c r="G461">
        <v>7.4466799999999997</v>
      </c>
      <c r="I461" s="1">
        <v>3.62514E-8</v>
      </c>
      <c r="J461">
        <f t="shared" si="92"/>
        <v>6.2304508005172239E-2</v>
      </c>
      <c r="K461">
        <v>0</v>
      </c>
      <c r="L461">
        <v>2.4482248677244391E-2</v>
      </c>
      <c r="N461" s="1">
        <v>3.62514E-8</v>
      </c>
      <c r="O461">
        <f t="shared" si="93"/>
        <v>0</v>
      </c>
      <c r="Q461" s="1">
        <v>3.62514E-8</v>
      </c>
      <c r="R461">
        <f t="shared" si="94"/>
        <v>2.4482248677244391E-2</v>
      </c>
      <c r="CH461" s="1">
        <v>3.3558000000000002E-8</v>
      </c>
      <c r="CI461">
        <v>1.5424199999999999</v>
      </c>
      <c r="CJ461">
        <f t="shared" si="95"/>
        <v>119.87534766777109</v>
      </c>
      <c r="CL461" s="1">
        <v>3.3558000000000002E-8</v>
      </c>
      <c r="CM461">
        <v>0.19492000000000001</v>
      </c>
      <c r="CN461">
        <f t="shared" si="96"/>
        <v>15.14898845152549</v>
      </c>
    </row>
    <row r="462" spans="4:92" x14ac:dyDescent="0.35">
      <c r="D462" s="1">
        <v>3.6720900000000003E-8</v>
      </c>
      <c r="E462">
        <v>35.561999999999998</v>
      </c>
      <c r="F462">
        <v>0</v>
      </c>
      <c r="G462">
        <v>7.5374999999999996</v>
      </c>
      <c r="I462" s="1">
        <v>3.6720900000000003E-8</v>
      </c>
      <c r="J462">
        <f t="shared" si="92"/>
        <v>6.3117031969961865E-2</v>
      </c>
      <c r="K462">
        <v>0</v>
      </c>
      <c r="L462">
        <v>2.4780835137904356E-2</v>
      </c>
      <c r="N462" s="1">
        <v>3.6720900000000003E-8</v>
      </c>
      <c r="O462">
        <f t="shared" si="93"/>
        <v>0</v>
      </c>
      <c r="Q462" s="1">
        <v>3.6720900000000003E-8</v>
      </c>
      <c r="R462">
        <f t="shared" si="94"/>
        <v>2.4780835137904356E-2</v>
      </c>
      <c r="CH462" s="1">
        <v>3.3992599999999997E-8</v>
      </c>
      <c r="CI462">
        <v>1.2723599999999999</v>
      </c>
      <c r="CJ462">
        <f t="shared" si="95"/>
        <v>98.886553181730818</v>
      </c>
      <c r="CL462" s="1">
        <v>3.3992599999999997E-8</v>
      </c>
      <c r="CM462">
        <v>0.23713000000000001</v>
      </c>
      <c r="CN462">
        <f t="shared" si="96"/>
        <v>18.429507651909702</v>
      </c>
    </row>
    <row r="463" spans="4:92" x14ac:dyDescent="0.35">
      <c r="D463" s="1">
        <v>3.7196399999999999E-8</v>
      </c>
      <c r="E463">
        <v>36.220300000000002</v>
      </c>
      <c r="F463">
        <v>3.7906699999999999E-3</v>
      </c>
      <c r="G463">
        <v>7.5936000000000003</v>
      </c>
      <c r="I463" s="1">
        <v>3.7196399999999999E-8</v>
      </c>
      <c r="J463">
        <f t="shared" si="92"/>
        <v>6.428541232387408E-2</v>
      </c>
      <c r="K463">
        <v>2.0117996435189416E-5</v>
      </c>
      <c r="L463">
        <v>2.4965273592463089E-2</v>
      </c>
      <c r="N463" s="1">
        <v>3.7196399999999999E-8</v>
      </c>
      <c r="O463">
        <f t="shared" si="93"/>
        <v>2.0117996435189416E-5</v>
      </c>
      <c r="Q463" s="1">
        <v>3.7196399999999999E-8</v>
      </c>
      <c r="R463">
        <f t="shared" si="94"/>
        <v>2.4965273592463089E-2</v>
      </c>
      <c r="CH463" s="1">
        <v>3.4432799999999997E-8</v>
      </c>
      <c r="CI463">
        <v>2.0163700000000002</v>
      </c>
      <c r="CJ463">
        <f t="shared" si="95"/>
        <v>156.7102700800454</v>
      </c>
      <c r="CL463" s="1">
        <v>3.4432799999999997E-8</v>
      </c>
      <c r="CM463">
        <v>0.24734</v>
      </c>
      <c r="CN463">
        <f t="shared" si="96"/>
        <v>19.223018692798657</v>
      </c>
    </row>
    <row r="464" spans="4:92" x14ac:dyDescent="0.35">
      <c r="D464" s="1">
        <v>3.76781E-8</v>
      </c>
      <c r="E464">
        <v>37.424999999999997</v>
      </c>
      <c r="F464">
        <v>1.94089E-3</v>
      </c>
      <c r="G464">
        <v>7.8514299999999997</v>
      </c>
      <c r="I464" s="1">
        <v>3.76781E-8</v>
      </c>
      <c r="J464">
        <f t="shared" si="92"/>
        <v>6.6423567894826577E-2</v>
      </c>
      <c r="K464">
        <v>1.0300769547624769E-5</v>
      </c>
      <c r="L464">
        <v>2.5812934318646286E-2</v>
      </c>
      <c r="N464" s="1">
        <v>3.76781E-8</v>
      </c>
      <c r="O464">
        <f t="shared" si="93"/>
        <v>1.0300769547624769E-5</v>
      </c>
      <c r="Q464" s="1">
        <v>3.76781E-8</v>
      </c>
      <c r="R464">
        <f t="shared" si="94"/>
        <v>2.5812934318646286E-2</v>
      </c>
      <c r="CH464" s="1">
        <v>3.4878700000000001E-8</v>
      </c>
      <c r="CI464">
        <v>1.5775600000000001</v>
      </c>
      <c r="CJ464">
        <f t="shared" si="95"/>
        <v>122.60639350291684</v>
      </c>
      <c r="CL464" s="1">
        <v>3.4878700000000001E-8</v>
      </c>
      <c r="CM464">
        <v>0.20659</v>
      </c>
      <c r="CN464">
        <f t="shared" si="96"/>
        <v>16.055969239691414</v>
      </c>
    </row>
    <row r="465" spans="4:92" x14ac:dyDescent="0.35">
      <c r="D465" s="1">
        <v>3.8165999999999999E-8</v>
      </c>
      <c r="E465">
        <v>37.530500000000004</v>
      </c>
      <c r="F465">
        <v>0</v>
      </c>
      <c r="G465">
        <v>7.89724</v>
      </c>
      <c r="I465" s="1">
        <v>3.8165999999999999E-8</v>
      </c>
      <c r="J465">
        <f t="shared" si="92"/>
        <v>6.6610814024763917E-2</v>
      </c>
      <c r="K465">
        <v>0</v>
      </c>
      <c r="L465">
        <v>2.5963542618170982E-2</v>
      </c>
      <c r="N465" s="1">
        <v>3.8165999999999999E-8</v>
      </c>
      <c r="O465">
        <f t="shared" si="93"/>
        <v>0</v>
      </c>
      <c r="Q465" s="1">
        <v>3.8165999999999999E-8</v>
      </c>
      <c r="R465">
        <f t="shared" si="94"/>
        <v>2.5963542618170982E-2</v>
      </c>
      <c r="CH465" s="1">
        <v>3.5330400000000001E-8</v>
      </c>
      <c r="CI465">
        <v>1.7439899999999999</v>
      </c>
      <c r="CJ465">
        <f t="shared" si="95"/>
        <v>135.54116750244171</v>
      </c>
      <c r="CL465" s="1">
        <v>3.5330400000000001E-8</v>
      </c>
      <c r="CM465">
        <v>0.19536000000000001</v>
      </c>
      <c r="CN465">
        <f t="shared" si="96"/>
        <v>15.183184813718549</v>
      </c>
    </row>
    <row r="466" spans="4:92" x14ac:dyDescent="0.35">
      <c r="D466" s="1">
        <v>3.86603E-8</v>
      </c>
      <c r="E466">
        <v>38.4696</v>
      </c>
      <c r="F466">
        <v>4.0022900000000004E-3</v>
      </c>
      <c r="G466">
        <v>8.2383100000000002</v>
      </c>
      <c r="I466" s="1">
        <v>3.86603E-8</v>
      </c>
      <c r="J466">
        <f t="shared" si="92"/>
        <v>6.8277570807931079E-2</v>
      </c>
      <c r="K466">
        <v>2.1241114618944475E-5</v>
      </c>
      <c r="L466">
        <v>2.7084869243774307E-2</v>
      </c>
      <c r="N466" s="1">
        <v>3.86603E-8</v>
      </c>
      <c r="O466">
        <f t="shared" si="93"/>
        <v>2.1241114618944475E-5</v>
      </c>
      <c r="Q466" s="1">
        <v>3.86603E-8</v>
      </c>
      <c r="R466">
        <f t="shared" si="94"/>
        <v>2.7084869243774307E-2</v>
      </c>
      <c r="CH466" s="1">
        <v>3.5788000000000003E-8</v>
      </c>
      <c r="CI466">
        <v>1.64116</v>
      </c>
      <c r="CJ466">
        <f t="shared" si="95"/>
        <v>127.54932221991366</v>
      </c>
      <c r="CL466" s="1">
        <v>3.5788000000000003E-8</v>
      </c>
      <c r="CM466">
        <v>0.1903</v>
      </c>
      <c r="CN466">
        <f t="shared" si="96"/>
        <v>14.78992664849836</v>
      </c>
    </row>
    <row r="467" spans="4:92" x14ac:dyDescent="0.35">
      <c r="D467" s="1">
        <v>3.9160899999999997E-8</v>
      </c>
      <c r="E467">
        <v>38.685000000000002</v>
      </c>
      <c r="F467">
        <v>5.98805E-3</v>
      </c>
      <c r="G467">
        <v>8.4128600000000002</v>
      </c>
      <c r="I467" s="1">
        <v>3.9160899999999997E-8</v>
      </c>
      <c r="J467">
        <f t="shared" si="92"/>
        <v>6.8659872385073248E-2</v>
      </c>
      <c r="K467">
        <v>3.1780020037021417E-5</v>
      </c>
      <c r="L467">
        <v>2.7658732563617918E-2</v>
      </c>
      <c r="N467" s="1">
        <v>3.9160899999999997E-8</v>
      </c>
      <c r="O467">
        <f t="shared" si="93"/>
        <v>3.1780020037021417E-5</v>
      </c>
      <c r="Q467" s="1">
        <v>3.9160899999999997E-8</v>
      </c>
      <c r="R467">
        <f t="shared" si="94"/>
        <v>2.7658732563617918E-2</v>
      </c>
      <c r="CH467" s="1">
        <v>3.62514E-8</v>
      </c>
      <c r="CI467">
        <v>1.7274799999999999</v>
      </c>
      <c r="CJ467">
        <f t="shared" si="95"/>
        <v>134.25802673015212</v>
      </c>
      <c r="CL467" s="1">
        <v>3.62514E-8</v>
      </c>
      <c r="CM467">
        <v>0.17086999999999999</v>
      </c>
      <c r="CN467">
        <f t="shared" si="96"/>
        <v>13.279846381654833</v>
      </c>
    </row>
    <row r="468" spans="4:92" x14ac:dyDescent="0.35">
      <c r="D468" s="1">
        <v>3.96681E-8</v>
      </c>
      <c r="E468">
        <v>40.085599999999999</v>
      </c>
      <c r="F468">
        <v>0</v>
      </c>
      <c r="G468">
        <v>8.4106400000000008</v>
      </c>
      <c r="I468" s="1">
        <v>3.96681E-8</v>
      </c>
      <c r="J468">
        <f t="shared" si="92"/>
        <v>7.1145720058914105E-2</v>
      </c>
      <c r="K468">
        <v>0</v>
      </c>
      <c r="L468">
        <v>2.7651433929587254E-2</v>
      </c>
      <c r="N468" s="1">
        <v>3.96681E-8</v>
      </c>
      <c r="O468">
        <f t="shared" si="93"/>
        <v>0</v>
      </c>
      <c r="Q468" s="1">
        <v>3.96681E-8</v>
      </c>
      <c r="R468">
        <f t="shared" si="94"/>
        <v>2.7651433929587254E-2</v>
      </c>
      <c r="CH468" s="1">
        <v>3.6720900000000003E-8</v>
      </c>
      <c r="CI468">
        <v>1.9322600000000001</v>
      </c>
      <c r="CJ468">
        <f t="shared" si="95"/>
        <v>150.1733245708221</v>
      </c>
      <c r="CL468" s="1">
        <v>3.6720900000000003E-8</v>
      </c>
      <c r="CM468">
        <v>0.19117999999999999</v>
      </c>
      <c r="CN468">
        <f t="shared" si="96"/>
        <v>14.858319372884479</v>
      </c>
    </row>
    <row r="469" spans="4:92" x14ac:dyDescent="0.35">
      <c r="D469" s="1">
        <v>4.0181799999999998E-8</v>
      </c>
      <c r="E469">
        <v>40.753900000000002</v>
      </c>
      <c r="F469">
        <v>0</v>
      </c>
      <c r="G469">
        <v>8.5089100000000002</v>
      </c>
      <c r="I469" s="1">
        <v>4.0181799999999998E-8</v>
      </c>
      <c r="J469">
        <f t="shared" si="92"/>
        <v>7.2331848861161605E-2</v>
      </c>
      <c r="K469">
        <v>0</v>
      </c>
      <c r="L469">
        <v>2.7974513553998773E-2</v>
      </c>
      <c r="N469" s="1">
        <v>4.0181799999999998E-8</v>
      </c>
      <c r="O469">
        <f t="shared" si="93"/>
        <v>0</v>
      </c>
      <c r="Q469" s="1">
        <v>4.0181799999999998E-8</v>
      </c>
      <c r="R469">
        <f t="shared" si="94"/>
        <v>2.7974513553998773E-2</v>
      </c>
      <c r="CH469" s="1">
        <v>3.7196399999999999E-8</v>
      </c>
      <c r="CI469">
        <v>1.7477499999999999</v>
      </c>
      <c r="CJ469">
        <f t="shared" si="95"/>
        <v>135.8333909611824</v>
      </c>
      <c r="CL469" s="1">
        <v>3.7196399999999999E-8</v>
      </c>
      <c r="CM469">
        <v>0.27043</v>
      </c>
      <c r="CN469">
        <f t="shared" si="96"/>
        <v>21.017550517884455</v>
      </c>
    </row>
    <row r="470" spans="4:92" x14ac:dyDescent="0.35">
      <c r="D470" s="1">
        <v>4.0702100000000002E-8</v>
      </c>
      <c r="E470">
        <v>42.202199999999998</v>
      </c>
      <c r="F470">
        <v>5.9468799999999999E-3</v>
      </c>
      <c r="G470">
        <v>8.78552</v>
      </c>
      <c r="I470" s="1">
        <v>4.0702100000000002E-8</v>
      </c>
      <c r="J470">
        <f t="shared" si="92"/>
        <v>7.490235663356179E-2</v>
      </c>
      <c r="K470">
        <v>3.1561520955530083E-5</v>
      </c>
      <c r="L470">
        <v>2.8883916778873826E-2</v>
      </c>
      <c r="N470" s="1">
        <v>4.0702100000000002E-8</v>
      </c>
      <c r="O470">
        <f t="shared" si="93"/>
        <v>3.1561520955530083E-5</v>
      </c>
      <c r="Q470" s="1">
        <v>4.0702100000000002E-8</v>
      </c>
      <c r="R470">
        <f t="shared" si="94"/>
        <v>2.8883916778873826E-2</v>
      </c>
      <c r="CH470" s="1">
        <v>3.76781E-8</v>
      </c>
      <c r="CI470">
        <v>1.5758799999999999</v>
      </c>
      <c r="CJ470">
        <f t="shared" si="95"/>
        <v>122.47582557454334</v>
      </c>
      <c r="CL470" s="1">
        <v>3.76781E-8</v>
      </c>
      <c r="CM470">
        <v>0.17191000000000001</v>
      </c>
      <c r="CN470">
        <f t="shared" si="96"/>
        <v>13.360674146838431</v>
      </c>
    </row>
    <row r="471" spans="4:92" x14ac:dyDescent="0.35">
      <c r="D471" s="1">
        <v>4.1229200000000002E-8</v>
      </c>
      <c r="E471">
        <v>42.718899999999998</v>
      </c>
      <c r="F471">
        <v>1.9797899999999999E-3</v>
      </c>
      <c r="G471">
        <v>8.9486799999999995</v>
      </c>
      <c r="I471" s="1">
        <v>4.1229200000000002E-8</v>
      </c>
      <c r="J471">
        <f t="shared" si="92"/>
        <v>7.5819418959046286E-2</v>
      </c>
      <c r="K471">
        <v>1.050722119372661E-5</v>
      </c>
      <c r="L471">
        <v>2.9420333503397934E-2</v>
      </c>
      <c r="N471" s="1">
        <v>4.1229200000000002E-8</v>
      </c>
      <c r="O471">
        <f t="shared" si="93"/>
        <v>1.050722119372661E-5</v>
      </c>
      <c r="Q471" s="1">
        <v>4.1229200000000002E-8</v>
      </c>
      <c r="R471">
        <f t="shared" si="94"/>
        <v>2.9420333503397934E-2</v>
      </c>
      <c r="CH471" s="1">
        <v>3.8165999999999999E-8</v>
      </c>
      <c r="CI471">
        <v>1.8576299999999999</v>
      </c>
      <c r="CJ471">
        <f t="shared" si="95"/>
        <v>144.37315522884924</v>
      </c>
      <c r="CL471" s="1">
        <v>3.8165999999999999E-8</v>
      </c>
      <c r="CM471">
        <v>0.19388</v>
      </c>
      <c r="CN471">
        <f t="shared" si="96"/>
        <v>15.068160686341892</v>
      </c>
    </row>
    <row r="472" spans="4:92" x14ac:dyDescent="0.35">
      <c r="D472" s="1">
        <v>4.1763199999999999E-8</v>
      </c>
      <c r="E472">
        <v>43.424700000000001</v>
      </c>
      <c r="F472">
        <v>0</v>
      </c>
      <c r="G472">
        <v>9.3471299999999999</v>
      </c>
      <c r="I472" s="1">
        <v>4.1763199999999999E-8</v>
      </c>
      <c r="J472">
        <f t="shared" si="92"/>
        <v>7.7072104442551123E-2</v>
      </c>
      <c r="K472">
        <v>0</v>
      </c>
      <c r="L472">
        <v>3.0730306804983076E-2</v>
      </c>
      <c r="N472" s="1">
        <v>4.1763199999999999E-8</v>
      </c>
      <c r="O472">
        <f t="shared" si="93"/>
        <v>0</v>
      </c>
      <c r="Q472" s="1">
        <v>4.1763199999999999E-8</v>
      </c>
      <c r="R472">
        <f t="shared" si="94"/>
        <v>3.0730306804983076E-2</v>
      </c>
      <c r="CH472" s="1">
        <v>3.86603E-8</v>
      </c>
      <c r="CI472">
        <v>2.51457</v>
      </c>
      <c r="CJ472">
        <f t="shared" si="95"/>
        <v>195.42987836318719</v>
      </c>
      <c r="CL472" s="1">
        <v>3.86603E-8</v>
      </c>
      <c r="CM472">
        <v>0.17213999999999999</v>
      </c>
      <c r="CN472">
        <f t="shared" si="96"/>
        <v>13.378549517984801</v>
      </c>
    </row>
    <row r="473" spans="4:92" x14ac:dyDescent="0.35">
      <c r="D473" s="1">
        <v>4.2303999999999999E-8</v>
      </c>
      <c r="E473">
        <v>44.438299999999998</v>
      </c>
      <c r="F473">
        <v>3.9855799999999999E-3</v>
      </c>
      <c r="G473">
        <v>9.4628800000000002</v>
      </c>
      <c r="I473" s="1">
        <v>4.2303999999999999E-8</v>
      </c>
      <c r="J473">
        <f t="shared" si="92"/>
        <v>7.8871087165816214E-2</v>
      </c>
      <c r="K473">
        <v>2.1152430634205094E-5</v>
      </c>
      <c r="L473">
        <v>3.1110854953203634E-2</v>
      </c>
      <c r="N473" s="1">
        <v>4.2303999999999999E-8</v>
      </c>
      <c r="O473">
        <f t="shared" si="93"/>
        <v>2.1152430634205094E-5</v>
      </c>
      <c r="Q473" s="1">
        <v>4.2303999999999999E-8</v>
      </c>
      <c r="R473">
        <f t="shared" si="94"/>
        <v>3.1110854953203634E-2</v>
      </c>
      <c r="CH473" s="1">
        <v>3.9160899999999997E-8</v>
      </c>
      <c r="CI473">
        <v>2.1455199999999999</v>
      </c>
      <c r="CJ473">
        <f t="shared" si="95"/>
        <v>166.74767957375829</v>
      </c>
      <c r="CL473" s="1">
        <v>3.9160899999999997E-8</v>
      </c>
      <c r="CM473">
        <v>0.15773000000000001</v>
      </c>
      <c r="CN473">
        <f t="shared" si="96"/>
        <v>12.258618656162094</v>
      </c>
    </row>
    <row r="474" spans="4:92" x14ac:dyDescent="0.35">
      <c r="D474" s="1">
        <v>4.2851800000000001E-8</v>
      </c>
      <c r="E474">
        <v>45.349600000000002</v>
      </c>
      <c r="F474">
        <v>6.0418099999999999E-3</v>
      </c>
      <c r="G474">
        <v>9.4163999999999994</v>
      </c>
      <c r="I474" s="1">
        <v>4.2851800000000001E-8</v>
      </c>
      <c r="J474">
        <f t="shared" si="92"/>
        <v>8.0488503262611297E-2</v>
      </c>
      <c r="K474">
        <v>3.2065337273382215E-5</v>
      </c>
      <c r="L474">
        <v>3.0958043912777788E-2</v>
      </c>
      <c r="N474" s="1">
        <v>4.2851800000000001E-8</v>
      </c>
      <c r="O474">
        <f t="shared" si="93"/>
        <v>3.2065337273382215E-5</v>
      </c>
      <c r="Q474" s="1">
        <v>4.2851800000000001E-8</v>
      </c>
      <c r="R474">
        <f t="shared" si="94"/>
        <v>3.0958043912777788E-2</v>
      </c>
      <c r="CH474" s="1">
        <v>3.96681E-8</v>
      </c>
      <c r="CI474">
        <v>1.7828599999999999</v>
      </c>
      <c r="CJ474">
        <f t="shared" si="95"/>
        <v>138.5621052261786</v>
      </c>
      <c r="CL474" s="1">
        <v>3.96681E-8</v>
      </c>
      <c r="CM474">
        <v>0.19366</v>
      </c>
      <c r="CN474">
        <f t="shared" si="96"/>
        <v>15.051062505245362</v>
      </c>
    </row>
    <row r="475" spans="4:92" x14ac:dyDescent="0.35">
      <c r="D475" s="1">
        <v>4.3406800000000002E-8</v>
      </c>
      <c r="E475">
        <v>46.174399999999999</v>
      </c>
      <c r="F475">
        <v>3.9734100000000001E-3</v>
      </c>
      <c r="G475">
        <v>10.0199</v>
      </c>
      <c r="I475" s="1">
        <v>4.3406800000000002E-8</v>
      </c>
      <c r="J475">
        <f t="shared" si="92"/>
        <v>8.1952395281306101E-2</v>
      </c>
      <c r="K475">
        <v>2.1087841520244699E-5</v>
      </c>
      <c r="L475">
        <v>3.2942154560303534E-2</v>
      </c>
      <c r="N475" s="1">
        <v>4.3406800000000002E-8</v>
      </c>
      <c r="O475">
        <f t="shared" si="93"/>
        <v>2.1087841520244699E-5</v>
      </c>
      <c r="Q475" s="1">
        <v>4.3406800000000002E-8</v>
      </c>
      <c r="R475">
        <f t="shared" si="94"/>
        <v>3.2942154560303534E-2</v>
      </c>
      <c r="CH475" s="1">
        <v>4.0181799999999998E-8</v>
      </c>
      <c r="CI475">
        <v>2.2150300000000001</v>
      </c>
      <c r="CJ475">
        <f t="shared" si="95"/>
        <v>172.1499276102119</v>
      </c>
      <c r="CL475" s="1">
        <v>4.0181799999999998E-8</v>
      </c>
      <c r="CM475">
        <v>0.14913999999999999</v>
      </c>
      <c r="CN475">
        <f t="shared" si="96"/>
        <v>11.591012403347586</v>
      </c>
    </row>
    <row r="476" spans="4:92" x14ac:dyDescent="0.35">
      <c r="D476" s="1">
        <v>4.3968900000000003E-8</v>
      </c>
      <c r="E476">
        <v>46.833100000000002</v>
      </c>
      <c r="F476">
        <v>2.0352399999999998E-3</v>
      </c>
      <c r="G476">
        <v>9.9963700000000006</v>
      </c>
      <c r="I476" s="1">
        <v>4.3968900000000003E-8</v>
      </c>
      <c r="J476">
        <f t="shared" si="92"/>
        <v>8.3121485573151702E-2</v>
      </c>
      <c r="K476">
        <v>1.0801507666126279E-5</v>
      </c>
      <c r="L476">
        <v>3.286479561492444E-2</v>
      </c>
      <c r="N476" s="1">
        <v>4.3968900000000003E-8</v>
      </c>
      <c r="O476">
        <f t="shared" si="93"/>
        <v>1.0801507666126279E-5</v>
      </c>
      <c r="Q476" s="1">
        <v>4.3968900000000003E-8</v>
      </c>
      <c r="R476">
        <f t="shared" si="94"/>
        <v>3.286479561492444E-2</v>
      </c>
      <c r="CH476" s="1">
        <v>4.0702100000000002E-8</v>
      </c>
      <c r="CI476">
        <v>2.4224700000000001</v>
      </c>
      <c r="CJ476">
        <f t="shared" si="95"/>
        <v>188.27195800413992</v>
      </c>
      <c r="CL476" s="1">
        <v>4.0702100000000002E-8</v>
      </c>
      <c r="CM476">
        <v>0.19797000000000001</v>
      </c>
      <c r="CN476">
        <f t="shared" si="96"/>
        <v>15.386031416727381</v>
      </c>
    </row>
    <row r="477" spans="4:92" x14ac:dyDescent="0.35">
      <c r="D477" s="1">
        <v>4.4538300000000001E-8</v>
      </c>
      <c r="E477">
        <v>47.594200000000001</v>
      </c>
      <c r="F477">
        <v>2.0485899999999999E-3</v>
      </c>
      <c r="G477">
        <v>10.1999</v>
      </c>
      <c r="I477" s="1">
        <v>4.4538300000000001E-8</v>
      </c>
      <c r="J477">
        <f t="shared" si="92"/>
        <v>8.4472319975950713E-2</v>
      </c>
      <c r="K477">
        <v>1.0872359323593105E-5</v>
      </c>
      <c r="L477">
        <v>3.3533935697925128E-2</v>
      </c>
      <c r="N477" s="1">
        <v>4.4538300000000001E-8</v>
      </c>
      <c r="O477">
        <f t="shared" si="93"/>
        <v>1.0872359323593105E-5</v>
      </c>
      <c r="Q477" s="1">
        <v>4.4538300000000001E-8</v>
      </c>
      <c r="R477">
        <f t="shared" si="94"/>
        <v>3.3533935697925128E-2</v>
      </c>
      <c r="CH477" s="1">
        <v>4.1229200000000002E-8</v>
      </c>
      <c r="CI477">
        <v>2.2189399999999999</v>
      </c>
      <c r="CJ477">
        <f t="shared" si="95"/>
        <v>172.45380891970021</v>
      </c>
      <c r="CL477" s="1">
        <v>4.1229200000000002E-8</v>
      </c>
      <c r="CM477">
        <v>0.20388999999999999</v>
      </c>
      <c r="CN477">
        <f t="shared" si="96"/>
        <v>15.846127926234002</v>
      </c>
    </row>
    <row r="478" spans="4:92" x14ac:dyDescent="0.35">
      <c r="D478" s="1">
        <v>4.5115100000000003E-8</v>
      </c>
      <c r="E478">
        <v>48.383800000000001</v>
      </c>
      <c r="F478">
        <v>6.0603200000000001E-3</v>
      </c>
      <c r="G478">
        <v>10.4923</v>
      </c>
      <c r="I478" s="1">
        <v>4.5115100000000003E-8</v>
      </c>
      <c r="J478">
        <f t="shared" si="92"/>
        <v>8.5873737456505297E-2</v>
      </c>
      <c r="K478">
        <v>3.2163574290589025E-5</v>
      </c>
      <c r="L478">
        <v>3.4495251279261542E-2</v>
      </c>
      <c r="N478" s="1">
        <v>4.5115100000000003E-8</v>
      </c>
      <c r="O478">
        <f t="shared" si="93"/>
        <v>3.2163574290589025E-5</v>
      </c>
      <c r="Q478" s="1">
        <v>4.5115100000000003E-8</v>
      </c>
      <c r="R478">
        <f t="shared" si="94"/>
        <v>3.4495251279261542E-2</v>
      </c>
      <c r="CH478" s="1">
        <v>4.1763199999999999E-8</v>
      </c>
      <c r="CI478">
        <v>2.2127400000000002</v>
      </c>
      <c r="CJ478">
        <f t="shared" si="95"/>
        <v>171.97195108879802</v>
      </c>
      <c r="CL478" s="1">
        <v>4.1763199999999999E-8</v>
      </c>
      <c r="CM478">
        <v>0.18362999999999999</v>
      </c>
      <c r="CN478">
        <f t="shared" si="96"/>
        <v>14.271540885253566</v>
      </c>
    </row>
    <row r="479" spans="4:92" x14ac:dyDescent="0.35">
      <c r="D479" s="1">
        <v>4.5699300000000001E-8</v>
      </c>
      <c r="E479">
        <v>49.778799999999997</v>
      </c>
      <c r="F479">
        <v>0</v>
      </c>
      <c r="G479">
        <v>10.6943</v>
      </c>
      <c r="I479" s="1">
        <v>4.5699300000000001E-8</v>
      </c>
      <c r="J479">
        <f t="shared" si="92"/>
        <v>8.8349645999278373E-2</v>
      </c>
      <c r="K479">
        <v>0</v>
      </c>
      <c r="L479">
        <v>3.5159361222592452E-2</v>
      </c>
      <c r="N479" s="1">
        <v>4.5699300000000001E-8</v>
      </c>
      <c r="O479">
        <f t="shared" si="93"/>
        <v>0</v>
      </c>
      <c r="Q479" s="1">
        <v>4.5699300000000001E-8</v>
      </c>
      <c r="R479">
        <f t="shared" si="94"/>
        <v>3.5159361222592452E-2</v>
      </c>
      <c r="CH479" s="1">
        <v>4.2303999999999999E-8</v>
      </c>
      <c r="CI479">
        <v>2.4067500000000002</v>
      </c>
      <c r="CJ479">
        <f t="shared" si="95"/>
        <v>187.05021524578788</v>
      </c>
      <c r="CL479" s="1">
        <v>4.2303999999999999E-8</v>
      </c>
      <c r="CM479">
        <v>0.18898999999999999</v>
      </c>
      <c r="CN479">
        <f t="shared" si="96"/>
        <v>14.688114751969023</v>
      </c>
    </row>
    <row r="480" spans="4:92" x14ac:dyDescent="0.35">
      <c r="D480" s="1">
        <v>4.62911E-8</v>
      </c>
      <c r="E480">
        <v>49.936100000000003</v>
      </c>
      <c r="F480">
        <v>4.03652E-3</v>
      </c>
      <c r="G480">
        <v>10.8614</v>
      </c>
      <c r="I480" s="1">
        <v>4.62911E-8</v>
      </c>
      <c r="J480">
        <f t="shared" si="92"/>
        <v>8.8628829091592518E-2</v>
      </c>
      <c r="K480">
        <v>2.1422781453033575E-5</v>
      </c>
      <c r="L480">
        <v>3.5708731378684494E-2</v>
      </c>
      <c r="N480" s="1">
        <v>4.62911E-8</v>
      </c>
      <c r="O480">
        <f t="shared" si="93"/>
        <v>2.1422781453033575E-5</v>
      </c>
      <c r="Q480" s="1">
        <v>4.62911E-8</v>
      </c>
      <c r="R480">
        <f t="shared" si="94"/>
        <v>3.5708731378684494E-2</v>
      </c>
      <c r="CH480" s="1">
        <v>4.2851800000000001E-8</v>
      </c>
      <c r="CI480">
        <v>2.7199900000000001</v>
      </c>
      <c r="CJ480">
        <f t="shared" si="95"/>
        <v>211.39491636704707</v>
      </c>
      <c r="CL480" s="1">
        <v>4.2851800000000001E-8</v>
      </c>
      <c r="CM480">
        <v>0.15939999999999999</v>
      </c>
      <c r="CN480">
        <f t="shared" si="96"/>
        <v>12.388409394485752</v>
      </c>
    </row>
    <row r="481" spans="4:92" x14ac:dyDescent="0.35">
      <c r="D481" s="1">
        <v>4.6890599999999998E-8</v>
      </c>
      <c r="E481">
        <v>51.966000000000001</v>
      </c>
      <c r="F481">
        <v>2.1137999999999999E-3</v>
      </c>
      <c r="G481">
        <v>11.245699999999999</v>
      </c>
      <c r="I481" s="1">
        <v>4.6890599999999998E-8</v>
      </c>
      <c r="J481">
        <f t="shared" si="92"/>
        <v>9.2231586619173231E-2</v>
      </c>
      <c r="K481">
        <v>1.1218444460927325E-5</v>
      </c>
      <c r="L481">
        <v>3.6972184107506599E-2</v>
      </c>
      <c r="N481" s="1">
        <v>4.6890599999999998E-8</v>
      </c>
      <c r="O481">
        <f t="shared" si="93"/>
        <v>1.1218444460927325E-5</v>
      </c>
      <c r="Q481" s="1">
        <v>4.6890599999999998E-8</v>
      </c>
      <c r="R481">
        <f t="shared" si="94"/>
        <v>3.6972184107506599E-2</v>
      </c>
      <c r="CH481" s="1">
        <v>4.3406800000000002E-8</v>
      </c>
      <c r="CI481">
        <v>2.47363</v>
      </c>
      <c r="CJ481">
        <f t="shared" si="95"/>
        <v>192.24806229913295</v>
      </c>
      <c r="CL481" s="1">
        <v>4.3406800000000002E-8</v>
      </c>
      <c r="CM481">
        <v>0.12783</v>
      </c>
      <c r="CN481">
        <f t="shared" si="96"/>
        <v>9.9348204071337118</v>
      </c>
    </row>
    <row r="482" spans="4:92" x14ac:dyDescent="0.35">
      <c r="D482" s="1">
        <v>4.7497800000000002E-8</v>
      </c>
      <c r="E482">
        <v>52.409500000000001</v>
      </c>
      <c r="F482">
        <v>6.2088999999999998E-3</v>
      </c>
      <c r="G482">
        <v>11.199</v>
      </c>
      <c r="I482" s="1">
        <v>4.7497800000000002E-8</v>
      </c>
      <c r="J482">
        <f t="shared" si="92"/>
        <v>9.3018730302843383E-2</v>
      </c>
      <c r="K482">
        <v>3.2952124048373386E-5</v>
      </c>
      <c r="L482">
        <v>3.6818649779023667E-2</v>
      </c>
      <c r="N482" s="1">
        <v>4.7497800000000002E-8</v>
      </c>
      <c r="O482">
        <f t="shared" si="93"/>
        <v>3.2952124048373386E-5</v>
      </c>
      <c r="Q482" s="1">
        <v>4.7497800000000002E-8</v>
      </c>
      <c r="R482">
        <f t="shared" si="94"/>
        <v>3.6818649779023667E-2</v>
      </c>
      <c r="CH482" s="1">
        <v>4.3968900000000003E-8</v>
      </c>
      <c r="CI482">
        <v>2.8664399999999999</v>
      </c>
      <c r="CJ482">
        <f t="shared" si="95"/>
        <v>222.77686464698706</v>
      </c>
      <c r="CL482" s="1">
        <v>4.3968900000000003E-8</v>
      </c>
      <c r="CM482">
        <v>0.16184999999999999</v>
      </c>
      <c r="CN482">
        <f t="shared" si="96"/>
        <v>12.578820956697108</v>
      </c>
    </row>
    <row r="483" spans="4:92" x14ac:dyDescent="0.35">
      <c r="D483" s="1">
        <v>4.8112900000000003E-8</v>
      </c>
      <c r="E483">
        <v>53.859400000000001</v>
      </c>
      <c r="F483">
        <v>0</v>
      </c>
      <c r="G483">
        <v>11.3834</v>
      </c>
      <c r="I483" s="1">
        <v>4.8112900000000003E-8</v>
      </c>
      <c r="J483">
        <f t="shared" si="92"/>
        <v>9.5592077826977234E-2</v>
      </c>
      <c r="K483">
        <v>0</v>
      </c>
      <c r="L483">
        <v>3.7424896677787124E-2</v>
      </c>
      <c r="N483" s="1">
        <v>4.8112900000000003E-8</v>
      </c>
      <c r="O483">
        <f t="shared" si="93"/>
        <v>0</v>
      </c>
      <c r="Q483" s="1">
        <v>4.8112900000000003E-8</v>
      </c>
      <c r="R483">
        <f t="shared" si="94"/>
        <v>3.7424896677787124E-2</v>
      </c>
      <c r="CH483" s="1">
        <v>4.4538300000000001E-8</v>
      </c>
      <c r="CI483">
        <v>2.5775100000000002</v>
      </c>
      <c r="CJ483">
        <f t="shared" si="95"/>
        <v>200.32151253689443</v>
      </c>
      <c r="CL483" s="1">
        <v>4.4538300000000001E-8</v>
      </c>
      <c r="CM483">
        <v>0.14629</v>
      </c>
      <c r="CN483">
        <f t="shared" si="96"/>
        <v>11.36951323914254</v>
      </c>
    </row>
    <row r="484" spans="4:92" x14ac:dyDescent="0.35">
      <c r="D484" s="1">
        <v>4.8736E-8</v>
      </c>
      <c r="E484">
        <v>55.188000000000002</v>
      </c>
      <c r="F484">
        <v>2.0862200000000002E-3</v>
      </c>
      <c r="G484">
        <v>11.577199999999999</v>
      </c>
      <c r="I484" s="1">
        <v>4.8736E-8</v>
      </c>
      <c r="J484">
        <f t="shared" si="92"/>
        <v>9.7950136672803986E-2</v>
      </c>
      <c r="K484">
        <v>1.1072070774565145E-5</v>
      </c>
      <c r="L484">
        <v>3.8062047702626375E-2</v>
      </c>
      <c r="N484" s="1">
        <v>4.8736E-8</v>
      </c>
      <c r="O484">
        <f t="shared" si="93"/>
        <v>1.1072070774565145E-5</v>
      </c>
      <c r="Q484" s="1">
        <v>4.8736E-8</v>
      </c>
      <c r="R484">
        <f t="shared" si="94"/>
        <v>3.8062047702626375E-2</v>
      </c>
      <c r="CH484" s="1">
        <v>4.5115100000000003E-8</v>
      </c>
      <c r="CI484">
        <v>2.7884600000000002</v>
      </c>
      <c r="CJ484">
        <f t="shared" si="95"/>
        <v>216.71633663831707</v>
      </c>
      <c r="CL484" s="1">
        <v>4.5115100000000003E-8</v>
      </c>
      <c r="CM484">
        <v>0.15592</v>
      </c>
      <c r="CN484">
        <f t="shared" si="96"/>
        <v>12.117947257140644</v>
      </c>
    </row>
    <row r="485" spans="4:92" x14ac:dyDescent="0.35">
      <c r="D485" s="1">
        <v>4.93671E-8</v>
      </c>
      <c r="E485">
        <v>55.436900000000001</v>
      </c>
      <c r="F485">
        <v>4.2348899999999998E-3</v>
      </c>
      <c r="G485">
        <v>11.7942</v>
      </c>
      <c r="I485" s="1">
        <v>4.93671E-8</v>
      </c>
      <c r="J485">
        <f t="shared" si="92"/>
        <v>9.8391895551869377E-2</v>
      </c>
      <c r="K485">
        <v>2.2475578703347772E-5</v>
      </c>
      <c r="L485">
        <v>3.8775472740759077E-2</v>
      </c>
      <c r="N485" s="1">
        <v>4.93671E-8</v>
      </c>
      <c r="O485">
        <f t="shared" si="93"/>
        <v>2.2475578703347772E-5</v>
      </c>
      <c r="Q485" s="1">
        <v>4.93671E-8</v>
      </c>
      <c r="R485">
        <f t="shared" si="94"/>
        <v>3.8775472740759077E-2</v>
      </c>
      <c r="CH485" s="1">
        <v>4.5699300000000001E-8</v>
      </c>
      <c r="CI485">
        <v>3.2033200000000002</v>
      </c>
      <c r="CJ485">
        <f t="shared" si="95"/>
        <v>248.95884304607341</v>
      </c>
      <c r="CL485" s="1">
        <v>4.5699300000000001E-8</v>
      </c>
      <c r="CM485">
        <v>0.12265</v>
      </c>
      <c r="CN485">
        <f t="shared" si="96"/>
        <v>9.5322359613154166</v>
      </c>
    </row>
    <row r="486" spans="4:92" x14ac:dyDescent="0.35">
      <c r="D486" s="1">
        <v>5.0006499999999998E-8</v>
      </c>
      <c r="E486">
        <v>56.313600000000001</v>
      </c>
      <c r="F486">
        <v>0</v>
      </c>
      <c r="G486">
        <v>12.155900000000001</v>
      </c>
      <c r="I486" s="1">
        <v>5.0006499999999998E-8</v>
      </c>
      <c r="J486">
        <f t="shared" si="92"/>
        <v>9.9947902017424359E-2</v>
      </c>
      <c r="K486">
        <v>0</v>
      </c>
      <c r="L486">
        <v>3.9964624060079813E-2</v>
      </c>
      <c r="N486" s="1">
        <v>5.0006499999999998E-8</v>
      </c>
      <c r="O486">
        <f t="shared" si="93"/>
        <v>0</v>
      </c>
      <c r="Q486" s="1">
        <v>5.0006499999999998E-8</v>
      </c>
      <c r="R486">
        <f t="shared" si="94"/>
        <v>3.9964624060079813E-2</v>
      </c>
      <c r="CH486" s="1">
        <v>4.62911E-8</v>
      </c>
      <c r="CI486">
        <v>2.9051800000000001</v>
      </c>
      <c r="CJ486">
        <f t="shared" si="95"/>
        <v>225.78769890007604</v>
      </c>
      <c r="CL486" s="1">
        <v>4.62911E-8</v>
      </c>
      <c r="CM486">
        <v>0.13152</v>
      </c>
      <c r="CN486">
        <f t="shared" si="96"/>
        <v>10.221603535525508</v>
      </c>
    </row>
    <row r="487" spans="4:92" x14ac:dyDescent="0.35">
      <c r="D487" s="1">
        <v>5.0653999999999998E-8</v>
      </c>
      <c r="E487">
        <v>57.5471</v>
      </c>
      <c r="F487">
        <v>0</v>
      </c>
      <c r="G487">
        <v>12.317600000000001</v>
      </c>
      <c r="I487" s="1">
        <v>5.0653999999999998E-8</v>
      </c>
      <c r="J487">
        <f t="shared" si="92"/>
        <v>0.10213717311958249</v>
      </c>
      <c r="K487">
        <v>0</v>
      </c>
      <c r="L487">
        <v>4.0496240782043218E-2</v>
      </c>
      <c r="N487" s="1">
        <v>5.0653999999999998E-8</v>
      </c>
      <c r="O487">
        <f t="shared" si="93"/>
        <v>0</v>
      </c>
      <c r="Q487" s="1">
        <v>5.0653999999999998E-8</v>
      </c>
      <c r="R487">
        <f t="shared" si="94"/>
        <v>4.0496240782043218E-2</v>
      </c>
      <c r="CH487" s="1">
        <v>4.6890599999999998E-8</v>
      </c>
      <c r="CI487">
        <v>2.7531099999999999</v>
      </c>
      <c r="CJ487">
        <f t="shared" si="95"/>
        <v>213.96896981212464</v>
      </c>
      <c r="CL487" s="1">
        <v>4.6890599999999998E-8</v>
      </c>
      <c r="CM487">
        <v>0.12202</v>
      </c>
      <c r="CN487">
        <f t="shared" si="96"/>
        <v>9.4832729881753544</v>
      </c>
    </row>
    <row r="488" spans="4:92" x14ac:dyDescent="0.35">
      <c r="D488" s="1">
        <v>5.1310000000000001E-8</v>
      </c>
      <c r="E488">
        <v>59.071800000000003</v>
      </c>
      <c r="F488">
        <v>2.0975199999999999E-3</v>
      </c>
      <c r="G488">
        <v>12.532400000000001</v>
      </c>
      <c r="I488" s="1">
        <v>5.1310000000000001E-8</v>
      </c>
      <c r="J488">
        <f t="shared" si="92"/>
        <v>0.10484327903726433</v>
      </c>
      <c r="K488">
        <v>1.1132042589499613E-5</v>
      </c>
      <c r="L488">
        <v>4.1202432939604988E-2</v>
      </c>
      <c r="N488" s="1">
        <v>5.1310000000000001E-8</v>
      </c>
      <c r="O488">
        <f t="shared" si="93"/>
        <v>1.1132042589499613E-5</v>
      </c>
      <c r="Q488" s="1">
        <v>5.1310000000000001E-8</v>
      </c>
      <c r="R488">
        <f t="shared" si="94"/>
        <v>4.1202432939604988E-2</v>
      </c>
      <c r="CH488" s="1">
        <v>4.7497800000000002E-8</v>
      </c>
      <c r="CI488">
        <v>3.0656699999999999</v>
      </c>
      <c r="CJ488">
        <f t="shared" si="95"/>
        <v>238.26082200999457</v>
      </c>
      <c r="CL488" s="1">
        <v>4.7497800000000002E-8</v>
      </c>
      <c r="CM488">
        <v>0.13014000000000001</v>
      </c>
      <c r="CN488">
        <f t="shared" si="96"/>
        <v>10.114351308647276</v>
      </c>
    </row>
    <row r="489" spans="4:92" x14ac:dyDescent="0.35">
      <c r="D489" s="1">
        <v>5.19745E-8</v>
      </c>
      <c r="E489">
        <v>60.456299999999999</v>
      </c>
      <c r="F489">
        <v>1.96984E-3</v>
      </c>
      <c r="G489">
        <v>13.130100000000001</v>
      </c>
      <c r="I489" s="1">
        <v>5.19745E-8</v>
      </c>
      <c r="J489">
        <f t="shared" si="92"/>
        <v>0.10730055170928535</v>
      </c>
      <c r="K489">
        <v>1.0454414153142721E-5</v>
      </c>
      <c r="L489">
        <v>4.3167475083807368E-2</v>
      </c>
      <c r="N489" s="1">
        <v>5.19745E-8</v>
      </c>
      <c r="O489">
        <f t="shared" si="93"/>
        <v>1.0454414153142721E-5</v>
      </c>
      <c r="Q489" s="1">
        <v>5.19745E-8</v>
      </c>
      <c r="R489">
        <f t="shared" si="94"/>
        <v>4.3167475083807368E-2</v>
      </c>
      <c r="CH489" s="1">
        <v>4.8112900000000003E-8</v>
      </c>
      <c r="CI489">
        <v>3.4163199999999998</v>
      </c>
      <c r="CJ489">
        <f t="shared" si="95"/>
        <v>265.51299110771367</v>
      </c>
      <c r="CL489" s="1">
        <v>4.8112900000000003E-8</v>
      </c>
      <c r="CM489">
        <v>0.16141</v>
      </c>
      <c r="CN489">
        <f t="shared" si="96"/>
        <v>12.544624594504048</v>
      </c>
    </row>
    <row r="490" spans="4:92" x14ac:dyDescent="0.35">
      <c r="D490" s="1">
        <v>5.2647600000000001E-8</v>
      </c>
      <c r="E490">
        <v>61.287500000000001</v>
      </c>
      <c r="F490">
        <v>0</v>
      </c>
      <c r="G490">
        <v>13.4068</v>
      </c>
      <c r="I490" s="1">
        <v>5.2647600000000001E-8</v>
      </c>
      <c r="J490">
        <f t="shared" si="92"/>
        <v>0.10877580273491474</v>
      </c>
      <c r="K490">
        <v>0</v>
      </c>
      <c r="L490">
        <v>4.407717419925123E-2</v>
      </c>
      <c r="N490" s="1">
        <v>5.2647600000000001E-8</v>
      </c>
      <c r="O490">
        <f t="shared" si="93"/>
        <v>0</v>
      </c>
      <c r="Q490" s="1">
        <v>5.2647600000000001E-8</v>
      </c>
      <c r="R490">
        <f t="shared" si="94"/>
        <v>4.407717419925123E-2</v>
      </c>
      <c r="CH490" s="1">
        <v>4.8736E-8</v>
      </c>
      <c r="CI490">
        <v>3.3668800000000001</v>
      </c>
      <c r="CJ490">
        <f t="shared" si="95"/>
        <v>261.67056350129354</v>
      </c>
      <c r="CL490" s="1">
        <v>4.8736E-8</v>
      </c>
      <c r="CM490">
        <v>0.12756000000000001</v>
      </c>
      <c r="CN490">
        <f t="shared" si="96"/>
        <v>9.9138362757879719</v>
      </c>
    </row>
    <row r="491" spans="4:92" x14ac:dyDescent="0.35">
      <c r="D491" s="1">
        <v>5.3329299999999997E-8</v>
      </c>
      <c r="E491">
        <v>62.668199999999999</v>
      </c>
      <c r="F491">
        <v>0</v>
      </c>
      <c r="G491">
        <v>13.2784</v>
      </c>
      <c r="I491" s="1">
        <v>5.3329299999999997E-8</v>
      </c>
      <c r="J491">
        <f t="shared" si="92"/>
        <v>0.11122633099656835</v>
      </c>
      <c r="K491">
        <v>0</v>
      </c>
      <c r="L491">
        <v>4.3655036987747822E-2</v>
      </c>
      <c r="N491" s="1">
        <v>5.3329299999999997E-8</v>
      </c>
      <c r="O491">
        <f t="shared" si="93"/>
        <v>0</v>
      </c>
      <c r="Q491" s="1">
        <v>5.3329299999999997E-8</v>
      </c>
      <c r="R491">
        <f t="shared" si="94"/>
        <v>4.3655036987747822E-2</v>
      </c>
      <c r="CH491" s="1">
        <v>4.93671E-8</v>
      </c>
      <c r="CI491">
        <v>3.2205499999999998</v>
      </c>
      <c r="CJ491">
        <f t="shared" si="95"/>
        <v>250.29794150195161</v>
      </c>
      <c r="CL491" s="1">
        <v>4.93671E-8</v>
      </c>
      <c r="CM491">
        <v>0.12583</v>
      </c>
      <c r="CN491">
        <f t="shared" si="96"/>
        <v>9.7793823971652589</v>
      </c>
    </row>
    <row r="492" spans="4:92" x14ac:dyDescent="0.35">
      <c r="D492" s="1">
        <v>5.4020000000000003E-8</v>
      </c>
      <c r="E492">
        <v>63.165700000000001</v>
      </c>
      <c r="F492">
        <v>0</v>
      </c>
      <c r="G492">
        <v>13.6639</v>
      </c>
      <c r="I492" s="1">
        <v>5.4020000000000003E-8</v>
      </c>
      <c r="J492">
        <f t="shared" si="92"/>
        <v>0.1121093163012491</v>
      </c>
      <c r="K492">
        <v>0</v>
      </c>
      <c r="L492">
        <v>4.4922434924154077E-2</v>
      </c>
      <c r="N492" s="1">
        <v>5.4020000000000003E-8</v>
      </c>
      <c r="O492">
        <f t="shared" si="93"/>
        <v>0</v>
      </c>
      <c r="Q492" s="1">
        <v>5.4020000000000003E-8</v>
      </c>
      <c r="R492">
        <f t="shared" si="94"/>
        <v>4.4922434924154077E-2</v>
      </c>
      <c r="CH492" s="1">
        <v>5.0006499999999998E-8</v>
      </c>
      <c r="CI492">
        <v>2.9848599999999998</v>
      </c>
      <c r="CJ492">
        <f t="shared" si="95"/>
        <v>231.98034921721921</v>
      </c>
      <c r="CL492" s="1">
        <v>5.0006499999999998E-8</v>
      </c>
      <c r="CM492">
        <v>0.13782</v>
      </c>
      <c r="CN492">
        <f t="shared" si="96"/>
        <v>10.711233266926138</v>
      </c>
    </row>
    <row r="493" spans="4:92" x14ac:dyDescent="0.35">
      <c r="D493" s="1">
        <v>5.4719500000000002E-8</v>
      </c>
      <c r="E493">
        <v>64.812600000000003</v>
      </c>
      <c r="F493">
        <v>2.1374100000000002E-3</v>
      </c>
      <c r="G493">
        <v>13.938000000000001</v>
      </c>
      <c r="I493" s="1">
        <v>5.4719500000000002E-8</v>
      </c>
      <c r="J493">
        <f t="shared" si="92"/>
        <v>0.11503230825758817</v>
      </c>
      <c r="K493">
        <v>1.1343748403458546E-5</v>
      </c>
      <c r="L493">
        <v>4.5823586089832294E-2</v>
      </c>
      <c r="N493" s="1">
        <v>5.4719500000000002E-8</v>
      </c>
      <c r="O493">
        <f t="shared" si="93"/>
        <v>1.1343748403458546E-5</v>
      </c>
      <c r="Q493" s="1">
        <v>5.4719500000000002E-8</v>
      </c>
      <c r="R493">
        <f t="shared" si="94"/>
        <v>4.5823586089832294E-2</v>
      </c>
      <c r="CH493" s="1">
        <v>5.0653999999999998E-8</v>
      </c>
      <c r="CI493">
        <v>3.62033</v>
      </c>
      <c r="CJ493">
        <f t="shared" si="95"/>
        <v>281.36844531454585</v>
      </c>
      <c r="CL493" s="1">
        <v>5.0653999999999998E-8</v>
      </c>
      <c r="CM493">
        <v>0.13572999999999999</v>
      </c>
      <c r="CN493">
        <f t="shared" si="96"/>
        <v>10.548800546509103</v>
      </c>
    </row>
    <row r="494" spans="4:92" x14ac:dyDescent="0.35">
      <c r="D494" s="1">
        <v>5.5428200000000003E-8</v>
      </c>
      <c r="E494">
        <v>66.213200000000001</v>
      </c>
      <c r="F494">
        <v>4.2656500000000002E-3</v>
      </c>
      <c r="G494">
        <v>14.1432</v>
      </c>
      <c r="I494" s="1">
        <v>5.5428200000000003E-8</v>
      </c>
      <c r="J494">
        <f t="shared" si="92"/>
        <v>0.11751815593142903</v>
      </c>
      <c r="K494">
        <v>2.2638829413735761E-5</v>
      </c>
      <c r="L494">
        <v>4.6498216586720917E-2</v>
      </c>
      <c r="N494" s="1">
        <v>5.5428200000000003E-8</v>
      </c>
      <c r="O494">
        <f t="shared" si="93"/>
        <v>2.2638829413735761E-5</v>
      </c>
      <c r="Q494" s="1">
        <v>5.5428200000000003E-8</v>
      </c>
      <c r="R494">
        <f t="shared" si="94"/>
        <v>4.6498216586720917E-2</v>
      </c>
      <c r="CH494" s="1">
        <v>5.1310000000000001E-8</v>
      </c>
      <c r="CI494">
        <v>3.3099400000000001</v>
      </c>
      <c r="CJ494">
        <f t="shared" si="95"/>
        <v>257.24524335749169</v>
      </c>
      <c r="CL494" s="1">
        <v>5.1310000000000001E-8</v>
      </c>
      <c r="CM494">
        <v>0.12867000000000001</v>
      </c>
      <c r="CN494">
        <f t="shared" si="96"/>
        <v>10.000104371320463</v>
      </c>
    </row>
    <row r="495" spans="4:92" x14ac:dyDescent="0.35">
      <c r="D495" s="1">
        <v>5.6145999999999999E-8</v>
      </c>
      <c r="E495">
        <v>67.306399999999996</v>
      </c>
      <c r="F495">
        <v>2.1452699999999999E-3</v>
      </c>
      <c r="G495">
        <v>14.372</v>
      </c>
      <c r="I495" s="1">
        <v>5.6145999999999999E-8</v>
      </c>
      <c r="J495">
        <f t="shared" si="92"/>
        <v>0.11945841630344303</v>
      </c>
      <c r="K495">
        <v>1.1385463311899688E-5</v>
      </c>
      <c r="L495">
        <v>4.7250436166097698E-2</v>
      </c>
      <c r="N495" s="1">
        <v>5.6145999999999999E-8</v>
      </c>
      <c r="O495">
        <f t="shared" si="93"/>
        <v>1.1385463311899688E-5</v>
      </c>
      <c r="Q495" s="1">
        <v>5.6145999999999999E-8</v>
      </c>
      <c r="R495">
        <f t="shared" si="94"/>
        <v>4.7250436166097698E-2</v>
      </c>
      <c r="CH495" s="1">
        <v>5.19745E-8</v>
      </c>
      <c r="CI495">
        <v>3.2799700000000001</v>
      </c>
      <c r="CJ495">
        <f t="shared" si="95"/>
        <v>254.9160047781144</v>
      </c>
      <c r="CL495" s="1">
        <v>5.19745E-8</v>
      </c>
      <c r="CM495">
        <v>0.12912999999999999</v>
      </c>
      <c r="CN495">
        <f t="shared" si="96"/>
        <v>10.035855113613207</v>
      </c>
    </row>
    <row r="496" spans="4:92" x14ac:dyDescent="0.35">
      <c r="D496" s="1">
        <v>5.6873000000000002E-8</v>
      </c>
      <c r="E496">
        <v>68.114599999999996</v>
      </c>
      <c r="F496">
        <v>0</v>
      </c>
      <c r="G496">
        <v>14.7142</v>
      </c>
      <c r="I496" s="1">
        <v>5.6873000000000002E-8</v>
      </c>
      <c r="J496">
        <f t="shared" si="92"/>
        <v>0.12089284589790125</v>
      </c>
      <c r="K496">
        <v>0</v>
      </c>
      <c r="L496">
        <v>4.8375477862176088E-2</v>
      </c>
      <c r="N496" s="1">
        <v>5.6873000000000002E-8</v>
      </c>
      <c r="O496">
        <f t="shared" si="93"/>
        <v>0</v>
      </c>
      <c r="Q496" s="1">
        <v>5.6873000000000002E-8</v>
      </c>
      <c r="R496">
        <f t="shared" si="94"/>
        <v>4.8375477862176088E-2</v>
      </c>
      <c r="CH496" s="1">
        <v>5.2647600000000001E-8</v>
      </c>
      <c r="CI496">
        <v>3.86477</v>
      </c>
      <c r="CJ496">
        <f t="shared" si="95"/>
        <v>300.36607889289024</v>
      </c>
      <c r="CL496" s="1">
        <v>5.2647600000000001E-8</v>
      </c>
      <c r="CM496">
        <v>0.12356</v>
      </c>
      <c r="CN496">
        <f t="shared" si="96"/>
        <v>9.6029602558510643</v>
      </c>
    </row>
    <row r="497" spans="4:92" x14ac:dyDescent="0.35">
      <c r="D497" s="1">
        <v>5.7609600000000003E-8</v>
      </c>
      <c r="E497">
        <v>69.064899999999994</v>
      </c>
      <c r="F497">
        <v>6.2611300000000002E-3</v>
      </c>
      <c r="G497">
        <v>15.105</v>
      </c>
      <c r="I497" s="1">
        <v>5.7609600000000003E-8</v>
      </c>
      <c r="J497">
        <f t="shared" si="92"/>
        <v>0.12257948094320395</v>
      </c>
      <c r="K497">
        <v>3.3229321207136867E-5</v>
      </c>
      <c r="L497">
        <v>4.9660300465412317E-2</v>
      </c>
      <c r="N497" s="1">
        <v>5.7609600000000003E-8</v>
      </c>
      <c r="O497">
        <f t="shared" si="93"/>
        <v>3.3229321207136867E-5</v>
      </c>
      <c r="Q497" s="1">
        <v>5.7609600000000003E-8</v>
      </c>
      <c r="R497">
        <f t="shared" si="94"/>
        <v>4.9660300465412317E-2</v>
      </c>
      <c r="CH497" s="1">
        <v>5.3329299999999997E-8</v>
      </c>
      <c r="CI497">
        <v>3.3257400000000001</v>
      </c>
      <c r="CJ497">
        <f t="shared" si="95"/>
        <v>258.47320363624249</v>
      </c>
      <c r="CL497" s="1">
        <v>5.3329299999999997E-8</v>
      </c>
      <c r="CM497">
        <v>0.15071000000000001</v>
      </c>
      <c r="CN497">
        <f t="shared" si="96"/>
        <v>11.713031241172823</v>
      </c>
    </row>
    <row r="498" spans="4:92" x14ac:dyDescent="0.35">
      <c r="D498" s="1">
        <v>5.8355600000000001E-8</v>
      </c>
      <c r="E498">
        <v>70.184600000000003</v>
      </c>
      <c r="F498">
        <v>8.6614199999999995E-3</v>
      </c>
      <c r="G498">
        <v>15.058400000000001</v>
      </c>
      <c r="I498" s="1">
        <v>5.8355600000000001E-8</v>
      </c>
      <c r="J498">
        <f t="shared" si="92"/>
        <v>0.1245667747033065</v>
      </c>
      <c r="K498">
        <v>4.5968236930062041E-5</v>
      </c>
      <c r="L498">
        <v>4.9507094904228062E-2</v>
      </c>
      <c r="N498" s="1">
        <v>5.8355600000000001E-8</v>
      </c>
      <c r="O498">
        <f t="shared" si="93"/>
        <v>4.5968236930062041E-5</v>
      </c>
      <c r="Q498" s="1">
        <v>5.8355600000000001E-8</v>
      </c>
      <c r="R498">
        <f t="shared" si="94"/>
        <v>4.9507094904228062E-2</v>
      </c>
      <c r="CH498" s="1">
        <v>5.4020000000000003E-8</v>
      </c>
      <c r="CI498">
        <v>3.7537799999999999</v>
      </c>
      <c r="CJ498">
        <f t="shared" si="95"/>
        <v>291.74004652969086</v>
      </c>
      <c r="CL498" s="1">
        <v>5.4020000000000003E-8</v>
      </c>
      <c r="CM498">
        <v>0.10391</v>
      </c>
      <c r="CN498">
        <f t="shared" si="96"/>
        <v>8.0757818079110066</v>
      </c>
    </row>
    <row r="499" spans="4:92" x14ac:dyDescent="0.35">
      <c r="D499" s="1">
        <v>5.9111300000000002E-8</v>
      </c>
      <c r="E499">
        <v>72.186199999999999</v>
      </c>
      <c r="F499">
        <v>4.2507200000000004E-3</v>
      </c>
      <c r="G499">
        <v>15.4956</v>
      </c>
      <c r="I499" s="1">
        <v>5.9111300000000002E-8</v>
      </c>
      <c r="J499">
        <f t="shared" si="92"/>
        <v>0.12811930412209835</v>
      </c>
      <c r="K499">
        <v>2.2559592316658627E-5</v>
      </c>
      <c r="L499">
        <v>5.0944465534051173E-2</v>
      </c>
      <c r="N499" s="1">
        <v>5.9111300000000002E-8</v>
      </c>
      <c r="O499">
        <f t="shared" si="93"/>
        <v>2.2559592316658627E-5</v>
      </c>
      <c r="Q499" s="1">
        <v>5.9111300000000002E-8</v>
      </c>
      <c r="R499">
        <f t="shared" si="94"/>
        <v>5.0944465534051173E-2</v>
      </c>
      <c r="CH499" s="1">
        <v>5.4719500000000002E-8</v>
      </c>
      <c r="CI499">
        <v>3.8596200000000001</v>
      </c>
      <c r="CJ499">
        <f t="shared" si="95"/>
        <v>299.96582601722145</v>
      </c>
      <c r="CL499" s="1">
        <v>5.4719500000000002E-8</v>
      </c>
      <c r="CM499">
        <v>0.10759000000000001</v>
      </c>
      <c r="CN499">
        <f t="shared" si="96"/>
        <v>8.3617877462529631</v>
      </c>
    </row>
    <row r="500" spans="4:92" x14ac:dyDescent="0.35">
      <c r="D500" s="1">
        <v>5.9876800000000003E-8</v>
      </c>
      <c r="E500">
        <v>73.015000000000001</v>
      </c>
      <c r="F500">
        <v>4.2102299999999997E-3</v>
      </c>
      <c r="G500">
        <v>16.057500000000001</v>
      </c>
      <c r="I500" s="1">
        <v>5.9876800000000003E-8</v>
      </c>
      <c r="J500">
        <f t="shared" si="92"/>
        <v>0.12959029552012727</v>
      </c>
      <c r="K500">
        <v>2.2344702158543878E-5</v>
      </c>
      <c r="L500">
        <v>5.2791808985326601E-2</v>
      </c>
      <c r="N500" s="1">
        <v>5.9876800000000003E-8</v>
      </c>
      <c r="O500">
        <f t="shared" si="93"/>
        <v>2.2344702158543878E-5</v>
      </c>
      <c r="Q500" s="1">
        <v>5.9876800000000003E-8</v>
      </c>
      <c r="R500">
        <f t="shared" si="94"/>
        <v>5.2791808985326601E-2</v>
      </c>
      <c r="CH500" s="1">
        <v>5.5428200000000003E-8</v>
      </c>
      <c r="CI500">
        <v>3.9888400000000002</v>
      </c>
      <c r="CJ500">
        <f t="shared" si="95"/>
        <v>310.00867584128326</v>
      </c>
      <c r="CL500" s="1">
        <v>5.5428200000000003E-8</v>
      </c>
      <c r="CM500">
        <v>0.13635</v>
      </c>
      <c r="CN500">
        <f t="shared" si="96"/>
        <v>10.596986329599325</v>
      </c>
    </row>
    <row r="501" spans="4:92" x14ac:dyDescent="0.35">
      <c r="D501" s="1">
        <v>6.0652200000000004E-8</v>
      </c>
      <c r="E501">
        <v>74.844099999999997</v>
      </c>
      <c r="F501">
        <v>6.4375400000000003E-3</v>
      </c>
      <c r="G501">
        <v>16.290299999999998</v>
      </c>
      <c r="I501" s="1">
        <v>6.0652200000000004E-8</v>
      </c>
      <c r="J501">
        <f t="shared" si="92"/>
        <v>0.13283666420513535</v>
      </c>
      <c r="K501">
        <v>3.416557146134833E-5</v>
      </c>
      <c r="L501">
        <v>5.3557179256650524E-2</v>
      </c>
      <c r="N501" s="1">
        <v>6.0652200000000004E-8</v>
      </c>
      <c r="O501">
        <f t="shared" si="93"/>
        <v>3.416557146134833E-5</v>
      </c>
      <c r="Q501" s="1">
        <v>6.0652200000000004E-8</v>
      </c>
      <c r="R501">
        <f t="shared" si="94"/>
        <v>5.3557179256650524E-2</v>
      </c>
      <c r="CH501" s="1">
        <v>5.6145999999999999E-8</v>
      </c>
      <c r="CI501">
        <v>4.4348900000000002</v>
      </c>
      <c r="CJ501">
        <f t="shared" si="95"/>
        <v>344.67523801449761</v>
      </c>
      <c r="CL501" s="1">
        <v>5.6145999999999999E-8</v>
      </c>
      <c r="CM501">
        <v>0.11913</v>
      </c>
      <c r="CN501">
        <f t="shared" si="96"/>
        <v>9.2586650637709393</v>
      </c>
    </row>
    <row r="502" spans="4:92" x14ac:dyDescent="0.35">
      <c r="D502" s="1">
        <v>6.1437699999999994E-8</v>
      </c>
      <c r="E502">
        <v>75.403300000000002</v>
      </c>
      <c r="F502">
        <v>4.3587699999999997E-3</v>
      </c>
      <c r="G502">
        <v>16.4877</v>
      </c>
      <c r="I502" s="1">
        <v>6.1437699999999994E-8</v>
      </c>
      <c r="J502">
        <f t="shared" si="92"/>
        <v>0.13382915743604482</v>
      </c>
      <c r="K502">
        <v>2.3133039626717852E-5</v>
      </c>
      <c r="L502">
        <v>5.4206165904242209E-2</v>
      </c>
      <c r="N502" s="1">
        <v>6.1437699999999994E-8</v>
      </c>
      <c r="O502">
        <f t="shared" si="93"/>
        <v>2.3133039626717852E-5</v>
      </c>
      <c r="Q502" s="1">
        <v>6.1437699999999994E-8</v>
      </c>
      <c r="R502">
        <f t="shared" si="94"/>
        <v>5.4206165904242209E-2</v>
      </c>
      <c r="CH502" s="1">
        <v>5.6873000000000002E-8</v>
      </c>
      <c r="CI502">
        <v>3.72526</v>
      </c>
      <c r="CJ502">
        <f t="shared" si="95"/>
        <v>289.52350050754075</v>
      </c>
      <c r="CL502" s="1">
        <v>5.6873000000000002E-8</v>
      </c>
      <c r="CM502">
        <v>0.12111</v>
      </c>
      <c r="CN502">
        <f t="shared" si="96"/>
        <v>9.4125486936397085</v>
      </c>
    </row>
    <row r="503" spans="4:92" x14ac:dyDescent="0.35">
      <c r="D503" s="1">
        <v>6.2233300000000002E-8</v>
      </c>
      <c r="E503">
        <v>76.373400000000004</v>
      </c>
      <c r="F503">
        <v>0</v>
      </c>
      <c r="G503">
        <v>16.547599999999999</v>
      </c>
      <c r="I503" s="1">
        <v>6.2233300000000002E-8</v>
      </c>
      <c r="J503">
        <f t="shared" si="92"/>
        <v>0.13555093440905139</v>
      </c>
      <c r="K503">
        <v>0</v>
      </c>
      <c r="L503">
        <v>5.4403097516150724E-2</v>
      </c>
      <c r="N503" s="1">
        <v>6.2233300000000002E-8</v>
      </c>
      <c r="O503">
        <f t="shared" si="93"/>
        <v>0</v>
      </c>
      <c r="Q503" s="1">
        <v>6.2233300000000002E-8</v>
      </c>
      <c r="R503">
        <f t="shared" si="94"/>
        <v>5.4403097516150724E-2</v>
      </c>
      <c r="CH503" s="1">
        <v>5.7609600000000003E-8</v>
      </c>
      <c r="CI503">
        <v>3.5564200000000001</v>
      </c>
      <c r="CJ503">
        <f t="shared" si="95"/>
        <v>276.40142370600392</v>
      </c>
      <c r="CL503" s="1">
        <v>5.7609600000000003E-8</v>
      </c>
      <c r="CM503">
        <v>0.18698999999999999</v>
      </c>
      <c r="CN503">
        <f t="shared" si="96"/>
        <v>14.53267674200057</v>
      </c>
    </row>
    <row r="504" spans="4:92" x14ac:dyDescent="0.35">
      <c r="D504" s="1">
        <v>6.3039199999999997E-8</v>
      </c>
      <c r="E504">
        <v>78.242000000000004</v>
      </c>
      <c r="F504">
        <v>2.2676200000000001E-3</v>
      </c>
      <c r="G504">
        <v>16.9114</v>
      </c>
      <c r="I504" s="1">
        <v>6.3039199999999997E-8</v>
      </c>
      <c r="J504">
        <f t="shared" si="92"/>
        <v>0.13886740946498388</v>
      </c>
      <c r="K504">
        <v>1.203480415767245E-5</v>
      </c>
      <c r="L504">
        <v>5.5599152948743714E-2</v>
      </c>
      <c r="N504" s="1">
        <v>6.3039199999999997E-8</v>
      </c>
      <c r="O504">
        <f t="shared" si="93"/>
        <v>1.203480415767245E-5</v>
      </c>
      <c r="Q504" s="1">
        <v>6.3039199999999997E-8</v>
      </c>
      <c r="R504">
        <f t="shared" si="94"/>
        <v>5.5599152948743714E-2</v>
      </c>
      <c r="CH504" s="1">
        <v>5.8355600000000001E-8</v>
      </c>
      <c r="CI504">
        <v>4.1234500000000001</v>
      </c>
      <c r="CJ504">
        <f t="shared" si="95"/>
        <v>320.47043110221</v>
      </c>
      <c r="CL504" s="1">
        <v>5.8355600000000001E-8</v>
      </c>
      <c r="CM504">
        <v>0.13811999999999999</v>
      </c>
      <c r="CN504">
        <f t="shared" si="96"/>
        <v>10.734548968421405</v>
      </c>
    </row>
    <row r="505" spans="4:92" x14ac:dyDescent="0.35">
      <c r="D505" s="1">
        <v>6.3855600000000004E-8</v>
      </c>
      <c r="E505">
        <v>79.749300000000005</v>
      </c>
      <c r="F505">
        <v>0</v>
      </c>
      <c r="G505">
        <v>17.192499999999999</v>
      </c>
      <c r="I505" s="1">
        <v>6.3855600000000004E-8</v>
      </c>
      <c r="J505">
        <f t="shared" si="92"/>
        <v>0.14154263308256229</v>
      </c>
      <c r="K505">
        <v>0</v>
      </c>
      <c r="L505">
        <v>5.652331782532944E-2</v>
      </c>
      <c r="N505" s="1">
        <v>6.3855600000000004E-8</v>
      </c>
      <c r="O505">
        <f t="shared" si="93"/>
        <v>0</v>
      </c>
      <c r="Q505" s="1">
        <v>6.3855600000000004E-8</v>
      </c>
      <c r="R505">
        <f t="shared" si="94"/>
        <v>5.652331782532944E-2</v>
      </c>
      <c r="CH505" s="1">
        <v>5.9111300000000002E-8</v>
      </c>
      <c r="CI505">
        <v>3.8271500000000001</v>
      </c>
      <c r="CJ505">
        <f t="shared" si="95"/>
        <v>297.44228992538359</v>
      </c>
      <c r="CL505" s="1">
        <v>5.9111300000000002E-8</v>
      </c>
      <c r="CM505">
        <v>0.11439000000000001</v>
      </c>
      <c r="CN505">
        <f t="shared" si="96"/>
        <v>8.8902769801457051</v>
      </c>
    </row>
    <row r="506" spans="4:92" x14ac:dyDescent="0.35">
      <c r="D506" s="1">
        <v>6.4682499999999997E-8</v>
      </c>
      <c r="E506">
        <v>80.571899999999999</v>
      </c>
      <c r="F506">
        <v>6.4853000000000003E-3</v>
      </c>
      <c r="G506">
        <v>17.5076</v>
      </c>
      <c r="I506" s="1">
        <v>6.4682499999999997E-8</v>
      </c>
      <c r="J506">
        <f t="shared" si="92"/>
        <v>0.14300262044262332</v>
      </c>
      <c r="K506">
        <v>3.4419045256151003E-5</v>
      </c>
      <c r="L506">
        <v>5.7559263583465914E-2</v>
      </c>
      <c r="N506" s="1">
        <v>6.4682499999999997E-8</v>
      </c>
      <c r="O506">
        <f t="shared" si="93"/>
        <v>3.4419045256151003E-5</v>
      </c>
      <c r="Q506" s="1">
        <v>6.4682499999999997E-8</v>
      </c>
      <c r="R506">
        <f t="shared" si="94"/>
        <v>5.7559263583465914E-2</v>
      </c>
      <c r="CH506" s="1">
        <v>5.9876800000000003E-8</v>
      </c>
      <c r="CI506">
        <v>4.2565099999999996</v>
      </c>
      <c r="CJ506">
        <f t="shared" si="95"/>
        <v>330.81172190541122</v>
      </c>
      <c r="CL506" s="1">
        <v>5.9876800000000003E-8</v>
      </c>
      <c r="CM506">
        <v>0.10721</v>
      </c>
      <c r="CN506">
        <f t="shared" si="96"/>
        <v>8.3322545243589552</v>
      </c>
    </row>
    <row r="507" spans="4:92" x14ac:dyDescent="0.35">
      <c r="D507" s="1">
        <v>6.5520200000000005E-8</v>
      </c>
      <c r="E507">
        <v>82.4452</v>
      </c>
      <c r="F507">
        <v>6.5652999999999996E-3</v>
      </c>
      <c r="G507">
        <v>17.787600000000001</v>
      </c>
      <c r="I507" s="1">
        <v>6.5520200000000005E-8</v>
      </c>
      <c r="J507">
        <f t="shared" si="92"/>
        <v>0.14632743726927339</v>
      </c>
      <c r="K507">
        <v>3.4843624476925992E-5</v>
      </c>
      <c r="L507">
        <v>5.8479812019766174E-2</v>
      </c>
      <c r="N507" s="1">
        <v>6.5520200000000005E-8</v>
      </c>
      <c r="O507">
        <f t="shared" si="93"/>
        <v>3.4843624476925992E-5</v>
      </c>
      <c r="Q507" s="1">
        <v>6.5520200000000005E-8</v>
      </c>
      <c r="R507">
        <f t="shared" si="94"/>
        <v>5.8479812019766174E-2</v>
      </c>
      <c r="CH507" s="1">
        <v>6.0652200000000004E-8</v>
      </c>
      <c r="CI507">
        <v>4.7683600000000004</v>
      </c>
      <c r="CJ507">
        <f t="shared" si="95"/>
        <v>370.59219460658773</v>
      </c>
      <c r="CL507" s="1">
        <v>6.0652200000000004E-8</v>
      </c>
      <c r="CM507">
        <v>0.11336</v>
      </c>
      <c r="CN507">
        <f t="shared" si="96"/>
        <v>8.8102264050119512</v>
      </c>
    </row>
    <row r="508" spans="4:92" x14ac:dyDescent="0.35">
      <c r="D508" s="1">
        <v>6.6368700000000001E-8</v>
      </c>
      <c r="E508">
        <v>83.838499999999996</v>
      </c>
      <c r="F508">
        <v>8.6682800000000004E-3</v>
      </c>
      <c r="G508">
        <v>18.2317</v>
      </c>
      <c r="I508" s="1">
        <v>6.6368700000000001E-8</v>
      </c>
      <c r="J508">
        <f t="shared" si="92"/>
        <v>0.14880032857582948</v>
      </c>
      <c r="K508">
        <v>4.6004644598243504E-5</v>
      </c>
      <c r="L508">
        <v>5.9939867593198123E-2</v>
      </c>
      <c r="N508" s="1">
        <v>6.6368700000000001E-8</v>
      </c>
      <c r="O508">
        <f t="shared" si="93"/>
        <v>4.6004644598243504E-5</v>
      </c>
      <c r="Q508" s="1">
        <v>6.6368700000000001E-8</v>
      </c>
      <c r="R508">
        <f t="shared" si="94"/>
        <v>5.9939867593198123E-2</v>
      </c>
      <c r="CH508" s="1">
        <v>6.1437699999999994E-8</v>
      </c>
      <c r="CI508">
        <v>4.1805199999999996</v>
      </c>
      <c r="CJ508">
        <f t="shared" si="95"/>
        <v>324.9058547166598</v>
      </c>
      <c r="CL508" s="1">
        <v>6.1437699999999994E-8</v>
      </c>
      <c r="CM508">
        <v>0.11502</v>
      </c>
      <c r="CN508">
        <f t="shared" si="96"/>
        <v>8.9392399532857674</v>
      </c>
    </row>
    <row r="509" spans="4:92" x14ac:dyDescent="0.35">
      <c r="D509" s="1">
        <v>6.7228100000000004E-8</v>
      </c>
      <c r="E509">
        <v>85.203000000000003</v>
      </c>
      <c r="F509">
        <v>1.3114799999999999E-2</v>
      </c>
      <c r="G509">
        <v>18.5273</v>
      </c>
      <c r="I509" s="1">
        <v>6.7228100000000004E-8</v>
      </c>
      <c r="J509">
        <f t="shared" si="92"/>
        <v>0.15122210435117994</v>
      </c>
      <c r="K509">
        <v>6.9603394557748931E-5</v>
      </c>
      <c r="L509">
        <v>6.0911703728092258E-2</v>
      </c>
      <c r="N509" s="1">
        <v>6.7228100000000004E-8</v>
      </c>
      <c r="O509">
        <f t="shared" si="93"/>
        <v>6.9603394557748931E-5</v>
      </c>
      <c r="Q509" s="1">
        <v>6.7228100000000004E-8</v>
      </c>
      <c r="R509">
        <f t="shared" si="94"/>
        <v>6.0911703728092258E-2</v>
      </c>
      <c r="CH509" s="1">
        <v>6.2233300000000002E-8</v>
      </c>
      <c r="CI509">
        <v>4.5677199999999996</v>
      </c>
      <c r="CJ509">
        <f t="shared" si="95"/>
        <v>354.9986534465524</v>
      </c>
      <c r="CL509" s="1">
        <v>6.2233300000000002E-8</v>
      </c>
      <c r="CM509">
        <v>0.11314</v>
      </c>
      <c r="CN509">
        <f t="shared" si="96"/>
        <v>8.7931282239154207</v>
      </c>
    </row>
    <row r="510" spans="4:92" x14ac:dyDescent="0.35">
      <c r="D510" s="1">
        <v>6.8098700000000003E-8</v>
      </c>
      <c r="E510">
        <v>86.677599999999998</v>
      </c>
      <c r="F510">
        <v>1.09322E-2</v>
      </c>
      <c r="G510">
        <v>18.586500000000001</v>
      </c>
      <c r="I510" s="1">
        <v>6.8098700000000003E-8</v>
      </c>
      <c r="J510">
        <f t="shared" si="92"/>
        <v>0.15383929054270196</v>
      </c>
      <c r="K510">
        <v>5.8019811966955113E-5</v>
      </c>
      <c r="L510">
        <v>6.1106333968910027E-2</v>
      </c>
      <c r="N510" s="1">
        <v>6.8098700000000003E-8</v>
      </c>
      <c r="O510">
        <f t="shared" si="93"/>
        <v>5.8019811966955113E-5</v>
      </c>
      <c r="Q510" s="1">
        <v>6.8098700000000003E-8</v>
      </c>
      <c r="R510">
        <f t="shared" si="94"/>
        <v>6.1106333968910027E-2</v>
      </c>
      <c r="CH510" s="1">
        <v>6.3039199999999997E-8</v>
      </c>
      <c r="CI510">
        <v>4.8929499999999999</v>
      </c>
      <c r="CJ510">
        <f t="shared" si="95"/>
        <v>380.27520543757254</v>
      </c>
      <c r="CL510" s="1">
        <v>6.3039199999999997E-8</v>
      </c>
      <c r="CM510">
        <v>0.10224999999999999</v>
      </c>
      <c r="CN510">
        <f t="shared" si="96"/>
        <v>7.9467682596371905</v>
      </c>
    </row>
    <row r="511" spans="4:92" x14ac:dyDescent="0.35">
      <c r="D511" s="1">
        <v>6.8980600000000006E-8</v>
      </c>
      <c r="E511">
        <v>87.438500000000005</v>
      </c>
      <c r="F511">
        <v>1.0799E-2</v>
      </c>
      <c r="G511">
        <v>18.758700000000001</v>
      </c>
      <c r="I511" s="1">
        <v>6.8980600000000006E-8</v>
      </c>
      <c r="J511">
        <f t="shared" si="92"/>
        <v>0.15518976997653425</v>
      </c>
      <c r="K511">
        <v>5.731288756436474E-5</v>
      </c>
      <c r="L511">
        <v>6.1672471257234698E-2</v>
      </c>
      <c r="N511" s="1">
        <v>6.8980600000000006E-8</v>
      </c>
      <c r="O511">
        <f t="shared" si="93"/>
        <v>5.731288756436474E-5</v>
      </c>
      <c r="Q511" s="1">
        <v>6.8980600000000006E-8</v>
      </c>
      <c r="R511">
        <f t="shared" si="94"/>
        <v>6.1672471257234698E-2</v>
      </c>
      <c r="CH511" s="1">
        <v>6.3855600000000004E-8</v>
      </c>
      <c r="CI511">
        <v>5.03714</v>
      </c>
      <c r="CJ511">
        <f t="shared" si="95"/>
        <v>391.48150876624823</v>
      </c>
      <c r="CL511" s="1">
        <v>6.3855600000000004E-8</v>
      </c>
      <c r="CM511">
        <v>9.8030000000000006E-2</v>
      </c>
      <c r="CN511">
        <f t="shared" si="96"/>
        <v>7.6187940586037541</v>
      </c>
    </row>
    <row r="512" spans="4:92" x14ac:dyDescent="0.35">
      <c r="D512" s="1">
        <v>6.9873900000000002E-8</v>
      </c>
      <c r="E512">
        <v>88.310599999999994</v>
      </c>
      <c r="F512">
        <v>2.1579400000000001E-3</v>
      </c>
      <c r="G512">
        <v>19.272200000000002</v>
      </c>
      <c r="I512" s="1">
        <v>6.9873900000000002E-8</v>
      </c>
      <c r="J512">
        <f t="shared" si="92"/>
        <v>0.15673761215585497</v>
      </c>
      <c r="K512">
        <v>1.1452706045989929E-5</v>
      </c>
      <c r="L512">
        <v>6.336069133594964E-2</v>
      </c>
      <c r="N512" s="1">
        <v>6.9873900000000002E-8</v>
      </c>
      <c r="O512">
        <f t="shared" si="93"/>
        <v>1.1452706045989929E-5</v>
      </c>
      <c r="Q512" s="1">
        <v>6.9873900000000002E-8</v>
      </c>
      <c r="R512">
        <f t="shared" si="94"/>
        <v>6.336069133594964E-2</v>
      </c>
      <c r="CH512" s="1">
        <v>6.4682499999999997E-8</v>
      </c>
      <c r="CI512">
        <v>4.8726200000000004</v>
      </c>
      <c r="CJ512">
        <f t="shared" si="95"/>
        <v>378.69517806624322</v>
      </c>
      <c r="CL512" s="1">
        <v>6.4682499999999997E-8</v>
      </c>
      <c r="CM512">
        <v>0.13098000000000001</v>
      </c>
      <c r="CN512">
        <f t="shared" si="96"/>
        <v>10.179635272834028</v>
      </c>
    </row>
    <row r="513" spans="4:92" x14ac:dyDescent="0.35">
      <c r="D513" s="1">
        <v>7.0778800000000004E-8</v>
      </c>
      <c r="E513">
        <v>90.774900000000002</v>
      </c>
      <c r="F513">
        <v>6.5212999999999998E-3</v>
      </c>
      <c r="G513">
        <v>19.8124</v>
      </c>
      <c r="I513" s="1">
        <v>7.0778800000000004E-8</v>
      </c>
      <c r="J513">
        <f t="shared" si="92"/>
        <v>0.16111136227912073</v>
      </c>
      <c r="K513">
        <v>3.4610105905499745E-5</v>
      </c>
      <c r="L513">
        <v>6.5136692283411776E-2</v>
      </c>
      <c r="N513" s="1">
        <v>7.0778800000000004E-8</v>
      </c>
      <c r="O513">
        <f t="shared" si="93"/>
        <v>3.4610105905499745E-5</v>
      </c>
      <c r="Q513" s="1">
        <v>7.0778800000000004E-8</v>
      </c>
      <c r="R513">
        <f t="shared" si="94"/>
        <v>6.5136692283411776E-2</v>
      </c>
      <c r="CH513" s="1">
        <v>6.5520200000000005E-8</v>
      </c>
      <c r="CI513">
        <v>5.0705099999999996</v>
      </c>
      <c r="CJ513">
        <f t="shared" si="95"/>
        <v>394.0749919625718</v>
      </c>
      <c r="CL513" s="1">
        <v>6.5520200000000005E-8</v>
      </c>
      <c r="CM513">
        <v>0.11396000000000001</v>
      </c>
      <c r="CN513">
        <f t="shared" si="96"/>
        <v>8.8568578080024878</v>
      </c>
    </row>
    <row r="514" spans="4:92" x14ac:dyDescent="0.35">
      <c r="D514" s="1">
        <v>7.1695400000000003E-8</v>
      </c>
      <c r="E514">
        <v>91.701300000000003</v>
      </c>
      <c r="F514">
        <v>1.12648E-2</v>
      </c>
      <c r="G514">
        <v>20.225899999999999</v>
      </c>
      <c r="I514" s="1">
        <v>7.1695400000000003E-8</v>
      </c>
      <c r="J514">
        <f t="shared" si="92"/>
        <v>0.1627555785329021</v>
      </c>
      <c r="K514">
        <v>5.9785000077327153E-5</v>
      </c>
      <c r="L514">
        <v>6.6496145063448045E-2</v>
      </c>
      <c r="N514" s="1">
        <v>7.1695400000000003E-8</v>
      </c>
      <c r="O514">
        <f t="shared" si="93"/>
        <v>5.9785000077327153E-5</v>
      </c>
      <c r="Q514" s="1">
        <v>7.1695400000000003E-8</v>
      </c>
      <c r="R514">
        <f t="shared" si="94"/>
        <v>6.6496145063448045E-2</v>
      </c>
      <c r="CH514" s="1">
        <v>6.6368700000000001E-8</v>
      </c>
      <c r="CI514">
        <v>5.3740500000000004</v>
      </c>
      <c r="CJ514">
        <f t="shared" si="95"/>
        <v>417.66581873548409</v>
      </c>
      <c r="CL514" s="1">
        <v>6.6368700000000001E-8</v>
      </c>
      <c r="CM514">
        <v>0.10186000000000001</v>
      </c>
      <c r="CN514">
        <f t="shared" si="96"/>
        <v>7.9164578476933425</v>
      </c>
    </row>
    <row r="515" spans="4:92" x14ac:dyDescent="0.35">
      <c r="D515" s="1">
        <v>7.2623899999999997E-8</v>
      </c>
      <c r="E515">
        <v>92.892600000000002</v>
      </c>
      <c r="F515">
        <v>1.0967599999999999E-2</v>
      </c>
      <c r="G515">
        <v>20.357199999999999</v>
      </c>
      <c r="I515" s="1">
        <v>7.2623899999999997E-8</v>
      </c>
      <c r="J515">
        <f t="shared" si="92"/>
        <v>0.16486995118308531</v>
      </c>
      <c r="K515">
        <v>5.8207688272148036E-5</v>
      </c>
      <c r="L515">
        <v>6.6927816526613143E-2</v>
      </c>
      <c r="N515" s="1">
        <v>7.2623899999999997E-8</v>
      </c>
      <c r="O515">
        <f t="shared" si="93"/>
        <v>5.8207688272148036E-5</v>
      </c>
      <c r="Q515" s="1">
        <v>7.2623899999999997E-8</v>
      </c>
      <c r="R515">
        <f t="shared" si="94"/>
        <v>6.6927816526613143E-2</v>
      </c>
      <c r="CH515" s="1">
        <v>6.7228100000000004E-8</v>
      </c>
      <c r="CI515">
        <v>5.3257300000000001</v>
      </c>
      <c r="CJ515">
        <f t="shared" si="95"/>
        <v>413.9104364146462</v>
      </c>
      <c r="CL515" s="1">
        <v>6.7228100000000004E-8</v>
      </c>
      <c r="CM515">
        <v>9.9199999999999997E-2</v>
      </c>
      <c r="CN515">
        <f t="shared" si="96"/>
        <v>7.709725294435299</v>
      </c>
    </row>
    <row r="516" spans="4:92" x14ac:dyDescent="0.35">
      <c r="D516" s="1">
        <v>7.3564400000000005E-8</v>
      </c>
      <c r="E516">
        <v>94.174199999999999</v>
      </c>
      <c r="F516">
        <v>9.0578700000000009E-3</v>
      </c>
      <c r="G516">
        <v>20.8447</v>
      </c>
      <c r="I516" s="1">
        <v>7.3564400000000005E-8</v>
      </c>
      <c r="J516">
        <f t="shared" ref="J516:J579" si="97">E516/SUM($E$3:$E$2002)/$C$3</f>
        <v>0.1671445923217362</v>
      </c>
      <c r="K516">
        <v>4.8072292331015145E-5</v>
      </c>
      <c r="L516">
        <v>6.8530557107671641E-2</v>
      </c>
      <c r="N516" s="1">
        <v>7.3564400000000005E-8</v>
      </c>
      <c r="O516">
        <f t="shared" ref="O516:O579" si="98">F516/SUM($F$3:$F$2002)/$C$3</f>
        <v>4.8072292331015145E-5</v>
      </c>
      <c r="Q516" s="1">
        <v>7.3564400000000005E-8</v>
      </c>
      <c r="R516">
        <f t="shared" ref="R516:R579" si="99">G516/SUM($G$3:$G$2002)/$C$3</f>
        <v>6.8530557107671641E-2</v>
      </c>
      <c r="CH516" s="1">
        <v>6.8098700000000003E-8</v>
      </c>
      <c r="CI516">
        <v>5.2569600000000003</v>
      </c>
      <c r="CJ516">
        <f t="shared" si="95"/>
        <v>408.56570044188095</v>
      </c>
      <c r="CL516" s="1">
        <v>6.8098700000000003E-8</v>
      </c>
      <c r="CM516">
        <v>9.2950000000000005E-2</v>
      </c>
      <c r="CN516">
        <f t="shared" si="96"/>
        <v>7.2239815132838814</v>
      </c>
    </row>
    <row r="517" spans="4:92" x14ac:dyDescent="0.35">
      <c r="D517" s="1">
        <v>7.4517000000000005E-8</v>
      </c>
      <c r="E517">
        <v>96.405699999999996</v>
      </c>
      <c r="F517">
        <v>8.6497199999999996E-3</v>
      </c>
      <c r="G517">
        <v>21.2758</v>
      </c>
      <c r="I517" s="1">
        <v>7.4517000000000005E-8</v>
      </c>
      <c r="J517">
        <f t="shared" si="97"/>
        <v>0.1711051585677564</v>
      </c>
      <c r="K517">
        <v>4.5906142219023698E-5</v>
      </c>
      <c r="L517">
        <v>6.9947872932275362E-2</v>
      </c>
      <c r="N517" s="1">
        <v>7.4517000000000005E-8</v>
      </c>
      <c r="O517">
        <f t="shared" si="98"/>
        <v>4.5906142219023698E-5</v>
      </c>
      <c r="Q517" s="1">
        <v>7.4517000000000005E-8</v>
      </c>
      <c r="R517">
        <f t="shared" si="99"/>
        <v>6.9947872932275362E-2</v>
      </c>
      <c r="CH517" s="1">
        <v>6.8980600000000006E-8</v>
      </c>
      <c r="CI517">
        <v>5.55288</v>
      </c>
      <c r="CJ517">
        <f t="shared" si="95"/>
        <v>431.56430839681332</v>
      </c>
      <c r="CL517" s="1">
        <v>6.8980600000000006E-8</v>
      </c>
      <c r="CM517">
        <v>0.13109000000000001</v>
      </c>
      <c r="CN517">
        <f t="shared" si="96"/>
        <v>10.188184363382293</v>
      </c>
    </row>
    <row r="518" spans="4:92" x14ac:dyDescent="0.35">
      <c r="D518" s="1">
        <v>7.5482000000000001E-8</v>
      </c>
      <c r="E518">
        <v>97.468999999999994</v>
      </c>
      <c r="F518">
        <v>4.3259300000000004E-3</v>
      </c>
      <c r="G518">
        <v>21.774899999999999</v>
      </c>
      <c r="I518" s="1">
        <v>7.5482000000000001E-8</v>
      </c>
      <c r="J518">
        <f t="shared" si="97"/>
        <v>0.1729923510792479</v>
      </c>
      <c r="K518">
        <v>2.295874985658972E-5</v>
      </c>
      <c r="L518">
        <v>7.1588750519980565E-2</v>
      </c>
      <c r="N518" s="1">
        <v>7.5482000000000001E-8</v>
      </c>
      <c r="O518">
        <f t="shared" si="98"/>
        <v>2.295874985658972E-5</v>
      </c>
      <c r="Q518" s="1">
        <v>7.5482000000000001E-8</v>
      </c>
      <c r="R518">
        <f t="shared" si="99"/>
        <v>7.1588750519980565E-2</v>
      </c>
      <c r="CH518" s="1">
        <v>6.9873900000000002E-8</v>
      </c>
      <c r="CI518">
        <v>5.2363200000000001</v>
      </c>
      <c r="CJ518">
        <f t="shared" si="95"/>
        <v>406.96158017900649</v>
      </c>
      <c r="CL518" s="1">
        <v>6.9873900000000002E-8</v>
      </c>
      <c r="CM518">
        <v>0.12111</v>
      </c>
      <c r="CN518">
        <f t="shared" si="96"/>
        <v>9.4125486936397085</v>
      </c>
    </row>
    <row r="519" spans="4:92" x14ac:dyDescent="0.35">
      <c r="D519" s="1">
        <v>7.6459499999999997E-8</v>
      </c>
      <c r="E519">
        <v>98.553399999999996</v>
      </c>
      <c r="F519">
        <v>8.8824200000000002E-3</v>
      </c>
      <c r="G519">
        <v>22.083600000000001</v>
      </c>
      <c r="I519" s="1">
        <v>7.6459499999999997E-8</v>
      </c>
      <c r="J519">
        <f t="shared" si="97"/>
        <v>0.17491699281672685</v>
      </c>
      <c r="K519">
        <v>4.7141137027452971E-5</v>
      </c>
      <c r="L519">
        <v>7.2603655171001619E-2</v>
      </c>
      <c r="N519" s="1">
        <v>7.6459499999999997E-8</v>
      </c>
      <c r="O519">
        <f t="shared" si="98"/>
        <v>4.7141137027452971E-5</v>
      </c>
      <c r="Q519" s="1">
        <v>7.6459499999999997E-8</v>
      </c>
      <c r="R519">
        <f t="shared" si="99"/>
        <v>7.2603655171001619E-2</v>
      </c>
      <c r="CH519" s="1">
        <v>7.0778800000000004E-8</v>
      </c>
      <c r="CI519">
        <v>5.9928400000000002</v>
      </c>
      <c r="CJ519">
        <f t="shared" si="95"/>
        <v>465.75756182967376</v>
      </c>
      <c r="CL519" s="1">
        <v>7.0778800000000004E-8</v>
      </c>
      <c r="CM519">
        <v>9.2039999999999997E-2</v>
      </c>
      <c r="CN519">
        <f t="shared" si="96"/>
        <v>7.1532572187482346</v>
      </c>
    </row>
    <row r="520" spans="4:92" x14ac:dyDescent="0.35">
      <c r="D520" s="1">
        <v>7.7449700000000006E-8</v>
      </c>
      <c r="E520">
        <v>100.212</v>
      </c>
      <c r="F520">
        <v>1.12516E-2</v>
      </c>
      <c r="G520">
        <v>22.575399999999998</v>
      </c>
      <c r="I520" s="1">
        <v>7.7449700000000006E-8</v>
      </c>
      <c r="J520">
        <f t="shared" si="97"/>
        <v>0.17786075045761821</v>
      </c>
      <c r="K520">
        <v>5.9714944505899284E-5</v>
      </c>
      <c r="L520">
        <v>7.4220532745903275E-2</v>
      </c>
      <c r="N520" s="1">
        <v>7.7449700000000006E-8</v>
      </c>
      <c r="O520">
        <f t="shared" si="98"/>
        <v>5.9714944505899284E-5</v>
      </c>
      <c r="Q520" s="1">
        <v>7.7449700000000006E-8</v>
      </c>
      <c r="R520">
        <f t="shared" si="99"/>
        <v>7.4220532745903275E-2</v>
      </c>
      <c r="CH520" s="1">
        <v>7.1695400000000003E-8</v>
      </c>
      <c r="CI520">
        <v>5.6737599999999997</v>
      </c>
      <c r="CJ520">
        <f t="shared" si="95"/>
        <v>440.95898171930662</v>
      </c>
      <c r="CL520" s="1">
        <v>7.1695400000000003E-8</v>
      </c>
      <c r="CM520">
        <v>0.10707</v>
      </c>
      <c r="CN520">
        <f t="shared" si="96"/>
        <v>8.3213738636611634</v>
      </c>
    </row>
    <row r="521" spans="4:92" x14ac:dyDescent="0.35">
      <c r="D521" s="1">
        <v>7.8452700000000005E-8</v>
      </c>
      <c r="E521">
        <v>102.158</v>
      </c>
      <c r="F521">
        <v>1.5629899999999999E-2</v>
      </c>
      <c r="G521">
        <v>22.180399999999999</v>
      </c>
      <c r="I521" s="1">
        <v>7.8452700000000005E-8</v>
      </c>
      <c r="J521">
        <f t="shared" si="97"/>
        <v>0.18131459850366585</v>
      </c>
      <c r="K521">
        <v>8.2951634534888824E-5</v>
      </c>
      <c r="L521">
        <v>7.2921901916122564E-2</v>
      </c>
      <c r="N521" s="1">
        <v>7.8452700000000005E-8</v>
      </c>
      <c r="O521">
        <f t="shared" si="98"/>
        <v>8.2951634534888824E-5</v>
      </c>
      <c r="Q521" s="1">
        <v>7.8452700000000005E-8</v>
      </c>
      <c r="R521">
        <f t="shared" si="99"/>
        <v>7.2921901916122564E-2</v>
      </c>
      <c r="CH521" s="1">
        <v>7.2623899999999997E-8</v>
      </c>
      <c r="CI521">
        <v>5.7319100000000001</v>
      </c>
      <c r="CJ521">
        <f t="shared" si="95"/>
        <v>445.47834185913945</v>
      </c>
      <c r="CL521" s="1">
        <v>7.2623899999999997E-8</v>
      </c>
      <c r="CM521">
        <v>0.1016</v>
      </c>
      <c r="CN521">
        <f t="shared" si="96"/>
        <v>7.8962509063974426</v>
      </c>
    </row>
    <row r="522" spans="4:92" x14ac:dyDescent="0.35">
      <c r="D522" s="1">
        <v>7.94686E-8</v>
      </c>
      <c r="E522">
        <v>103.53400000000001</v>
      </c>
      <c r="F522">
        <v>6.6713099999999997E-3</v>
      </c>
      <c r="G522">
        <v>22.595300000000002</v>
      </c>
      <c r="I522" s="1">
        <v>7.94686E-8</v>
      </c>
      <c r="J522">
        <f t="shared" si="97"/>
        <v>0.18375678499460191</v>
      </c>
      <c r="K522">
        <v>3.5406245016855457E-5</v>
      </c>
      <c r="L522">
        <v>7.4285957438340336E-2</v>
      </c>
      <c r="N522" s="1">
        <v>7.94686E-8</v>
      </c>
      <c r="O522">
        <f t="shared" si="98"/>
        <v>3.5406245016855457E-5</v>
      </c>
      <c r="Q522" s="1">
        <v>7.94686E-8</v>
      </c>
      <c r="R522">
        <f t="shared" si="99"/>
        <v>7.4285957438340336E-2</v>
      </c>
      <c r="CH522" s="1">
        <v>7.3564400000000005E-8</v>
      </c>
      <c r="CI522">
        <v>6.2073499999999999</v>
      </c>
      <c r="CJ522">
        <f t="shared" ref="CJ522:CJ585" si="100">CI522/$CG$9</f>
        <v>482.42906558884022</v>
      </c>
      <c r="CL522" s="1">
        <v>7.3564400000000005E-8</v>
      </c>
      <c r="CM522">
        <v>8.2900000000000001E-2</v>
      </c>
      <c r="CN522">
        <f t="shared" ref="CN522:CN585" si="101">CM522/$CG$9</f>
        <v>6.442905513192402</v>
      </c>
    </row>
    <row r="523" spans="4:92" x14ac:dyDescent="0.35">
      <c r="D523" s="1">
        <v>8.0497699999999994E-8</v>
      </c>
      <c r="E523">
        <v>104.66500000000001</v>
      </c>
      <c r="F523">
        <v>6.9671300000000002E-3</v>
      </c>
      <c r="G523">
        <v>23.1951</v>
      </c>
      <c r="I523" s="1">
        <v>8.0497699999999994E-8</v>
      </c>
      <c r="J523">
        <f t="shared" si="97"/>
        <v>0.18576413450132331</v>
      </c>
      <c r="K523">
        <v>3.6976232830476205E-5</v>
      </c>
      <c r="L523">
        <v>7.6257903695814963E-2</v>
      </c>
      <c r="N523" s="1">
        <v>8.0497699999999994E-8</v>
      </c>
      <c r="O523">
        <f t="shared" si="98"/>
        <v>3.6976232830476205E-5</v>
      </c>
      <c r="Q523" s="1">
        <v>8.0497699999999994E-8</v>
      </c>
      <c r="R523">
        <f t="shared" si="99"/>
        <v>7.6257903695814963E-2</v>
      </c>
      <c r="CH523" s="1">
        <v>7.4517000000000005E-8</v>
      </c>
      <c r="CI523">
        <v>6.8601599999999996</v>
      </c>
      <c r="CJ523">
        <f t="shared" si="100"/>
        <v>533.16480923259337</v>
      </c>
      <c r="CL523" s="1">
        <v>7.4517000000000005E-8</v>
      </c>
      <c r="CM523">
        <v>9.7210000000000005E-2</v>
      </c>
      <c r="CN523">
        <f t="shared" si="101"/>
        <v>7.5550644745166879</v>
      </c>
    </row>
    <row r="524" spans="4:92" x14ac:dyDescent="0.35">
      <c r="D524" s="1">
        <v>8.1540199999999998E-8</v>
      </c>
      <c r="E524">
        <v>106.13</v>
      </c>
      <c r="F524">
        <v>6.7057000000000002E-3</v>
      </c>
      <c r="G524">
        <v>23.9298</v>
      </c>
      <c r="I524" s="1">
        <v>8.1540199999999998E-8</v>
      </c>
      <c r="J524">
        <f t="shared" si="97"/>
        <v>0.18836428218244342</v>
      </c>
      <c r="K524">
        <v>3.5588761009386115E-5</v>
      </c>
      <c r="L524">
        <v>7.8673357039207109E-2</v>
      </c>
      <c r="N524" s="1">
        <v>8.1540199999999998E-8</v>
      </c>
      <c r="O524">
        <f t="shared" si="98"/>
        <v>3.5588761009386115E-5</v>
      </c>
      <c r="Q524" s="1">
        <v>8.1540199999999998E-8</v>
      </c>
      <c r="R524">
        <f t="shared" si="99"/>
        <v>7.8673357039207109E-2</v>
      </c>
      <c r="CH524" s="1">
        <v>7.5482000000000001E-8</v>
      </c>
      <c r="CI524">
        <v>6.1299000000000001</v>
      </c>
      <c r="CJ524">
        <f t="shared" si="100"/>
        <v>476.40972865281191</v>
      </c>
      <c r="CL524" s="1">
        <v>7.5482000000000001E-8</v>
      </c>
      <c r="CM524">
        <v>8.4559999999999996E-2</v>
      </c>
      <c r="CN524">
        <f t="shared" si="101"/>
        <v>6.5719190614662182</v>
      </c>
    </row>
    <row r="525" spans="4:92" x14ac:dyDescent="0.35">
      <c r="D525" s="1">
        <v>8.2596200000000005E-8</v>
      </c>
      <c r="E525">
        <v>106.75700000000001</v>
      </c>
      <c r="F525">
        <v>1.58166E-2</v>
      </c>
      <c r="G525">
        <v>23.8553</v>
      </c>
      <c r="I525" s="1">
        <v>8.2596200000000005E-8</v>
      </c>
      <c r="J525">
        <f t="shared" si="97"/>
        <v>0.18947710989306618</v>
      </c>
      <c r="K525">
        <v>8.3942496291372477E-5</v>
      </c>
      <c r="L525">
        <v>7.8428425401691509E-2</v>
      </c>
      <c r="N525" s="1">
        <v>8.2596200000000005E-8</v>
      </c>
      <c r="O525">
        <f t="shared" si="98"/>
        <v>8.3942496291372477E-5</v>
      </c>
      <c r="Q525" s="1">
        <v>8.2596200000000005E-8</v>
      </c>
      <c r="R525">
        <f t="shared" si="99"/>
        <v>7.8428425401691509E-2</v>
      </c>
      <c r="CH525" s="1">
        <v>7.6459499999999997E-8</v>
      </c>
      <c r="CI525">
        <v>6.7732099999999997</v>
      </c>
      <c r="CJ525">
        <f t="shared" si="100"/>
        <v>526.40714174921482</v>
      </c>
      <c r="CL525" s="1">
        <v>7.6459499999999997E-8</v>
      </c>
      <c r="CM525">
        <v>8.6110000000000006E-2</v>
      </c>
      <c r="CN525">
        <f t="shared" si="101"/>
        <v>6.6923835191917709</v>
      </c>
    </row>
    <row r="526" spans="4:92" x14ac:dyDescent="0.35">
      <c r="D526" s="1">
        <v>8.3665800000000005E-8</v>
      </c>
      <c r="E526">
        <v>109.11199999999999</v>
      </c>
      <c r="F526">
        <v>4.4513900000000004E-3</v>
      </c>
      <c r="G526">
        <v>24.53</v>
      </c>
      <c r="I526" s="1">
        <v>8.3665800000000005E-8</v>
      </c>
      <c r="J526">
        <f t="shared" si="97"/>
        <v>0.19365686947602717</v>
      </c>
      <c r="K526">
        <v>2.3624596219570106E-5</v>
      </c>
      <c r="L526">
        <v>8.0646618365876471E-2</v>
      </c>
      <c r="N526" s="1">
        <v>8.3665800000000005E-8</v>
      </c>
      <c r="O526">
        <f t="shared" si="98"/>
        <v>2.3624596219570106E-5</v>
      </c>
      <c r="Q526" s="1">
        <v>8.3665800000000005E-8</v>
      </c>
      <c r="R526">
        <f t="shared" si="99"/>
        <v>8.0646618365876471E-2</v>
      </c>
      <c r="CH526" s="1">
        <v>7.7449700000000006E-8</v>
      </c>
      <c r="CI526">
        <v>6.2246699999999997</v>
      </c>
      <c r="CJ526">
        <f t="shared" si="100"/>
        <v>483.77515875516701</v>
      </c>
      <c r="CL526" s="1">
        <v>7.7449700000000006E-8</v>
      </c>
      <c r="CM526">
        <v>9.1189999999999993E-2</v>
      </c>
      <c r="CN526">
        <f t="shared" si="101"/>
        <v>7.0871960645116419</v>
      </c>
    </row>
    <row r="527" spans="4:92" x14ac:dyDescent="0.35">
      <c r="D527" s="1">
        <v>8.4749300000000003E-8</v>
      </c>
      <c r="E527">
        <v>111.369</v>
      </c>
      <c r="F527">
        <v>9.1174399999999992E-3</v>
      </c>
      <c r="G527">
        <v>24.7499</v>
      </c>
      <c r="I527" s="1">
        <v>8.4749300000000003E-8</v>
      </c>
      <c r="J527">
        <f t="shared" si="97"/>
        <v>0.19766269426530239</v>
      </c>
      <c r="K527">
        <v>4.8388444633284711E-5</v>
      </c>
      <c r="L527">
        <v>8.1369577655670863E-2</v>
      </c>
      <c r="N527" s="1">
        <v>8.4749300000000003E-8</v>
      </c>
      <c r="O527">
        <f t="shared" si="98"/>
        <v>4.8388444633284711E-5</v>
      </c>
      <c r="Q527" s="1">
        <v>8.4749300000000003E-8</v>
      </c>
      <c r="R527">
        <f t="shared" si="99"/>
        <v>8.1369577655670863E-2</v>
      </c>
      <c r="CH527" s="1">
        <v>7.8452700000000005E-8</v>
      </c>
      <c r="CI527">
        <v>6.6086</v>
      </c>
      <c r="CJ527">
        <f t="shared" si="100"/>
        <v>513.61381633876124</v>
      </c>
      <c r="CL527" s="1">
        <v>7.8452700000000005E-8</v>
      </c>
      <c r="CM527">
        <v>7.0999999999999994E-2</v>
      </c>
      <c r="CN527">
        <f t="shared" si="101"/>
        <v>5.5180493538801025</v>
      </c>
    </row>
    <row r="528" spans="4:92" x14ac:dyDescent="0.35">
      <c r="D528" s="1">
        <v>8.5846800000000003E-8</v>
      </c>
      <c r="E528">
        <v>112.473</v>
      </c>
      <c r="F528">
        <v>0</v>
      </c>
      <c r="G528">
        <v>25.151399999999999</v>
      </c>
      <c r="I528" s="1">
        <v>8.5846800000000003E-8</v>
      </c>
      <c r="J528">
        <f t="shared" si="97"/>
        <v>0.19962212296151852</v>
      </c>
      <c r="K528">
        <v>0</v>
      </c>
      <c r="L528">
        <v>8.2689578359865679E-2</v>
      </c>
      <c r="N528" s="1">
        <v>8.5846800000000003E-8</v>
      </c>
      <c r="O528">
        <f t="shared" si="98"/>
        <v>0</v>
      </c>
      <c r="Q528" s="1">
        <v>8.5846800000000003E-8</v>
      </c>
      <c r="R528">
        <f t="shared" si="99"/>
        <v>8.2689578359865679E-2</v>
      </c>
      <c r="CH528" s="1">
        <v>7.94686E-8</v>
      </c>
      <c r="CI528">
        <v>6.6914699999999998</v>
      </c>
      <c r="CJ528">
        <f t="shared" si="100"/>
        <v>520.0543902818041</v>
      </c>
      <c r="CL528" s="1">
        <v>7.94686E-8</v>
      </c>
      <c r="CM528">
        <v>9.4369999999999996E-2</v>
      </c>
      <c r="CN528">
        <f t="shared" si="101"/>
        <v>7.3343425003614833</v>
      </c>
    </row>
    <row r="529" spans="4:92" x14ac:dyDescent="0.35">
      <c r="D529" s="1">
        <v>8.6958500000000004E-8</v>
      </c>
      <c r="E529">
        <v>114.42700000000001</v>
      </c>
      <c r="F529">
        <v>6.6584799999999996E-3</v>
      </c>
      <c r="G529">
        <v>25.529699999999998</v>
      </c>
      <c r="I529" s="1">
        <v>8.6958500000000004E-8</v>
      </c>
      <c r="J529">
        <f t="shared" si="97"/>
        <v>0.20309016976623437</v>
      </c>
      <c r="K529">
        <v>3.5338153124323665E-5</v>
      </c>
      <c r="L529">
        <v>8.3933305050767085E-2</v>
      </c>
      <c r="N529" s="1">
        <v>8.6958500000000004E-8</v>
      </c>
      <c r="O529">
        <f t="shared" si="98"/>
        <v>3.5338153124323665E-5</v>
      </c>
      <c r="Q529" s="1">
        <v>8.6958500000000004E-8</v>
      </c>
      <c r="R529">
        <f t="shared" si="99"/>
        <v>8.3933305050767085E-2</v>
      </c>
      <c r="CH529" s="1">
        <v>8.0497699999999994E-8</v>
      </c>
      <c r="CI529">
        <v>7.0506700000000002</v>
      </c>
      <c r="CJ529">
        <f t="shared" si="100"/>
        <v>547.97105687213843</v>
      </c>
      <c r="CL529" s="1">
        <v>8.0497699999999994E-8</v>
      </c>
      <c r="CM529">
        <v>8.3140000000000006E-2</v>
      </c>
      <c r="CN529">
        <f t="shared" si="101"/>
        <v>6.4615580743886172</v>
      </c>
    </row>
    <row r="530" spans="4:92" x14ac:dyDescent="0.35">
      <c r="D530" s="1">
        <v>8.8084600000000002E-8</v>
      </c>
      <c r="E530">
        <v>115.32299999999999</v>
      </c>
      <c r="F530">
        <v>6.7344700000000002E-3</v>
      </c>
      <c r="G530">
        <v>25.876000000000001</v>
      </c>
      <c r="I530" s="1">
        <v>8.8084600000000002E-8</v>
      </c>
      <c r="J530">
        <f t="shared" si="97"/>
        <v>0.20468043073707642</v>
      </c>
      <c r="K530">
        <v>3.5741450311657323E-5</v>
      </c>
      <c r="L530">
        <v>8.5071826206091286E-2</v>
      </c>
      <c r="N530" s="1">
        <v>8.8084600000000002E-8</v>
      </c>
      <c r="O530">
        <f t="shared" si="98"/>
        <v>3.5741450311657323E-5</v>
      </c>
      <c r="Q530" s="1">
        <v>8.8084600000000002E-8</v>
      </c>
      <c r="R530">
        <f t="shared" si="99"/>
        <v>8.5071826206091286E-2</v>
      </c>
      <c r="CH530" s="1">
        <v>8.1540199999999998E-8</v>
      </c>
      <c r="CI530">
        <v>7.3903800000000004</v>
      </c>
      <c r="CJ530">
        <f t="shared" si="100"/>
        <v>574.37298005533012</v>
      </c>
      <c r="CL530" s="1">
        <v>8.1540199999999998E-8</v>
      </c>
      <c r="CM530">
        <v>7.603E-2</v>
      </c>
      <c r="CN530">
        <f t="shared" si="101"/>
        <v>5.9089759489507641</v>
      </c>
    </row>
    <row r="531" spans="4:92" x14ac:dyDescent="0.35">
      <c r="D531" s="1">
        <v>8.9225299999999996E-8</v>
      </c>
      <c r="E531">
        <v>116.4</v>
      </c>
      <c r="F531">
        <v>1.4059E-2</v>
      </c>
      <c r="G531">
        <v>26.068000000000001</v>
      </c>
      <c r="I531" s="1">
        <v>8.9225299999999996E-8</v>
      </c>
      <c r="J531">
        <f t="shared" si="97"/>
        <v>0.2065919386227873</v>
      </c>
      <c r="K531">
        <v>7.4614490810945815E-5</v>
      </c>
      <c r="L531">
        <v>8.5703059419554334E-2</v>
      </c>
      <c r="N531" s="1">
        <v>8.9225299999999996E-8</v>
      </c>
      <c r="O531">
        <f t="shared" si="98"/>
        <v>7.4614490810945815E-5</v>
      </c>
      <c r="Q531" s="1">
        <v>8.9225299999999996E-8</v>
      </c>
      <c r="R531">
        <f t="shared" si="99"/>
        <v>8.5703059419554334E-2</v>
      </c>
      <c r="CH531" s="1">
        <v>8.2596200000000005E-8</v>
      </c>
      <c r="CI531">
        <v>6.6779700000000002</v>
      </c>
      <c r="CJ531">
        <f t="shared" si="100"/>
        <v>519.0051837145171</v>
      </c>
      <c r="CL531" s="1">
        <v>8.2596200000000005E-8</v>
      </c>
      <c r="CM531">
        <v>8.5330000000000003E-2</v>
      </c>
      <c r="CN531">
        <f t="shared" si="101"/>
        <v>6.6317626953040731</v>
      </c>
    </row>
    <row r="532" spans="4:92" x14ac:dyDescent="0.35">
      <c r="D532" s="1">
        <v>9.0380799999999996E-8</v>
      </c>
      <c r="E532">
        <v>118.252</v>
      </c>
      <c r="F532">
        <v>1.1328599999999999E-2</v>
      </c>
      <c r="G532">
        <v>26.9786</v>
      </c>
      <c r="I532" s="1">
        <v>9.0380799999999996E-8</v>
      </c>
      <c r="J532">
        <f t="shared" si="97"/>
        <v>0.20987895125448316</v>
      </c>
      <c r="K532">
        <v>6.0123602005895214E-5</v>
      </c>
      <c r="L532">
        <v>8.8696814441322241E-2</v>
      </c>
      <c r="N532" s="1">
        <v>9.0380799999999996E-8</v>
      </c>
      <c r="O532">
        <f t="shared" si="98"/>
        <v>6.0123602005895214E-5</v>
      </c>
      <c r="Q532" s="1">
        <v>9.0380799999999996E-8</v>
      </c>
      <c r="R532">
        <f t="shared" si="99"/>
        <v>8.8696814441322241E-2</v>
      </c>
      <c r="CH532" s="1">
        <v>8.3665800000000005E-8</v>
      </c>
      <c r="CI532">
        <v>7.3223700000000003</v>
      </c>
      <c r="CJ532">
        <f t="shared" si="100"/>
        <v>569.08731052635289</v>
      </c>
      <c r="CL532" s="1">
        <v>8.3665800000000005E-8</v>
      </c>
      <c r="CM532">
        <v>7.0360000000000006E-2</v>
      </c>
      <c r="CN532">
        <f t="shared" si="101"/>
        <v>5.4683091906901984</v>
      </c>
    </row>
    <row r="533" spans="4:92" x14ac:dyDescent="0.35">
      <c r="D533" s="1">
        <v>9.1551199999999995E-8</v>
      </c>
      <c r="E533">
        <v>120.566</v>
      </c>
      <c r="F533">
        <v>9.4385600000000004E-3</v>
      </c>
      <c r="G533">
        <v>27.271100000000001</v>
      </c>
      <c r="I533" s="1">
        <v>9.1551199999999995E-8</v>
      </c>
      <c r="J533">
        <f t="shared" si="97"/>
        <v>0.2139859421992695</v>
      </c>
      <c r="K533">
        <v>5.0092705625475552E-5</v>
      </c>
      <c r="L533">
        <v>8.9658458789957346E-2</v>
      </c>
      <c r="N533" s="1">
        <v>9.1551199999999995E-8</v>
      </c>
      <c r="O533">
        <f t="shared" si="98"/>
        <v>5.0092705625475552E-5</v>
      </c>
      <c r="Q533" s="1">
        <v>9.1551199999999995E-8</v>
      </c>
      <c r="R533">
        <f t="shared" si="99"/>
        <v>8.9658458789957346E-2</v>
      </c>
      <c r="CH533" s="1">
        <v>8.4749300000000003E-8</v>
      </c>
      <c r="CI533">
        <v>7.3288200000000003</v>
      </c>
      <c r="CJ533">
        <f t="shared" si="100"/>
        <v>569.58859810850106</v>
      </c>
      <c r="CL533" s="1">
        <v>8.4749300000000003E-8</v>
      </c>
      <c r="CM533">
        <v>8.3549999999999999E-2</v>
      </c>
      <c r="CN533">
        <f t="shared" si="101"/>
        <v>6.4934228664321498</v>
      </c>
    </row>
    <row r="534" spans="4:92" x14ac:dyDescent="0.35">
      <c r="D534" s="1">
        <v>9.2736799999999994E-8</v>
      </c>
      <c r="E534">
        <v>121.851</v>
      </c>
      <c r="F534">
        <v>9.2430399999999992E-3</v>
      </c>
      <c r="G534">
        <v>27.211300000000001</v>
      </c>
      <c r="I534" s="1">
        <v>9.2736799999999994E-8</v>
      </c>
      <c r="J534">
        <f t="shared" si="97"/>
        <v>0.21626661781035442</v>
      </c>
      <c r="K534">
        <v>4.9055034009901459E-5</v>
      </c>
      <c r="L534">
        <v>8.9461855945347502E-2</v>
      </c>
      <c r="N534" s="1">
        <v>9.2736799999999994E-8</v>
      </c>
      <c r="O534">
        <f t="shared" si="98"/>
        <v>4.9055034009901459E-5</v>
      </c>
      <c r="Q534" s="1">
        <v>9.2736799999999994E-8</v>
      </c>
      <c r="R534">
        <f t="shared" si="99"/>
        <v>8.9461855945347502E-2</v>
      </c>
      <c r="CH534" s="1">
        <v>8.5846800000000003E-8</v>
      </c>
      <c r="CI534">
        <v>7.6576599999999999</v>
      </c>
      <c r="CJ534">
        <f t="shared" si="100"/>
        <v>595.14571570751423</v>
      </c>
      <c r="CL534" s="1">
        <v>8.5846800000000003E-8</v>
      </c>
      <c r="CM534">
        <v>7.3069999999999996E-2</v>
      </c>
      <c r="CN534">
        <f t="shared" si="101"/>
        <v>5.6789276941974522</v>
      </c>
    </row>
    <row r="535" spans="4:92" x14ac:dyDescent="0.35">
      <c r="D535" s="1">
        <v>9.3937800000000006E-8</v>
      </c>
      <c r="E535">
        <v>122.196</v>
      </c>
      <c r="F535">
        <v>6.8896199999999999E-3</v>
      </c>
      <c r="G535">
        <v>27.953099999999999</v>
      </c>
      <c r="I535" s="1">
        <v>9.3937800000000006E-8</v>
      </c>
      <c r="J535">
        <f t="shared" si="97"/>
        <v>0.21687893927792196</v>
      </c>
      <c r="K535">
        <v>3.656486863794783E-5</v>
      </c>
      <c r="L535">
        <v>9.190065176694584E-2</v>
      </c>
      <c r="N535" s="1">
        <v>9.3937800000000006E-8</v>
      </c>
      <c r="O535">
        <f t="shared" si="98"/>
        <v>3.656486863794783E-5</v>
      </c>
      <c r="Q535" s="1">
        <v>9.3937800000000006E-8</v>
      </c>
      <c r="R535">
        <f t="shared" si="99"/>
        <v>9.190065176694584E-2</v>
      </c>
      <c r="CH535" s="1">
        <v>8.6958500000000004E-8</v>
      </c>
      <c r="CI535">
        <v>7.94285</v>
      </c>
      <c r="CJ535">
        <f t="shared" si="100"/>
        <v>617.31039873896589</v>
      </c>
      <c r="CL535" s="1">
        <v>8.6958500000000004E-8</v>
      </c>
      <c r="CM535">
        <v>7.3090000000000002E-2</v>
      </c>
      <c r="CN535">
        <f t="shared" si="101"/>
        <v>5.6804820742971369</v>
      </c>
    </row>
    <row r="536" spans="4:92" x14ac:dyDescent="0.35">
      <c r="D536" s="1">
        <v>9.5154299999999996E-8</v>
      </c>
      <c r="E536">
        <v>124.19799999999999</v>
      </c>
      <c r="F536">
        <v>4.6367600000000002E-3</v>
      </c>
      <c r="G536">
        <v>27.901399999999999</v>
      </c>
      <c r="I536" s="1">
        <v>9.5154299999999996E-8</v>
      </c>
      <c r="J536">
        <f t="shared" si="97"/>
        <v>0.2204321786346472</v>
      </c>
      <c r="K536">
        <v>2.4608399346508365E-5</v>
      </c>
      <c r="L536">
        <v>9.1730679073528956E-2</v>
      </c>
      <c r="N536" s="1">
        <v>9.5154299999999996E-8</v>
      </c>
      <c r="O536">
        <f t="shared" si="98"/>
        <v>2.4608399346508365E-5</v>
      </c>
      <c r="Q536" s="1">
        <v>9.5154299999999996E-8</v>
      </c>
      <c r="R536">
        <f t="shared" si="99"/>
        <v>9.1730679073528956E-2</v>
      </c>
      <c r="CH536" s="1">
        <v>8.8084600000000002E-8</v>
      </c>
      <c r="CI536">
        <v>7.7594900000000004</v>
      </c>
      <c r="CJ536">
        <f t="shared" si="100"/>
        <v>603.05984198505803</v>
      </c>
      <c r="CL536" s="1">
        <v>8.8084600000000002E-8</v>
      </c>
      <c r="CM536">
        <v>7.3709999999999998E-2</v>
      </c>
      <c r="CN536">
        <f t="shared" si="101"/>
        <v>5.7286678573873573</v>
      </c>
    </row>
    <row r="537" spans="4:92" x14ac:dyDescent="0.35">
      <c r="D537" s="1">
        <v>9.6386500000000001E-8</v>
      </c>
      <c r="E537">
        <v>125.285</v>
      </c>
      <c r="F537">
        <v>6.9047400000000004E-3</v>
      </c>
      <c r="G537">
        <v>28.436599999999999</v>
      </c>
      <c r="I537" s="1">
        <v>9.6386500000000001E-8</v>
      </c>
      <c r="J537">
        <f t="shared" si="97"/>
        <v>0.22236143496869334</v>
      </c>
      <c r="K537">
        <v>3.6645114110674305E-5</v>
      </c>
      <c r="L537">
        <v>9.3490241656057169E-2</v>
      </c>
      <c r="N537" s="1">
        <v>9.6386500000000001E-8</v>
      </c>
      <c r="O537">
        <f t="shared" si="98"/>
        <v>3.6645114110674305E-5</v>
      </c>
      <c r="Q537" s="1">
        <v>9.6386500000000001E-8</v>
      </c>
      <c r="R537">
        <f t="shared" si="99"/>
        <v>9.3490241656057169E-2</v>
      </c>
      <c r="CH537" s="1">
        <v>8.9225299999999996E-8</v>
      </c>
      <c r="CI537">
        <v>7.6446100000000001</v>
      </c>
      <c r="CJ537">
        <f t="shared" si="100"/>
        <v>594.13148269247006</v>
      </c>
      <c r="CL537" s="1">
        <v>8.9225299999999996E-8</v>
      </c>
      <c r="CM537">
        <v>7.8270000000000006E-2</v>
      </c>
      <c r="CN537">
        <f t="shared" si="101"/>
        <v>6.0830665201154321</v>
      </c>
    </row>
    <row r="538" spans="4:92" x14ac:dyDescent="0.35">
      <c r="D538" s="1">
        <v>9.7634699999999997E-8</v>
      </c>
      <c r="E538">
        <v>127.61199999999999</v>
      </c>
      <c r="F538">
        <v>1.13502E-2</v>
      </c>
      <c r="G538">
        <v>28.555</v>
      </c>
      <c r="I538" s="1">
        <v>9.7634699999999997E-8</v>
      </c>
      <c r="J538">
        <f t="shared" si="97"/>
        <v>0.22649149889631556</v>
      </c>
      <c r="K538">
        <v>6.0238238395504456E-5</v>
      </c>
      <c r="L538">
        <v>9.3879502137692736E-2</v>
      </c>
      <c r="N538" s="1">
        <v>9.7634699999999997E-8</v>
      </c>
      <c r="O538">
        <f t="shared" si="98"/>
        <v>6.0238238395504456E-5</v>
      </c>
      <c r="Q538" s="1">
        <v>9.7634699999999997E-8</v>
      </c>
      <c r="R538">
        <f t="shared" si="99"/>
        <v>9.3879502137692736E-2</v>
      </c>
      <c r="CH538" s="1">
        <v>9.0380799999999996E-8</v>
      </c>
      <c r="CI538">
        <v>8.1301100000000002</v>
      </c>
      <c r="CJ538">
        <f t="shared" si="100"/>
        <v>631.86405961231219</v>
      </c>
      <c r="CL538" s="1">
        <v>9.0380799999999996E-8</v>
      </c>
      <c r="CM538">
        <v>8.2949999999999996E-2</v>
      </c>
      <c r="CN538">
        <f t="shared" si="101"/>
        <v>6.4467914634416132</v>
      </c>
    </row>
    <row r="539" spans="4:92" x14ac:dyDescent="0.35">
      <c r="D539" s="1">
        <v>9.8899099999999997E-8</v>
      </c>
      <c r="E539">
        <v>127.91</v>
      </c>
      <c r="F539">
        <v>9.4039499999999995E-3</v>
      </c>
      <c r="G539">
        <v>28.7788</v>
      </c>
      <c r="I539" s="1">
        <v>9.8899099999999997E-8</v>
      </c>
      <c r="J539">
        <f t="shared" si="97"/>
        <v>0.22702040265670723</v>
      </c>
      <c r="K539">
        <v>4.9909022040087765E-5</v>
      </c>
      <c r="L539">
        <v>9.4615283352135579E-2</v>
      </c>
      <c r="N539" s="1">
        <v>9.8899099999999997E-8</v>
      </c>
      <c r="O539">
        <f t="shared" si="98"/>
        <v>4.9909022040087765E-5</v>
      </c>
      <c r="Q539" s="1">
        <v>9.8899099999999997E-8</v>
      </c>
      <c r="R539">
        <f t="shared" si="99"/>
        <v>9.4615283352135579E-2</v>
      </c>
      <c r="CH539" s="1">
        <v>9.1551199999999995E-8</v>
      </c>
      <c r="CI539">
        <v>8.56142</v>
      </c>
      <c r="CJ539">
        <f t="shared" si="100"/>
        <v>665.38504365205904</v>
      </c>
      <c r="CL539" s="1">
        <v>9.1551199999999995E-8</v>
      </c>
      <c r="CM539">
        <v>7.195E-2</v>
      </c>
      <c r="CN539">
        <f t="shared" si="101"/>
        <v>5.5918824086151186</v>
      </c>
    </row>
    <row r="540" spans="4:92" x14ac:dyDescent="0.35">
      <c r="D540" s="1">
        <v>1.0018E-7</v>
      </c>
      <c r="E540">
        <v>130.43100000000001</v>
      </c>
      <c r="F540">
        <v>9.2532199999999995E-3</v>
      </c>
      <c r="G540">
        <v>29.5761</v>
      </c>
      <c r="I540" s="1">
        <v>1.0018E-7</v>
      </c>
      <c r="J540">
        <f t="shared" si="97"/>
        <v>0.23149478648203412</v>
      </c>
      <c r="K540">
        <v>4.9109061715745077E-5</v>
      </c>
      <c r="L540">
        <v>9.7236545024500562E-2</v>
      </c>
      <c r="N540" s="1">
        <v>1.0018E-7</v>
      </c>
      <c r="O540">
        <f t="shared" si="98"/>
        <v>4.9109061715745077E-5</v>
      </c>
      <c r="Q540" s="1">
        <v>1.0018E-7</v>
      </c>
      <c r="R540">
        <f t="shared" si="99"/>
        <v>9.7236545024500562E-2</v>
      </c>
      <c r="CH540" s="1">
        <v>9.2736799999999994E-8</v>
      </c>
      <c r="CI540">
        <v>8.30579</v>
      </c>
      <c r="CJ540">
        <f t="shared" si="100"/>
        <v>645.51773440794113</v>
      </c>
      <c r="CL540" s="1">
        <v>9.2736799999999994E-8</v>
      </c>
      <c r="CM540">
        <v>6.762E-2</v>
      </c>
      <c r="CN540">
        <f t="shared" si="101"/>
        <v>5.2553591170334162</v>
      </c>
    </row>
    <row r="541" spans="4:92" x14ac:dyDescent="0.35">
      <c r="D541" s="1">
        <v>1.01477E-7</v>
      </c>
      <c r="E541">
        <v>132.95500000000001</v>
      </c>
      <c r="F541">
        <v>4.7135399999999996E-3</v>
      </c>
      <c r="G541">
        <v>29.985600000000002</v>
      </c>
      <c r="I541" s="1">
        <v>1.01477E-7</v>
      </c>
      <c r="J541">
        <f t="shared" si="97"/>
        <v>0.23597449484186156</v>
      </c>
      <c r="K541">
        <v>2.5015889253647169E-5</v>
      </c>
      <c r="L541">
        <v>9.8582847112589703E-2</v>
      </c>
      <c r="N541" s="1">
        <v>1.01477E-7</v>
      </c>
      <c r="O541">
        <f t="shared" si="98"/>
        <v>2.5015889253647169E-5</v>
      </c>
      <c r="Q541" s="1">
        <v>1.01477E-7</v>
      </c>
      <c r="R541">
        <f t="shared" si="99"/>
        <v>9.8582847112589703E-2</v>
      </c>
      <c r="CH541" s="1">
        <v>9.3937800000000006E-8</v>
      </c>
      <c r="CI541">
        <v>8.86646</v>
      </c>
      <c r="CJ541">
        <f t="shared" si="100"/>
        <v>689.09244893244761</v>
      </c>
      <c r="CL541" s="1">
        <v>9.3937800000000006E-8</v>
      </c>
      <c r="CM541">
        <v>6.9139999999999993E-2</v>
      </c>
      <c r="CN541">
        <f t="shared" si="101"/>
        <v>5.3734920046094405</v>
      </c>
    </row>
    <row r="542" spans="4:92" x14ac:dyDescent="0.35">
      <c r="D542" s="1">
        <v>1.02791E-7</v>
      </c>
      <c r="E542">
        <v>132.41499999999999</v>
      </c>
      <c r="F542">
        <v>4.5641299999999996E-3</v>
      </c>
      <c r="G542">
        <v>30.306000000000001</v>
      </c>
      <c r="I542" s="1">
        <v>1.02791E-7</v>
      </c>
      <c r="J542">
        <f t="shared" si="97"/>
        <v>0.2350160786317558</v>
      </c>
      <c r="K542">
        <v>2.4222934486447262E-5</v>
      </c>
      <c r="L542">
        <v>9.9636217537556152E-2</v>
      </c>
      <c r="N542" s="1">
        <v>1.02791E-7</v>
      </c>
      <c r="O542">
        <f t="shared" si="98"/>
        <v>2.4222934486447262E-5</v>
      </c>
      <c r="Q542" s="1">
        <v>1.02791E-7</v>
      </c>
      <c r="R542">
        <f t="shared" si="99"/>
        <v>9.9636217537556152E-2</v>
      </c>
      <c r="CH542" s="1">
        <v>9.5154299999999996E-8</v>
      </c>
      <c r="CI542">
        <v>8.9296399999999991</v>
      </c>
      <c r="CJ542">
        <f t="shared" si="100"/>
        <v>694.00273566735098</v>
      </c>
      <c r="CL542" s="1">
        <v>9.5154299999999996E-8</v>
      </c>
      <c r="CM542">
        <v>7.0739999999999997E-2</v>
      </c>
      <c r="CN542">
        <f t="shared" si="101"/>
        <v>5.4978424125842036</v>
      </c>
    </row>
    <row r="543" spans="4:92" x14ac:dyDescent="0.35">
      <c r="D543" s="1">
        <v>1.04123E-7</v>
      </c>
      <c r="E543">
        <v>134.66499999999999</v>
      </c>
      <c r="F543">
        <v>6.75699E-3</v>
      </c>
      <c r="G543">
        <v>30.563800000000001</v>
      </c>
      <c r="I543" s="1">
        <v>1.04123E-7</v>
      </c>
      <c r="J543">
        <f t="shared" si="97"/>
        <v>0.23900947950719628</v>
      </c>
      <c r="K543">
        <v>3.5860969362305485E-5</v>
      </c>
      <c r="L543">
        <v>0.10048377963354974</v>
      </c>
      <c r="N543" s="1">
        <v>1.04123E-7</v>
      </c>
      <c r="O543">
        <f t="shared" si="98"/>
        <v>3.5860969362305485E-5</v>
      </c>
      <c r="Q543" s="1">
        <v>1.04123E-7</v>
      </c>
      <c r="R543">
        <f t="shared" si="99"/>
        <v>0.10048377963354974</v>
      </c>
      <c r="CH543" s="1">
        <v>9.6386500000000001E-8</v>
      </c>
      <c r="CI543">
        <v>8.9139900000000001</v>
      </c>
      <c r="CJ543">
        <f t="shared" si="100"/>
        <v>692.78643323934784</v>
      </c>
      <c r="CL543" s="1">
        <v>9.6386500000000001E-8</v>
      </c>
      <c r="CM543">
        <v>6.6860000000000003E-2</v>
      </c>
      <c r="CN543">
        <f t="shared" si="101"/>
        <v>5.196292673245404</v>
      </c>
    </row>
    <row r="544" spans="4:92" x14ac:dyDescent="0.35">
      <c r="D544" s="1">
        <v>1.0547100000000001E-7</v>
      </c>
      <c r="E544">
        <v>136.76499999999999</v>
      </c>
      <c r="F544">
        <v>1.65469E-2</v>
      </c>
      <c r="G544">
        <v>30.633700000000001</v>
      </c>
      <c r="I544" s="1">
        <v>1.0547100000000001E-7</v>
      </c>
      <c r="J544">
        <f t="shared" si="97"/>
        <v>0.24273665365760738</v>
      </c>
      <c r="K544">
        <v>8.7818373853022221E-5</v>
      </c>
      <c r="L544">
        <v>0.10071358797532612</v>
      </c>
      <c r="N544" s="1">
        <v>1.0547100000000001E-7</v>
      </c>
      <c r="O544">
        <f t="shared" si="98"/>
        <v>8.7818373853022221E-5</v>
      </c>
      <c r="Q544" s="1">
        <v>1.0547100000000001E-7</v>
      </c>
      <c r="R544">
        <f t="shared" si="99"/>
        <v>0.10071358797532612</v>
      </c>
      <c r="CH544" s="1">
        <v>9.7634699999999997E-8</v>
      </c>
      <c r="CI544">
        <v>9.6020500000000002</v>
      </c>
      <c r="CJ544">
        <f t="shared" si="100"/>
        <v>746.26177180879495</v>
      </c>
      <c r="CL544" s="1">
        <v>9.7634699999999997E-8</v>
      </c>
      <c r="CM544">
        <v>7.3940000000000006E-2</v>
      </c>
      <c r="CN544">
        <f t="shared" si="101"/>
        <v>5.7465432285337306</v>
      </c>
    </row>
    <row r="545" spans="4:92" x14ac:dyDescent="0.35">
      <c r="D545" s="1">
        <v>1.0683700000000001E-7</v>
      </c>
      <c r="E545">
        <v>137.66399999999999</v>
      </c>
      <c r="F545">
        <v>1.19766E-2</v>
      </c>
      <c r="G545">
        <v>31.198499999999999</v>
      </c>
      <c r="I545" s="1">
        <v>1.0683700000000001E-7</v>
      </c>
      <c r="J545">
        <f t="shared" si="97"/>
        <v>0.24433223916295005</v>
      </c>
      <c r="K545">
        <v>6.3562693694172687E-5</v>
      </c>
      <c r="L545">
        <v>0.10257046567826322</v>
      </c>
      <c r="N545" s="1">
        <v>1.0683700000000001E-7</v>
      </c>
      <c r="O545">
        <f t="shared" si="98"/>
        <v>6.3562693694172687E-5</v>
      </c>
      <c r="Q545" s="1">
        <v>1.0683700000000001E-7</v>
      </c>
      <c r="R545">
        <f t="shared" si="99"/>
        <v>0.10257046567826322</v>
      </c>
      <c r="CH545" s="1">
        <v>9.8899099999999997E-8</v>
      </c>
      <c r="CI545">
        <v>9.8152600000000003</v>
      </c>
      <c r="CJ545">
        <f t="shared" si="100"/>
        <v>762.83224086148198</v>
      </c>
      <c r="CL545" s="1">
        <v>9.8899099999999997E-8</v>
      </c>
      <c r="CM545">
        <v>6.651E-2</v>
      </c>
      <c r="CN545">
        <f t="shared" si="101"/>
        <v>5.1690910215009245</v>
      </c>
    </row>
    <row r="546" spans="4:92" x14ac:dyDescent="0.35">
      <c r="D546" s="1">
        <v>1.0822E-7</v>
      </c>
      <c r="E546">
        <v>138.60300000000001</v>
      </c>
      <c r="F546">
        <v>9.3627999999999992E-3</v>
      </c>
      <c r="G546">
        <v>32.144799999999996</v>
      </c>
      <c r="I546" s="1">
        <v>1.0822E-7</v>
      </c>
      <c r="J546">
        <f t="shared" si="97"/>
        <v>0.24599881846163391</v>
      </c>
      <c r="K546">
        <v>4.9690629103401622E-5</v>
      </c>
      <c r="L546">
        <v>0.10568159062565942</v>
      </c>
      <c r="N546" s="1">
        <v>1.0822E-7</v>
      </c>
      <c r="O546">
        <f t="shared" si="98"/>
        <v>4.9690629103401622E-5</v>
      </c>
      <c r="Q546" s="1">
        <v>1.0822E-7</v>
      </c>
      <c r="R546">
        <f t="shared" si="99"/>
        <v>0.10568159062565942</v>
      </c>
      <c r="CH546" s="1">
        <v>1.0018E-7</v>
      </c>
      <c r="CI546">
        <v>9.3422499999999999</v>
      </c>
      <c r="CJ546">
        <f t="shared" si="100"/>
        <v>726.0703743138929</v>
      </c>
      <c r="CL546" s="1">
        <v>1.0018E-7</v>
      </c>
      <c r="CM546">
        <v>6.4030000000000004E-2</v>
      </c>
      <c r="CN546">
        <f t="shared" si="101"/>
        <v>4.9763478891400421</v>
      </c>
    </row>
    <row r="547" spans="4:92" x14ac:dyDescent="0.35">
      <c r="D547" s="1">
        <v>1.09622E-7</v>
      </c>
      <c r="E547">
        <v>140.13300000000001</v>
      </c>
      <c r="F547">
        <v>1.1736699999999999E-2</v>
      </c>
      <c r="G547">
        <v>31.837199999999999</v>
      </c>
      <c r="I547" s="1">
        <v>1.09622E-7</v>
      </c>
      <c r="J547">
        <f t="shared" si="97"/>
        <v>0.24871433105693344</v>
      </c>
      <c r="K547">
        <v>6.2289486755873658E-5</v>
      </c>
      <c r="L547">
        <v>0.10467030241492387</v>
      </c>
      <c r="N547" s="1">
        <v>1.09622E-7</v>
      </c>
      <c r="O547">
        <f t="shared" si="98"/>
        <v>6.2289486755873658E-5</v>
      </c>
      <c r="Q547" s="1">
        <v>1.09622E-7</v>
      </c>
      <c r="R547">
        <f t="shared" si="99"/>
        <v>0.10467030241492387</v>
      </c>
      <c r="CH547" s="1">
        <v>1.01477E-7</v>
      </c>
      <c r="CI547">
        <v>9.8979599999999994</v>
      </c>
      <c r="CJ547">
        <f t="shared" si="100"/>
        <v>769.25960257367751</v>
      </c>
      <c r="CL547" s="1">
        <v>1.01477E-7</v>
      </c>
      <c r="CM547">
        <v>6.9010000000000002E-2</v>
      </c>
      <c r="CN547">
        <f t="shared" si="101"/>
        <v>5.3633885339614915</v>
      </c>
    </row>
    <row r="548" spans="4:92" x14ac:dyDescent="0.35">
      <c r="D548" s="1">
        <v>1.1104099999999999E-7</v>
      </c>
      <c r="E548">
        <v>141.62700000000001</v>
      </c>
      <c r="F548">
        <v>9.2975999999999996E-3</v>
      </c>
      <c r="G548">
        <v>32.666499999999999</v>
      </c>
      <c r="I548" s="1">
        <v>1.1104099999999999E-7</v>
      </c>
      <c r="J548">
        <f t="shared" si="97"/>
        <v>0.25136594923822592</v>
      </c>
      <c r="K548">
        <v>4.9344597038470007E-5</v>
      </c>
      <c r="L548">
        <v>0.10739676962286603</v>
      </c>
      <c r="N548" s="1">
        <v>1.1104099999999999E-7</v>
      </c>
      <c r="O548">
        <f t="shared" si="98"/>
        <v>4.9344597038470007E-5</v>
      </c>
      <c r="Q548" s="1">
        <v>1.1104099999999999E-7</v>
      </c>
      <c r="R548">
        <f t="shared" si="99"/>
        <v>0.10739676962286603</v>
      </c>
      <c r="CH548" s="1">
        <v>1.02791E-7</v>
      </c>
      <c r="CI548">
        <v>9.6384600000000002</v>
      </c>
      <c r="CJ548">
        <f t="shared" si="100"/>
        <v>749.09152078027068</v>
      </c>
      <c r="CL548" s="1">
        <v>1.02791E-7</v>
      </c>
      <c r="CM548">
        <v>5.8389999999999997E-2</v>
      </c>
      <c r="CN548">
        <f t="shared" si="101"/>
        <v>4.538012701029003</v>
      </c>
    </row>
    <row r="549" spans="4:92" x14ac:dyDescent="0.35">
      <c r="D549" s="1">
        <v>1.12479E-7</v>
      </c>
      <c r="E549">
        <v>143.821</v>
      </c>
      <c r="F549">
        <v>1.43468E-2</v>
      </c>
      <c r="G549">
        <v>33.050199999999997</v>
      </c>
      <c r="I549" s="1">
        <v>1.12479E-7</v>
      </c>
      <c r="J549">
        <f t="shared" si="97"/>
        <v>0.25525995880298874</v>
      </c>
      <c r="K549">
        <v>7.6141914557683858E-5</v>
      </c>
      <c r="L549">
        <v>0.10865824974789606</v>
      </c>
      <c r="N549" s="1">
        <v>1.12479E-7</v>
      </c>
      <c r="O549">
        <f t="shared" si="98"/>
        <v>7.6141914557683858E-5</v>
      </c>
      <c r="Q549" s="1">
        <v>1.12479E-7</v>
      </c>
      <c r="R549">
        <f t="shared" si="99"/>
        <v>0.10865824974789606</v>
      </c>
      <c r="CH549" s="1">
        <v>1.04123E-7</v>
      </c>
      <c r="CI549">
        <v>9.8912300000000002</v>
      </c>
      <c r="CJ549">
        <f t="shared" si="100"/>
        <v>768.73655367013373</v>
      </c>
      <c r="CL549" s="1">
        <v>1.04123E-7</v>
      </c>
      <c r="CM549">
        <v>5.629E-2</v>
      </c>
      <c r="CN549">
        <f t="shared" si="101"/>
        <v>4.3748027905621267</v>
      </c>
    </row>
    <row r="550" spans="4:92" x14ac:dyDescent="0.35">
      <c r="D550" s="1">
        <v>1.13936E-7</v>
      </c>
      <c r="E550">
        <v>144.37299999999999</v>
      </c>
      <c r="F550">
        <v>1.15478E-2</v>
      </c>
      <c r="G550">
        <v>33.135800000000003</v>
      </c>
      <c r="I550" s="1">
        <v>1.13936E-7</v>
      </c>
      <c r="J550">
        <f t="shared" si="97"/>
        <v>0.2562396731510968</v>
      </c>
      <c r="K550">
        <v>6.1286949070818702E-5</v>
      </c>
      <c r="L550">
        <v>0.10893967455556501</v>
      </c>
      <c r="N550" s="1">
        <v>1.13936E-7</v>
      </c>
      <c r="O550">
        <f t="shared" si="98"/>
        <v>6.1286949070818702E-5</v>
      </c>
      <c r="Q550" s="1">
        <v>1.13936E-7</v>
      </c>
      <c r="R550">
        <f t="shared" si="99"/>
        <v>0.10893967455556501</v>
      </c>
      <c r="CH550" s="1">
        <v>1.0547100000000001E-7</v>
      </c>
      <c r="CI550">
        <v>9.8277999999999999</v>
      </c>
      <c r="CJ550">
        <f t="shared" si="100"/>
        <v>763.80683718398416</v>
      </c>
      <c r="CL550" s="1">
        <v>1.0547100000000001E-7</v>
      </c>
      <c r="CM550">
        <v>6.6189999999999999E-2</v>
      </c>
      <c r="CN550">
        <f t="shared" si="101"/>
        <v>5.1442209399059724</v>
      </c>
    </row>
    <row r="551" spans="4:92" x14ac:dyDescent="0.35">
      <c r="D551" s="1">
        <v>1.15411E-7</v>
      </c>
      <c r="E551">
        <v>145.78700000000001</v>
      </c>
      <c r="F551">
        <v>9.4053999999999995E-3</v>
      </c>
      <c r="G551">
        <v>33.349200000000003</v>
      </c>
      <c r="I551" s="1">
        <v>1.15411E-7</v>
      </c>
      <c r="J551">
        <f t="shared" si="97"/>
        <v>0.25874930374570698</v>
      </c>
      <c r="K551">
        <v>4.9916717538464309E-5</v>
      </c>
      <c r="L551">
        <v>0.10964126397094529</v>
      </c>
      <c r="N551" s="1">
        <v>1.15411E-7</v>
      </c>
      <c r="O551">
        <f t="shared" si="98"/>
        <v>4.9916717538464309E-5</v>
      </c>
      <c r="Q551" s="1">
        <v>1.15411E-7</v>
      </c>
      <c r="R551">
        <f t="shared" si="99"/>
        <v>0.10964126397094529</v>
      </c>
      <c r="CH551" s="1">
        <v>1.0683700000000001E-7</v>
      </c>
      <c r="CI551">
        <v>10.0854</v>
      </c>
      <c r="CJ551">
        <f t="shared" si="100"/>
        <v>783.82725286792095</v>
      </c>
      <c r="CL551" s="1">
        <v>1.0683700000000001E-7</v>
      </c>
      <c r="CM551">
        <v>6.3509999999999997E-2</v>
      </c>
      <c r="CN551">
        <f t="shared" si="101"/>
        <v>4.9359340065482442</v>
      </c>
    </row>
    <row r="552" spans="4:92" x14ac:dyDescent="0.35">
      <c r="D552" s="1">
        <v>1.16906E-7</v>
      </c>
      <c r="E552">
        <v>147.626</v>
      </c>
      <c r="F552">
        <v>9.4238199999999994E-3</v>
      </c>
      <c r="G552">
        <v>33.386000000000003</v>
      </c>
      <c r="I552" s="1">
        <v>1.16906E-7</v>
      </c>
      <c r="J552">
        <f t="shared" si="97"/>
        <v>0.262013243394567</v>
      </c>
      <c r="K552">
        <v>5.0014476904047753E-5</v>
      </c>
      <c r="L552">
        <v>0.10976225033685903</v>
      </c>
      <c r="N552" s="1">
        <v>1.16906E-7</v>
      </c>
      <c r="O552">
        <f t="shared" si="98"/>
        <v>5.0014476904047753E-5</v>
      </c>
      <c r="Q552" s="1">
        <v>1.16906E-7</v>
      </c>
      <c r="R552">
        <f t="shared" si="99"/>
        <v>0.10976225033685903</v>
      </c>
      <c r="CH552" s="1">
        <v>1.0822E-7</v>
      </c>
      <c r="CI552">
        <v>10.067</v>
      </c>
      <c r="CJ552">
        <f t="shared" si="100"/>
        <v>782.39722317621124</v>
      </c>
      <c r="CL552" s="1">
        <v>1.0822E-7</v>
      </c>
      <c r="CM552">
        <v>5.076E-2</v>
      </c>
      <c r="CN552">
        <f t="shared" si="101"/>
        <v>3.9450166929993524</v>
      </c>
    </row>
    <row r="553" spans="4:92" x14ac:dyDescent="0.35">
      <c r="D553" s="1">
        <v>1.1842E-7</v>
      </c>
      <c r="E553">
        <v>147.65299999999999</v>
      </c>
      <c r="F553">
        <v>9.2424800000000008E-3</v>
      </c>
      <c r="G553">
        <v>34.264699999999998</v>
      </c>
      <c r="I553" s="1">
        <v>1.1842E-7</v>
      </c>
      <c r="J553">
        <f t="shared" si="97"/>
        <v>0.26206116420507225</v>
      </c>
      <c r="K553">
        <v>4.9052061955356045E-5</v>
      </c>
      <c r="L553">
        <v>0.11265112859034843</v>
      </c>
      <c r="N553" s="1">
        <v>1.1842E-7</v>
      </c>
      <c r="O553">
        <f t="shared" si="98"/>
        <v>4.9052061955356045E-5</v>
      </c>
      <c r="Q553" s="1">
        <v>1.1842E-7</v>
      </c>
      <c r="R553">
        <f t="shared" si="99"/>
        <v>0.11265112859034843</v>
      </c>
      <c r="CH553" s="1">
        <v>1.09622E-7</v>
      </c>
      <c r="CI553">
        <v>10.451599999999999</v>
      </c>
      <c r="CJ553">
        <f t="shared" si="100"/>
        <v>812.28795249314476</v>
      </c>
      <c r="CL553" s="1">
        <v>1.09622E-7</v>
      </c>
      <c r="CM553">
        <v>8.2460000000000006E-2</v>
      </c>
      <c r="CN553">
        <f t="shared" si="101"/>
        <v>6.4087091509993428</v>
      </c>
    </row>
    <row r="554" spans="4:92" x14ac:dyDescent="0.35">
      <c r="D554" s="1">
        <v>1.1995399999999999E-7</v>
      </c>
      <c r="E554">
        <v>149.41200000000001</v>
      </c>
      <c r="F554">
        <v>7.0631799999999996E-3</v>
      </c>
      <c r="G554">
        <v>34.592100000000002</v>
      </c>
      <c r="I554" s="1">
        <v>1.1995399999999999E-7</v>
      </c>
      <c r="J554">
        <f t="shared" si="97"/>
        <v>0.26518311626725</v>
      </c>
      <c r="K554">
        <v>3.7485993257419182E-5</v>
      </c>
      <c r="L554">
        <v>0.1137275127262224</v>
      </c>
      <c r="N554" s="1">
        <v>1.1995399999999999E-7</v>
      </c>
      <c r="O554">
        <f t="shared" si="98"/>
        <v>3.7485993257419182E-5</v>
      </c>
      <c r="Q554" s="1">
        <v>1.1995399999999999E-7</v>
      </c>
      <c r="R554">
        <f t="shared" si="99"/>
        <v>0.1137275127262224</v>
      </c>
      <c r="CH554" s="1">
        <v>1.1104099999999999E-7</v>
      </c>
      <c r="CI554">
        <v>10.2011</v>
      </c>
      <c r="CJ554">
        <f t="shared" si="100"/>
        <v>792.81934174459604</v>
      </c>
      <c r="CL554" s="1">
        <v>1.1104099999999999E-7</v>
      </c>
      <c r="CM554">
        <v>5.6500000000000002E-2</v>
      </c>
      <c r="CN554">
        <f t="shared" si="101"/>
        <v>4.3911237816088144</v>
      </c>
    </row>
    <row r="555" spans="4:92" x14ac:dyDescent="0.35">
      <c r="D555" s="1">
        <v>1.21507E-7</v>
      </c>
      <c r="E555">
        <v>151.024</v>
      </c>
      <c r="F555">
        <v>2.1506600000000001E-2</v>
      </c>
      <c r="G555">
        <v>35.032899999999998</v>
      </c>
      <c r="I555" s="1">
        <v>1.21507E-7</v>
      </c>
      <c r="J555">
        <f t="shared" si="97"/>
        <v>0.26804416613889887</v>
      </c>
      <c r="K555">
        <v>1.1414069336899404E-4</v>
      </c>
      <c r="L555">
        <v>0.11517671897879794</v>
      </c>
      <c r="N555" s="1">
        <v>1.21507E-7</v>
      </c>
      <c r="O555">
        <f t="shared" si="98"/>
        <v>1.1414069336899404E-4</v>
      </c>
      <c r="Q555" s="1">
        <v>1.21507E-7</v>
      </c>
      <c r="R555">
        <f t="shared" si="99"/>
        <v>0.11517671897879794</v>
      </c>
      <c r="CH555" s="1">
        <v>1.12479E-7</v>
      </c>
      <c r="CI555">
        <v>10.782</v>
      </c>
      <c r="CJ555">
        <f t="shared" si="100"/>
        <v>837.96631173993342</v>
      </c>
      <c r="CL555" s="1">
        <v>1.12479E-7</v>
      </c>
      <c r="CM555">
        <v>5.6120000000000003E-2</v>
      </c>
      <c r="CN555">
        <f t="shared" si="101"/>
        <v>4.3615905597148084</v>
      </c>
    </row>
    <row r="556" spans="4:92" x14ac:dyDescent="0.35">
      <c r="D556" s="1">
        <v>1.2307999999999999E-7</v>
      </c>
      <c r="E556">
        <v>152.56200000000001</v>
      </c>
      <c r="F556">
        <v>2.59782E-2</v>
      </c>
      <c r="G556">
        <v>35.646900000000002</v>
      </c>
      <c r="I556" s="1">
        <v>1.2307999999999999E-7</v>
      </c>
      <c r="J556">
        <f t="shared" si="97"/>
        <v>0.27077387749286663</v>
      </c>
      <c r="K556">
        <v>1.3787254891421243E-4</v>
      </c>
      <c r="L556">
        <v>0.11719535019268497</v>
      </c>
      <c r="N556" s="1">
        <v>1.2307999999999999E-7</v>
      </c>
      <c r="O556">
        <f t="shared" si="98"/>
        <v>1.3787254891421243E-4</v>
      </c>
      <c r="Q556" s="1">
        <v>1.2307999999999999E-7</v>
      </c>
      <c r="R556">
        <f t="shared" si="99"/>
        <v>0.11719535019268497</v>
      </c>
      <c r="CH556" s="1">
        <v>1.13936E-7</v>
      </c>
      <c r="CI556">
        <v>11.588100000000001</v>
      </c>
      <c r="CJ556">
        <f t="shared" si="100"/>
        <v>900.61560165771868</v>
      </c>
      <c r="CL556" s="1">
        <v>1.13936E-7</v>
      </c>
      <c r="CM556">
        <v>5.9429999999999997E-2</v>
      </c>
      <c r="CN556">
        <f t="shared" si="101"/>
        <v>4.6188404662125988</v>
      </c>
    </row>
    <row r="557" spans="4:92" x14ac:dyDescent="0.35">
      <c r="D557" s="1">
        <v>1.24674E-7</v>
      </c>
      <c r="E557">
        <v>153.67599999999999</v>
      </c>
      <c r="F557">
        <v>1.93429E-2</v>
      </c>
      <c r="G557">
        <v>35.998399999999997</v>
      </c>
      <c r="I557" s="1">
        <v>1.24674E-7</v>
      </c>
      <c r="J557">
        <f t="shared" si="97"/>
        <v>0.272751054637418</v>
      </c>
      <c r="K557">
        <v>1.0265741761910831E-4</v>
      </c>
      <c r="L557">
        <v>0.11835096724754045</v>
      </c>
      <c r="N557" s="1">
        <v>1.24674E-7</v>
      </c>
      <c r="O557">
        <f t="shared" si="98"/>
        <v>1.0265741761910831E-4</v>
      </c>
      <c r="Q557" s="1">
        <v>1.24674E-7</v>
      </c>
      <c r="R557">
        <f t="shared" si="99"/>
        <v>0.11835096724754045</v>
      </c>
      <c r="CH557" s="1">
        <v>1.15411E-7</v>
      </c>
      <c r="CI557">
        <v>11.3649</v>
      </c>
      <c r="CJ557">
        <f t="shared" si="100"/>
        <v>883.2687197452392</v>
      </c>
      <c r="CL557" s="1">
        <v>1.15411E-7</v>
      </c>
      <c r="CM557">
        <v>6.4269999999999994E-2</v>
      </c>
      <c r="CN557">
        <f t="shared" si="101"/>
        <v>4.9950004503362564</v>
      </c>
    </row>
    <row r="558" spans="4:92" x14ac:dyDescent="0.35">
      <c r="D558" s="1">
        <v>1.26289E-7</v>
      </c>
      <c r="E558">
        <v>154.733</v>
      </c>
      <c r="F558">
        <v>7.20479E-3</v>
      </c>
      <c r="G558">
        <v>36.209800000000001</v>
      </c>
      <c r="I558" s="1">
        <v>1.26289E-7</v>
      </c>
      <c r="J558">
        <f t="shared" si="97"/>
        <v>0.27462706562645828</v>
      </c>
      <c r="K558">
        <v>3.8237551550593527E-5</v>
      </c>
      <c r="L558">
        <v>0.11904598131694716</v>
      </c>
      <c r="N558" s="1">
        <v>1.26289E-7</v>
      </c>
      <c r="O558">
        <f t="shared" si="98"/>
        <v>3.8237551550593527E-5</v>
      </c>
      <c r="Q558" s="1">
        <v>1.26289E-7</v>
      </c>
      <c r="R558">
        <f t="shared" si="99"/>
        <v>0.11904598131694716</v>
      </c>
      <c r="CH558" s="1">
        <v>1.16906E-7</v>
      </c>
      <c r="CI558">
        <v>11.039300000000001</v>
      </c>
      <c r="CJ558">
        <f t="shared" si="100"/>
        <v>857.96341172237499</v>
      </c>
      <c r="CL558" s="1">
        <v>1.16906E-7</v>
      </c>
      <c r="CM558">
        <v>5.9979999999999999E-2</v>
      </c>
      <c r="CN558">
        <f t="shared" si="101"/>
        <v>4.6615859189539233</v>
      </c>
    </row>
    <row r="559" spans="4:92" x14ac:dyDescent="0.35">
      <c r="D559" s="1">
        <v>1.27924E-7</v>
      </c>
      <c r="E559">
        <v>155.85599999999999</v>
      </c>
      <c r="F559">
        <v>1.8930599999999999E-2</v>
      </c>
      <c r="G559">
        <v>36.564100000000003</v>
      </c>
      <c r="I559" s="1">
        <v>1.27924E-7</v>
      </c>
      <c r="J559">
        <f t="shared" si="97"/>
        <v>0.27662021637451145</v>
      </c>
      <c r="K559">
        <v>1.0046924246003918E-4</v>
      </c>
      <c r="L559">
        <v>0.12021080385616567</v>
      </c>
      <c r="N559" s="1">
        <v>1.27924E-7</v>
      </c>
      <c r="O559">
        <f t="shared" si="98"/>
        <v>1.0046924246003918E-4</v>
      </c>
      <c r="Q559" s="1">
        <v>1.27924E-7</v>
      </c>
      <c r="R559">
        <f t="shared" si="99"/>
        <v>0.12021080385616567</v>
      </c>
      <c r="CH559" s="1">
        <v>1.1842E-7</v>
      </c>
      <c r="CI559">
        <v>11.9855</v>
      </c>
      <c r="CJ559">
        <f t="shared" si="100"/>
        <v>931.50113423845039</v>
      </c>
      <c r="CL559" s="1">
        <v>1.1842E-7</v>
      </c>
      <c r="CM559">
        <v>6.479E-2</v>
      </c>
      <c r="CN559">
        <f t="shared" si="101"/>
        <v>5.0354143329280543</v>
      </c>
    </row>
    <row r="560" spans="4:92" x14ac:dyDescent="0.35">
      <c r="D560" s="1">
        <v>1.29581E-7</v>
      </c>
      <c r="E560">
        <v>156.52799999999999</v>
      </c>
      <c r="F560">
        <v>2.4343E-2</v>
      </c>
      <c r="G560">
        <v>36.261400000000002</v>
      </c>
      <c r="I560" s="1">
        <v>1.29581E-7</v>
      </c>
      <c r="J560">
        <f t="shared" si="97"/>
        <v>0.27781291210264303</v>
      </c>
      <c r="K560">
        <v>1.2919414964157152E-4</v>
      </c>
      <c r="L560">
        <v>0.11921562524306535</v>
      </c>
      <c r="N560" s="1">
        <v>1.29581E-7</v>
      </c>
      <c r="O560">
        <f t="shared" si="98"/>
        <v>1.2919414964157152E-4</v>
      </c>
      <c r="Q560" s="1">
        <v>1.29581E-7</v>
      </c>
      <c r="R560">
        <f t="shared" si="99"/>
        <v>0.11921562524306535</v>
      </c>
      <c r="CH560" s="1">
        <v>1.1995399999999999E-7</v>
      </c>
      <c r="CI560">
        <v>11.913399999999999</v>
      </c>
      <c r="CJ560">
        <f t="shared" si="100"/>
        <v>925.89759397908756</v>
      </c>
      <c r="CL560" s="1">
        <v>1.1995399999999999E-7</v>
      </c>
      <c r="CM560">
        <v>6.9250000000000006E-2</v>
      </c>
      <c r="CN560">
        <f t="shared" si="101"/>
        <v>5.3820410951577067</v>
      </c>
    </row>
    <row r="561" spans="4:92" x14ac:dyDescent="0.35">
      <c r="D561" s="1">
        <v>1.31259E-7</v>
      </c>
      <c r="E561">
        <v>158.34100000000001</v>
      </c>
      <c r="F561">
        <v>3.34396E-2</v>
      </c>
      <c r="G561">
        <v>36.377800000000001</v>
      </c>
      <c r="I561" s="1">
        <v>1.31259E-7</v>
      </c>
      <c r="J561">
        <f t="shared" si="97"/>
        <v>0.28103070578583128</v>
      </c>
      <c r="K561">
        <v>1.7747199138784436E-4</v>
      </c>
      <c r="L561">
        <v>0.11959831037872731</v>
      </c>
      <c r="N561" s="1">
        <v>1.31259E-7</v>
      </c>
      <c r="O561">
        <f t="shared" si="98"/>
        <v>1.7747199138784436E-4</v>
      </c>
      <c r="Q561" s="1">
        <v>1.31259E-7</v>
      </c>
      <c r="R561">
        <f t="shared" si="99"/>
        <v>0.11959831037872731</v>
      </c>
      <c r="CH561" s="1">
        <v>1.21507E-7</v>
      </c>
      <c r="CI561">
        <v>12.281000000000001</v>
      </c>
      <c r="CJ561">
        <f t="shared" si="100"/>
        <v>954.46710021128945</v>
      </c>
      <c r="CL561" s="1">
        <v>1.21507E-7</v>
      </c>
      <c r="CM561">
        <v>4.9829999999999999E-2</v>
      </c>
      <c r="CN561">
        <f t="shared" si="101"/>
        <v>3.8727380183640214</v>
      </c>
    </row>
    <row r="562" spans="4:92" x14ac:dyDescent="0.35">
      <c r="D562" s="1">
        <v>1.3295899999999999E-7</v>
      </c>
      <c r="E562">
        <v>158.94499999999999</v>
      </c>
      <c r="F562">
        <v>2.6145000000000002E-2</v>
      </c>
      <c r="G562">
        <v>37.148800000000001</v>
      </c>
      <c r="I562" s="1">
        <v>1.3295899999999999E-7</v>
      </c>
      <c r="J562">
        <f t="shared" si="97"/>
        <v>0.28210271206528287</v>
      </c>
      <c r="K562">
        <v>1.3875779658952832E-4</v>
      </c>
      <c r="L562">
        <v>0.12213310625153982</v>
      </c>
      <c r="N562" s="1">
        <v>1.3295899999999999E-7</v>
      </c>
      <c r="O562">
        <f t="shared" si="98"/>
        <v>1.3875779658952832E-4</v>
      </c>
      <c r="Q562" s="1">
        <v>1.3295899999999999E-7</v>
      </c>
      <c r="R562">
        <f t="shared" si="99"/>
        <v>0.12213310625153982</v>
      </c>
      <c r="CH562" s="1">
        <v>1.2307999999999999E-7</v>
      </c>
      <c r="CI562">
        <v>11.8245</v>
      </c>
      <c r="CJ562">
        <f t="shared" si="100"/>
        <v>918.98837443598984</v>
      </c>
      <c r="CL562" s="1">
        <v>1.2307999999999999E-7</v>
      </c>
      <c r="CM562">
        <v>5.1700000000000003E-2</v>
      </c>
      <c r="CN562">
        <f t="shared" si="101"/>
        <v>4.0180725576845262</v>
      </c>
    </row>
    <row r="563" spans="4:92" x14ac:dyDescent="0.35">
      <c r="D563" s="1">
        <v>1.3468099999999999E-7</v>
      </c>
      <c r="E563">
        <v>160.38300000000001</v>
      </c>
      <c r="F563">
        <v>2.6289199999999999E-2</v>
      </c>
      <c r="G563">
        <v>37.211100000000002</v>
      </c>
      <c r="I563" s="1">
        <v>1.3468099999999999E-7</v>
      </c>
      <c r="J563">
        <f t="shared" si="97"/>
        <v>0.28465493893589772</v>
      </c>
      <c r="K563">
        <v>1.3952310063497522E-4</v>
      </c>
      <c r="L563">
        <v>0.12233792827861663</v>
      </c>
      <c r="N563" s="1">
        <v>1.3468099999999999E-7</v>
      </c>
      <c r="O563">
        <f t="shared" si="98"/>
        <v>1.3952310063497522E-4</v>
      </c>
      <c r="Q563" s="1">
        <v>1.3468099999999999E-7</v>
      </c>
      <c r="R563">
        <f t="shared" si="99"/>
        <v>0.12233792827861663</v>
      </c>
      <c r="CH563" s="1">
        <v>1.24674E-7</v>
      </c>
      <c r="CI563">
        <v>12.036300000000001</v>
      </c>
      <c r="CJ563">
        <f t="shared" si="100"/>
        <v>935.4492596916491</v>
      </c>
      <c r="CL563" s="1">
        <v>1.24674E-7</v>
      </c>
      <c r="CM563">
        <v>5.8610000000000002E-2</v>
      </c>
      <c r="CN563">
        <f t="shared" si="101"/>
        <v>4.5551108821255335</v>
      </c>
    </row>
    <row r="564" spans="4:92" x14ac:dyDescent="0.35">
      <c r="D564" s="1">
        <v>1.3642500000000001E-7</v>
      </c>
      <c r="E564">
        <v>161.24100000000001</v>
      </c>
      <c r="F564">
        <v>3.40875E-2</v>
      </c>
      <c r="G564">
        <v>37.950600000000001</v>
      </c>
      <c r="I564" s="1">
        <v>1.3642500000000001E-7</v>
      </c>
      <c r="J564">
        <f t="shared" si="97"/>
        <v>0.2861777558030657</v>
      </c>
      <c r="K564">
        <v>1.8091055235209584E-4</v>
      </c>
      <c r="L564">
        <v>0.12476916245234534</v>
      </c>
      <c r="N564" s="1">
        <v>1.3642500000000001E-7</v>
      </c>
      <c r="O564">
        <f t="shared" si="98"/>
        <v>1.8091055235209584E-4</v>
      </c>
      <c r="Q564" s="1">
        <v>1.3642500000000001E-7</v>
      </c>
      <c r="R564">
        <f t="shared" si="99"/>
        <v>0.12476916245234534</v>
      </c>
      <c r="CH564" s="1">
        <v>1.26289E-7</v>
      </c>
      <c r="CI564">
        <v>12.1195</v>
      </c>
      <c r="CJ564">
        <f t="shared" si="100"/>
        <v>941.91548090633682</v>
      </c>
      <c r="CL564" s="1">
        <v>1.26289E-7</v>
      </c>
      <c r="CM564">
        <v>5.527E-2</v>
      </c>
      <c r="CN564">
        <f t="shared" si="101"/>
        <v>4.2955294054782156</v>
      </c>
    </row>
    <row r="565" spans="4:92" x14ac:dyDescent="0.35">
      <c r="D565" s="1">
        <v>1.38192E-7</v>
      </c>
      <c r="E565">
        <v>162.02199999999999</v>
      </c>
      <c r="F565">
        <v>1.95409E-2</v>
      </c>
      <c r="G565">
        <v>38.156399999999998</v>
      </c>
      <c r="I565" s="1">
        <v>1.38192E-7</v>
      </c>
      <c r="J565">
        <f t="shared" si="97"/>
        <v>0.28756390961805189</v>
      </c>
      <c r="K565">
        <v>1.0370825119052643E-4</v>
      </c>
      <c r="L565">
        <v>0.12544576555302603</v>
      </c>
      <c r="N565" s="1">
        <v>1.38192E-7</v>
      </c>
      <c r="O565">
        <f t="shared" si="98"/>
        <v>1.0370825119052643E-4</v>
      </c>
      <c r="Q565" s="1">
        <v>1.38192E-7</v>
      </c>
      <c r="R565">
        <f t="shared" si="99"/>
        <v>0.12544576555302603</v>
      </c>
      <c r="CH565" s="1">
        <v>1.27924E-7</v>
      </c>
      <c r="CI565">
        <v>12.332800000000001</v>
      </c>
      <c r="CJ565">
        <f t="shared" si="100"/>
        <v>958.49294466947242</v>
      </c>
      <c r="CL565" s="1">
        <v>1.27924E-7</v>
      </c>
      <c r="CM565">
        <v>5.8569999999999997E-2</v>
      </c>
      <c r="CN565">
        <f t="shared" si="101"/>
        <v>4.5520021219261633</v>
      </c>
    </row>
    <row r="566" spans="4:92" x14ac:dyDescent="0.35">
      <c r="D566" s="1">
        <v>1.3998099999999999E-7</v>
      </c>
      <c r="E566">
        <v>162.845</v>
      </c>
      <c r="F566">
        <v>2.8520799999999999E-2</v>
      </c>
      <c r="G566">
        <v>38.639200000000002</v>
      </c>
      <c r="I566" s="1">
        <v>1.3998099999999999E-7</v>
      </c>
      <c r="J566">
        <f t="shared" si="97"/>
        <v>0.28902460691604637</v>
      </c>
      <c r="K566">
        <v>1.5136673799849372E-4</v>
      </c>
      <c r="L566">
        <v>0.12703305407104665</v>
      </c>
      <c r="N566" s="1">
        <v>1.3998099999999999E-7</v>
      </c>
      <c r="O566">
        <f t="shared" si="98"/>
        <v>1.5136673799849372E-4</v>
      </c>
      <c r="Q566" s="1">
        <v>1.3998099999999999E-7</v>
      </c>
      <c r="R566">
        <f t="shared" si="99"/>
        <v>0.12703305407104665</v>
      </c>
      <c r="CH566" s="1">
        <v>1.29581E-7</v>
      </c>
      <c r="CI566">
        <v>12.842000000000001</v>
      </c>
      <c r="CJ566">
        <f t="shared" si="100"/>
        <v>998.06746200744067</v>
      </c>
      <c r="CL566" s="1">
        <v>1.29581E-7</v>
      </c>
      <c r="CM566">
        <v>5.3609999999999998E-2</v>
      </c>
      <c r="CN566">
        <f t="shared" si="101"/>
        <v>4.1665158572043985</v>
      </c>
    </row>
    <row r="567" spans="4:92" x14ac:dyDescent="0.35">
      <c r="D567" s="1">
        <v>1.4179400000000001E-7</v>
      </c>
      <c r="E567">
        <v>164.19800000000001</v>
      </c>
      <c r="F567">
        <v>2.6598400000000001E-2</v>
      </c>
      <c r="G567">
        <v>39.336300000000001</v>
      </c>
      <c r="I567" s="1">
        <v>1.4179400000000001E-7</v>
      </c>
      <c r="J567">
        <f t="shared" si="97"/>
        <v>0.29142597197581127</v>
      </c>
      <c r="K567">
        <v>1.411640993232706E-4</v>
      </c>
      <c r="L567">
        <v>0.1293248909101356</v>
      </c>
      <c r="N567" s="1">
        <v>1.4179400000000001E-7</v>
      </c>
      <c r="O567">
        <f t="shared" si="98"/>
        <v>1.411640993232706E-4</v>
      </c>
      <c r="Q567" s="1">
        <v>1.4179400000000001E-7</v>
      </c>
      <c r="R567">
        <f t="shared" si="99"/>
        <v>0.1293248909101356</v>
      </c>
      <c r="CH567" s="1">
        <v>1.31259E-7</v>
      </c>
      <c r="CI567">
        <v>13.275700000000001</v>
      </c>
      <c r="CJ567">
        <f t="shared" si="100"/>
        <v>1031.7741944690997</v>
      </c>
      <c r="CL567" s="1">
        <v>1.31259E-7</v>
      </c>
      <c r="CM567">
        <v>5.808E-2</v>
      </c>
      <c r="CN567">
        <f t="shared" si="101"/>
        <v>4.5139198094838928</v>
      </c>
    </row>
    <row r="568" spans="4:92" x14ac:dyDescent="0.35">
      <c r="D568" s="1">
        <v>1.4363E-7</v>
      </c>
      <c r="E568">
        <v>165.31800000000001</v>
      </c>
      <c r="F568">
        <v>1.68027E-2</v>
      </c>
      <c r="G568">
        <v>38.856000000000002</v>
      </c>
      <c r="I568" s="1">
        <v>1.4363E-7</v>
      </c>
      <c r="J568">
        <f t="shared" si="97"/>
        <v>0.29341379818936386</v>
      </c>
      <c r="K568">
        <v>8.9175965911450256E-5</v>
      </c>
      <c r="L568">
        <v>0.12774582157458197</v>
      </c>
      <c r="N568" s="1">
        <v>1.4363E-7</v>
      </c>
      <c r="O568">
        <f t="shared" si="98"/>
        <v>8.9175965911450256E-5</v>
      </c>
      <c r="Q568" s="1">
        <v>1.4363E-7</v>
      </c>
      <c r="R568">
        <f t="shared" si="99"/>
        <v>0.12774582157458197</v>
      </c>
      <c r="CH568" s="1">
        <v>1.3295899999999999E-7</v>
      </c>
      <c r="CI568">
        <v>12.778600000000001</v>
      </c>
      <c r="CJ568">
        <f t="shared" si="100"/>
        <v>993.14007709144073</v>
      </c>
      <c r="CL568" s="1">
        <v>1.3295899999999999E-7</v>
      </c>
      <c r="CM568">
        <v>5.7590000000000002E-2</v>
      </c>
      <c r="CN568">
        <f t="shared" si="101"/>
        <v>4.4758374970416215</v>
      </c>
    </row>
    <row r="569" spans="4:92" x14ac:dyDescent="0.35">
      <c r="D569" s="1">
        <v>1.4548999999999999E-7</v>
      </c>
      <c r="E569">
        <v>165.13800000000001</v>
      </c>
      <c r="F569">
        <v>2.18228E-2</v>
      </c>
      <c r="G569">
        <v>39.145099999999999</v>
      </c>
      <c r="I569" s="1">
        <v>1.4548999999999999E-7</v>
      </c>
      <c r="J569">
        <f t="shared" si="97"/>
        <v>0.29309432611932856</v>
      </c>
      <c r="K569">
        <v>1.1581884273910723E-4</v>
      </c>
      <c r="L569">
        <v>0.12869628783506198</v>
      </c>
      <c r="N569" s="1">
        <v>1.4548999999999999E-7</v>
      </c>
      <c r="O569">
        <f t="shared" si="98"/>
        <v>1.1581884273910723E-4</v>
      </c>
      <c r="Q569" s="1">
        <v>1.4548999999999999E-7</v>
      </c>
      <c r="R569">
        <f t="shared" si="99"/>
        <v>0.12869628783506198</v>
      </c>
      <c r="CH569" s="1">
        <v>1.3468099999999999E-7</v>
      </c>
      <c r="CI569">
        <v>14.2157</v>
      </c>
      <c r="CJ569">
        <f t="shared" si="100"/>
        <v>1104.8300591542729</v>
      </c>
      <c r="CL569" s="1">
        <v>1.3468099999999999E-7</v>
      </c>
      <c r="CM569">
        <v>4.6539999999999998E-2</v>
      </c>
      <c r="CN569">
        <f t="shared" si="101"/>
        <v>3.6170424919659152</v>
      </c>
    </row>
    <row r="570" spans="4:92" x14ac:dyDescent="0.35">
      <c r="D570" s="1">
        <v>1.4737400000000001E-7</v>
      </c>
      <c r="E570">
        <v>166.80199999999999</v>
      </c>
      <c r="F570">
        <v>2.9469100000000002E-2</v>
      </c>
      <c r="G570">
        <v>39.274099999999997</v>
      </c>
      <c r="I570" s="1">
        <v>1.4737400000000001E-7</v>
      </c>
      <c r="J570">
        <f t="shared" si="97"/>
        <v>0.29604766792232101</v>
      </c>
      <c r="K570">
        <v>1.5639959393675535E-4</v>
      </c>
      <c r="L570">
        <v>0.12912039765035746</v>
      </c>
      <c r="N570" s="1">
        <v>1.4737400000000001E-7</v>
      </c>
      <c r="O570">
        <f t="shared" si="98"/>
        <v>1.5639959393675535E-4</v>
      </c>
      <c r="Q570" s="1">
        <v>1.4737400000000001E-7</v>
      </c>
      <c r="R570">
        <f t="shared" si="99"/>
        <v>0.12912039765035746</v>
      </c>
      <c r="CH570" s="1">
        <v>1.3642500000000001E-7</v>
      </c>
      <c r="CI570">
        <v>13.4838</v>
      </c>
      <c r="CJ570">
        <f t="shared" si="100"/>
        <v>1047.9475194063175</v>
      </c>
      <c r="CL570" s="1">
        <v>1.3642500000000001E-7</v>
      </c>
      <c r="CM570">
        <v>5.9319999999999998E-2</v>
      </c>
      <c r="CN570">
        <f t="shared" si="101"/>
        <v>4.6102913756643336</v>
      </c>
    </row>
    <row r="571" spans="4:92" x14ac:dyDescent="0.35">
      <c r="D571" s="1">
        <v>1.49283E-7</v>
      </c>
      <c r="E571">
        <v>166.79599999999999</v>
      </c>
      <c r="F571">
        <v>3.1594799999999999E-2</v>
      </c>
      <c r="G571">
        <v>39.731099999999998</v>
      </c>
      <c r="I571" s="1">
        <v>1.49283E-7</v>
      </c>
      <c r="J571">
        <f t="shared" si="97"/>
        <v>0.29603701885331979</v>
      </c>
      <c r="K571">
        <v>1.6768119455677294E-4</v>
      </c>
      <c r="L571">
        <v>0.13062286420531896</v>
      </c>
      <c r="N571" s="1">
        <v>1.49283E-7</v>
      </c>
      <c r="O571">
        <f t="shared" si="98"/>
        <v>1.6768119455677294E-4</v>
      </c>
      <c r="Q571" s="1">
        <v>1.49283E-7</v>
      </c>
      <c r="R571">
        <f t="shared" si="99"/>
        <v>0.13062286420531896</v>
      </c>
      <c r="CH571" s="1">
        <v>1.38192E-7</v>
      </c>
      <c r="CI571">
        <v>13.9956</v>
      </c>
      <c r="CJ571">
        <f t="shared" si="100"/>
        <v>1087.7241061572447</v>
      </c>
      <c r="CL571" s="1">
        <v>1.38192E-7</v>
      </c>
      <c r="CM571">
        <v>5.2449999999999997E-2</v>
      </c>
      <c r="CN571">
        <f t="shared" si="101"/>
        <v>4.0763618114226956</v>
      </c>
    </row>
    <row r="572" spans="4:92" x14ac:dyDescent="0.35">
      <c r="D572" s="1">
        <v>1.51216E-7</v>
      </c>
      <c r="E572">
        <v>167.26499999999999</v>
      </c>
      <c r="F572">
        <v>4.8760199999999997E-2</v>
      </c>
      <c r="G572">
        <v>39.566499999999998</v>
      </c>
      <c r="I572" s="1">
        <v>1.51216E-7</v>
      </c>
      <c r="J572">
        <f t="shared" si="97"/>
        <v>0.29686942108024494</v>
      </c>
      <c r="K572">
        <v>2.5878209651041185E-4</v>
      </c>
      <c r="L572">
        <v>0.13008171323169387</v>
      </c>
      <c r="N572" s="1">
        <v>1.51216E-7</v>
      </c>
      <c r="O572">
        <f t="shared" si="98"/>
        <v>2.5878209651041185E-4</v>
      </c>
      <c r="Q572" s="1">
        <v>1.51216E-7</v>
      </c>
      <c r="R572">
        <f t="shared" si="99"/>
        <v>0.13008171323169387</v>
      </c>
      <c r="CH572" s="1">
        <v>1.3998099999999999E-7</v>
      </c>
      <c r="CI572">
        <v>13.541399999999999</v>
      </c>
      <c r="CJ572">
        <f t="shared" si="100"/>
        <v>1052.4241340934088</v>
      </c>
      <c r="CL572" s="1">
        <v>1.3998099999999999E-7</v>
      </c>
      <c r="CM572">
        <v>5.3900000000000003E-2</v>
      </c>
      <c r="CN572">
        <f t="shared" si="101"/>
        <v>4.1890543686498249</v>
      </c>
    </row>
    <row r="573" spans="4:92" x14ac:dyDescent="0.35">
      <c r="D573" s="1">
        <v>1.5317399999999999E-7</v>
      </c>
      <c r="E573">
        <v>168.33699999999999</v>
      </c>
      <c r="F573">
        <v>1.19963E-2</v>
      </c>
      <c r="G573">
        <v>40.058500000000002</v>
      </c>
      <c r="I573" s="1">
        <v>1.5317399999999999E-7</v>
      </c>
      <c r="J573">
        <f t="shared" si="97"/>
        <v>0.29877205474178814</v>
      </c>
      <c r="K573">
        <v>6.3667246327288522E-5</v>
      </c>
      <c r="L573">
        <v>0.13169924834119293</v>
      </c>
      <c r="N573" s="1">
        <v>1.5317399999999999E-7</v>
      </c>
      <c r="O573">
        <f t="shared" si="98"/>
        <v>6.3667246327288522E-5</v>
      </c>
      <c r="Q573" s="1">
        <v>1.5317399999999999E-7</v>
      </c>
      <c r="R573">
        <f t="shared" si="99"/>
        <v>0.13169924834119293</v>
      </c>
      <c r="CH573" s="1">
        <v>1.4179400000000001E-7</v>
      </c>
      <c r="CI573">
        <v>14.129200000000001</v>
      </c>
      <c r="CJ573">
        <f t="shared" si="100"/>
        <v>1098.1073652231373</v>
      </c>
      <c r="CL573" s="1">
        <v>1.4179400000000001E-7</v>
      </c>
      <c r="CM573">
        <v>4.8480000000000002E-2</v>
      </c>
      <c r="CN573">
        <f t="shared" si="101"/>
        <v>3.7678173616353154</v>
      </c>
    </row>
    <row r="574" spans="4:92" x14ac:dyDescent="0.35">
      <c r="D574" s="1">
        <v>1.5515799999999999E-7</v>
      </c>
      <c r="E574">
        <v>169.922</v>
      </c>
      <c r="F574">
        <v>2.4835599999999999E-2</v>
      </c>
      <c r="G574">
        <v>40.194899999999997</v>
      </c>
      <c r="I574" s="1">
        <v>1.5515799999999999E-7</v>
      </c>
      <c r="J574">
        <f t="shared" si="97"/>
        <v>0.30158518380293181</v>
      </c>
      <c r="K574">
        <v>1.3180849619349354E-4</v>
      </c>
      <c r="L574">
        <v>0.13214768693659062</v>
      </c>
      <c r="N574" s="1">
        <v>1.5515799999999999E-7</v>
      </c>
      <c r="O574">
        <f t="shared" si="98"/>
        <v>1.3180849619349354E-4</v>
      </c>
      <c r="Q574" s="1">
        <v>1.5515799999999999E-7</v>
      </c>
      <c r="R574">
        <f t="shared" si="99"/>
        <v>0.13214768693659062</v>
      </c>
      <c r="CH574" s="1">
        <v>1.4363E-7</v>
      </c>
      <c r="CI574">
        <v>14.292199999999999</v>
      </c>
      <c r="CJ574">
        <f t="shared" si="100"/>
        <v>1110.7755630355662</v>
      </c>
      <c r="CL574" s="1">
        <v>1.4363E-7</v>
      </c>
      <c r="CM574">
        <v>4.4290000000000003E-2</v>
      </c>
      <c r="CN574">
        <f t="shared" si="101"/>
        <v>3.4421747307514052</v>
      </c>
    </row>
    <row r="575" spans="4:92" x14ac:dyDescent="0.35">
      <c r="D575" s="1">
        <v>1.5716699999999999E-7</v>
      </c>
      <c r="E575">
        <v>169.553</v>
      </c>
      <c r="F575">
        <v>3.6594500000000002E-2</v>
      </c>
      <c r="G575">
        <v>40.5807</v>
      </c>
      <c r="I575" s="1">
        <v>1.5716699999999999E-7</v>
      </c>
      <c r="J575">
        <f t="shared" si="97"/>
        <v>0.30093026605935952</v>
      </c>
      <c r="K575">
        <v>1.9421580368313227E-4</v>
      </c>
      <c r="L575">
        <v>0.13341607117489293</v>
      </c>
      <c r="N575" s="1">
        <v>1.5716699999999999E-7</v>
      </c>
      <c r="O575">
        <f t="shared" si="98"/>
        <v>1.9421580368313227E-4</v>
      </c>
      <c r="Q575" s="1">
        <v>1.5716699999999999E-7</v>
      </c>
      <c r="R575">
        <f t="shared" si="99"/>
        <v>0.13341607117489293</v>
      </c>
      <c r="CH575" s="1">
        <v>1.4548999999999999E-7</v>
      </c>
      <c r="CI575">
        <v>14.353899999999999</v>
      </c>
      <c r="CJ575">
        <f t="shared" si="100"/>
        <v>1115.570825643093</v>
      </c>
      <c r="CL575" s="1">
        <v>1.4548999999999999E-7</v>
      </c>
      <c r="CM575">
        <v>5.1520000000000003E-2</v>
      </c>
      <c r="CN575">
        <f t="shared" si="101"/>
        <v>4.004083136787365</v>
      </c>
    </row>
    <row r="576" spans="4:92" x14ac:dyDescent="0.35">
      <c r="D576" s="1">
        <v>1.59203E-7</v>
      </c>
      <c r="E576">
        <v>169.88</v>
      </c>
      <c r="F576">
        <v>2.17883E-2</v>
      </c>
      <c r="G576">
        <v>41.036499999999997</v>
      </c>
      <c r="I576" s="1">
        <v>1.59203E-7</v>
      </c>
      <c r="J576">
        <f t="shared" si="97"/>
        <v>0.30151064031992358</v>
      </c>
      <c r="K576">
        <v>1.15635742950148E-4</v>
      </c>
      <c r="L576">
        <v>0.13491459252227025</v>
      </c>
      <c r="N576" s="1">
        <v>1.59203E-7</v>
      </c>
      <c r="O576">
        <f t="shared" si="98"/>
        <v>1.15635742950148E-4</v>
      </c>
      <c r="Q576" s="1">
        <v>1.59203E-7</v>
      </c>
      <c r="R576">
        <f t="shared" si="99"/>
        <v>0.13491459252227025</v>
      </c>
      <c r="CH576" s="1">
        <v>1.4737400000000001E-7</v>
      </c>
      <c r="CI576">
        <v>14.9412</v>
      </c>
      <c r="CJ576">
        <f t="shared" si="100"/>
        <v>1161.2151972703296</v>
      </c>
      <c r="CL576" s="1">
        <v>1.4737400000000001E-7</v>
      </c>
      <c r="CM576">
        <v>4.5530000000000001E-2</v>
      </c>
      <c r="CN576">
        <f t="shared" si="101"/>
        <v>3.5385462969318464</v>
      </c>
    </row>
    <row r="577" spans="4:92" x14ac:dyDescent="0.35">
      <c r="D577" s="1">
        <v>1.6126400000000001E-7</v>
      </c>
      <c r="E577">
        <v>170.33600000000001</v>
      </c>
      <c r="F577">
        <v>2.4408599999999999E-2</v>
      </c>
      <c r="G577">
        <v>40.880899999999997</v>
      </c>
      <c r="I577" s="1">
        <v>1.6126400000000001E-7</v>
      </c>
      <c r="J577">
        <f t="shared" si="97"/>
        <v>0.30231996956401286</v>
      </c>
      <c r="K577">
        <v>1.2954230460260701E-4</v>
      </c>
      <c r="L577">
        <v>0.13440303060552627</v>
      </c>
      <c r="N577" s="1">
        <v>1.6126400000000001E-7</v>
      </c>
      <c r="O577">
        <f t="shared" si="98"/>
        <v>1.2954230460260701E-4</v>
      </c>
      <c r="Q577" s="1">
        <v>1.6126400000000001E-7</v>
      </c>
      <c r="R577">
        <f t="shared" si="99"/>
        <v>0.13440303060552627</v>
      </c>
      <c r="CH577" s="1">
        <v>1.49283E-7</v>
      </c>
      <c r="CI577">
        <v>15.233599999999999</v>
      </c>
      <c r="CJ577">
        <f t="shared" si="100"/>
        <v>1183.9402343277175</v>
      </c>
      <c r="CL577" s="1">
        <v>1.49283E-7</v>
      </c>
      <c r="CM577">
        <v>4.4839999999999998E-2</v>
      </c>
      <c r="CN577">
        <f t="shared" si="101"/>
        <v>3.4849201834927297</v>
      </c>
    </row>
    <row r="578" spans="4:92" x14ac:dyDescent="0.35">
      <c r="D578" s="1">
        <v>1.6335299999999999E-7</v>
      </c>
      <c r="E578">
        <v>171.31399999999999</v>
      </c>
      <c r="F578">
        <v>4.2025199999999999E-2</v>
      </c>
      <c r="G578">
        <v>40.875</v>
      </c>
      <c r="I578" s="1">
        <v>1.6335299999999999E-7</v>
      </c>
      <c r="J578">
        <f t="shared" si="97"/>
        <v>0.3040557678112043</v>
      </c>
      <c r="K578">
        <v>2.2303783336141689E-4</v>
      </c>
      <c r="L578">
        <v>0.13438363333490422</v>
      </c>
      <c r="N578" s="1">
        <v>1.6335299999999999E-7</v>
      </c>
      <c r="O578">
        <f t="shared" si="98"/>
        <v>2.2303783336141689E-4</v>
      </c>
      <c r="Q578" s="1">
        <v>1.6335299999999999E-7</v>
      </c>
      <c r="R578">
        <f t="shared" si="99"/>
        <v>0.13438363333490422</v>
      </c>
      <c r="CH578" s="1">
        <v>1.51216E-7</v>
      </c>
      <c r="CI578">
        <v>14.561999999999999</v>
      </c>
      <c r="CJ578">
        <f t="shared" si="100"/>
        <v>1131.7441505803106</v>
      </c>
      <c r="CL578" s="1">
        <v>1.51216E-7</v>
      </c>
      <c r="CM578">
        <v>5.416E-2</v>
      </c>
      <c r="CN578">
        <f t="shared" si="101"/>
        <v>4.2092613099457239</v>
      </c>
    </row>
    <row r="579" spans="4:92" x14ac:dyDescent="0.35">
      <c r="D579" s="1">
        <v>1.6546800000000001E-7</v>
      </c>
      <c r="E579">
        <v>171.005</v>
      </c>
      <c r="F579">
        <v>3.20048E-2</v>
      </c>
      <c r="G579">
        <v>40.953699999999998</v>
      </c>
      <c r="I579" s="1">
        <v>1.6546800000000001E-7</v>
      </c>
      <c r="J579">
        <f t="shared" si="97"/>
        <v>0.3035073407576438</v>
      </c>
      <c r="K579">
        <v>1.698571630632448E-4</v>
      </c>
      <c r="L579">
        <v>0.13464237319896433</v>
      </c>
      <c r="N579" s="1">
        <v>1.6546800000000001E-7</v>
      </c>
      <c r="O579">
        <f t="shared" si="98"/>
        <v>1.698571630632448E-4</v>
      </c>
      <c r="Q579" s="1">
        <v>1.6546800000000001E-7</v>
      </c>
      <c r="R579">
        <f t="shared" si="99"/>
        <v>0.13464237319896433</v>
      </c>
      <c r="CH579" s="1">
        <v>1.5317399999999999E-7</v>
      </c>
      <c r="CI579">
        <v>15.061500000000001</v>
      </c>
      <c r="CJ579">
        <f t="shared" si="100"/>
        <v>1170.5647935699321</v>
      </c>
      <c r="CL579" s="1">
        <v>1.5317399999999999E-7</v>
      </c>
      <c r="CM579">
        <v>5.006E-2</v>
      </c>
      <c r="CN579">
        <f t="shared" si="101"/>
        <v>3.8906133895103938</v>
      </c>
    </row>
    <row r="580" spans="4:92" x14ac:dyDescent="0.35">
      <c r="D580" s="1">
        <v>1.67611E-7</v>
      </c>
      <c r="E580">
        <v>172.393</v>
      </c>
      <c r="F580">
        <v>4.9139099999999998E-2</v>
      </c>
      <c r="G580">
        <v>41.887500000000003</v>
      </c>
      <c r="I580" s="1">
        <v>1.67611E-7</v>
      </c>
      <c r="J580">
        <f t="shared" ref="J580:J643" si="102">E580/SUM($E$3:$E$2002)/$C$3</f>
        <v>0.30597082538658221</v>
      </c>
      <c r="K580">
        <v>2.6079300984480742E-4</v>
      </c>
      <c r="L580">
        <v>0.13771240223402573</v>
      </c>
      <c r="N580" s="1">
        <v>1.67611E-7</v>
      </c>
      <c r="O580">
        <f t="shared" ref="O580:O643" si="103">F580/SUM($F$3:$F$2002)/$C$3</f>
        <v>2.6079300984480742E-4</v>
      </c>
      <c r="Q580" s="1">
        <v>1.67611E-7</v>
      </c>
      <c r="R580">
        <f t="shared" ref="R580:R643" si="104">G580/SUM($G$3:$G$2002)/$C$3</f>
        <v>0.13771240223402573</v>
      </c>
      <c r="CH580" s="1">
        <v>1.5515799999999999E-7</v>
      </c>
      <c r="CI580">
        <v>14.876099999999999</v>
      </c>
      <c r="CJ580">
        <f t="shared" si="100"/>
        <v>1156.1556900458563</v>
      </c>
      <c r="CL580" s="1">
        <v>1.5515799999999999E-7</v>
      </c>
      <c r="CM580">
        <v>5.006E-2</v>
      </c>
      <c r="CN580">
        <f t="shared" si="101"/>
        <v>3.8906133895103938</v>
      </c>
    </row>
    <row r="581" spans="4:92" x14ac:dyDescent="0.35">
      <c r="D581" s="1">
        <v>1.69782E-7</v>
      </c>
      <c r="E581">
        <v>172.37899999999999</v>
      </c>
      <c r="F581">
        <v>4.8931599999999999E-2</v>
      </c>
      <c r="G581">
        <v>41.307899999999997</v>
      </c>
      <c r="I581" s="1">
        <v>1.69782E-7</v>
      </c>
      <c r="J581">
        <f t="shared" si="102"/>
        <v>0.30594597755891279</v>
      </c>
      <c r="K581">
        <v>2.5969175749092225E-4</v>
      </c>
      <c r="L581">
        <v>0.13580686697088415</v>
      </c>
      <c r="N581" s="1">
        <v>1.69782E-7</v>
      </c>
      <c r="O581">
        <f t="shared" si="103"/>
        <v>2.5969175749092225E-4</v>
      </c>
      <c r="Q581" s="1">
        <v>1.69782E-7</v>
      </c>
      <c r="R581">
        <f t="shared" si="104"/>
        <v>0.13580686697088415</v>
      </c>
      <c r="CH581" s="1">
        <v>1.5716699999999999E-7</v>
      </c>
      <c r="CI581">
        <v>15.732799999999999</v>
      </c>
      <c r="CJ581">
        <f t="shared" si="100"/>
        <v>1222.7375616158433</v>
      </c>
      <c r="CL581" s="1">
        <v>1.5716699999999999E-7</v>
      </c>
      <c r="CM581">
        <v>5.108E-2</v>
      </c>
      <c r="CN581">
        <f t="shared" si="101"/>
        <v>3.9698867745943049</v>
      </c>
    </row>
    <row r="582" spans="4:92" x14ac:dyDescent="0.35">
      <c r="D582" s="1">
        <v>1.7198000000000001E-7</v>
      </c>
      <c r="E582">
        <v>172.417</v>
      </c>
      <c r="F582">
        <v>3.6508899999999997E-2</v>
      </c>
      <c r="G582">
        <v>41.341099999999997</v>
      </c>
      <c r="I582" s="1">
        <v>1.7198000000000001E-7</v>
      </c>
      <c r="J582">
        <f t="shared" si="102"/>
        <v>0.30601342166258688</v>
      </c>
      <c r="K582">
        <v>1.93761503916903E-4</v>
      </c>
      <c r="L582">
        <v>0.13591601771404549</v>
      </c>
      <c r="N582" s="1">
        <v>1.7198000000000001E-7</v>
      </c>
      <c r="O582">
        <f t="shared" si="103"/>
        <v>1.93761503916903E-4</v>
      </c>
      <c r="Q582" s="1">
        <v>1.7198000000000001E-7</v>
      </c>
      <c r="R582">
        <f t="shared" si="104"/>
        <v>0.13591601771404549</v>
      </c>
      <c r="CH582" s="1">
        <v>1.59203E-7</v>
      </c>
      <c r="CI582">
        <v>15.3528</v>
      </c>
      <c r="CJ582">
        <f t="shared" si="100"/>
        <v>1193.2043397218372</v>
      </c>
      <c r="CL582" s="1">
        <v>1.59203E-7</v>
      </c>
      <c r="CM582">
        <v>4.913E-2</v>
      </c>
      <c r="CN582">
        <f t="shared" si="101"/>
        <v>3.8183347148750628</v>
      </c>
    </row>
    <row r="583" spans="4:92" x14ac:dyDescent="0.35">
      <c r="D583" s="1">
        <v>1.7420699999999999E-7</v>
      </c>
      <c r="E583">
        <v>171.601</v>
      </c>
      <c r="F583">
        <v>3.2249699999999999E-2</v>
      </c>
      <c r="G583">
        <v>42.093800000000002</v>
      </c>
      <c r="I583" s="1">
        <v>1.7420699999999999E-7</v>
      </c>
      <c r="J583">
        <f t="shared" si="102"/>
        <v>0.30456514827842718</v>
      </c>
      <c r="K583">
        <v>1.7115690620284223E-4</v>
      </c>
      <c r="L583">
        <v>0.13839064917119981</v>
      </c>
      <c r="N583" s="1">
        <v>1.7420699999999999E-7</v>
      </c>
      <c r="O583">
        <f t="shared" si="103"/>
        <v>1.7115690620284223E-4</v>
      </c>
      <c r="Q583" s="1">
        <v>1.7420699999999999E-7</v>
      </c>
      <c r="R583">
        <f t="shared" si="104"/>
        <v>0.13839064917119981</v>
      </c>
      <c r="CH583" s="1">
        <v>1.6126400000000001E-7</v>
      </c>
      <c r="CI583">
        <v>16.537800000000001</v>
      </c>
      <c r="CJ583">
        <f t="shared" si="100"/>
        <v>1285.3013606281461</v>
      </c>
      <c r="CL583" s="1">
        <v>1.6126400000000001E-7</v>
      </c>
      <c r="CM583">
        <v>5.0979999999999998E-2</v>
      </c>
      <c r="CN583">
        <f t="shared" si="101"/>
        <v>3.9621148740958825</v>
      </c>
    </row>
    <row r="584" spans="4:92" x14ac:dyDescent="0.35">
      <c r="D584" s="1">
        <v>1.7646300000000001E-7</v>
      </c>
      <c r="E584">
        <v>173.494</v>
      </c>
      <c r="F584">
        <v>2.6816E-2</v>
      </c>
      <c r="G584">
        <v>41.906500000000001</v>
      </c>
      <c r="I584" s="1">
        <v>1.7646300000000001E-7</v>
      </c>
      <c r="J584">
        <f t="shared" si="102"/>
        <v>0.30792492954829775</v>
      </c>
      <c r="K584">
        <v>1.4231895480377858E-4</v>
      </c>
      <c r="L584">
        <v>0.13777486802077465</v>
      </c>
      <c r="N584" s="1">
        <v>1.7646300000000001E-7</v>
      </c>
      <c r="O584">
        <f t="shared" si="103"/>
        <v>1.4231895480377858E-4</v>
      </c>
      <c r="Q584" s="1">
        <v>1.7646300000000001E-7</v>
      </c>
      <c r="R584">
        <f t="shared" si="104"/>
        <v>0.13777486802077465</v>
      </c>
      <c r="CH584" s="1">
        <v>1.6335299999999999E-7</v>
      </c>
      <c r="CI584">
        <v>15.348699999999999</v>
      </c>
      <c r="CJ584">
        <f t="shared" si="100"/>
        <v>1192.8856918014019</v>
      </c>
      <c r="CL584" s="1">
        <v>1.6335299999999999E-7</v>
      </c>
      <c r="CM584">
        <v>4.0419999999999998E-2</v>
      </c>
      <c r="CN584">
        <f t="shared" si="101"/>
        <v>3.1414021814624471</v>
      </c>
    </row>
    <row r="585" spans="4:92" x14ac:dyDescent="0.35">
      <c r="D585" s="1">
        <v>1.7874900000000001E-7</v>
      </c>
      <c r="E585">
        <v>173.25299999999999</v>
      </c>
      <c r="F585">
        <v>2.9638899999999999E-2</v>
      </c>
      <c r="G585">
        <v>42.593499999999999</v>
      </c>
      <c r="I585" s="1">
        <v>1.7874900000000001E-7</v>
      </c>
      <c r="J585">
        <f t="shared" si="102"/>
        <v>0.30749719194341724</v>
      </c>
      <c r="K585">
        <v>1.5730076333285027E-4</v>
      </c>
      <c r="L585">
        <v>0.14003349936269707</v>
      </c>
      <c r="N585" s="1">
        <v>1.7874900000000001E-7</v>
      </c>
      <c r="O585">
        <f t="shared" si="103"/>
        <v>1.5730076333285027E-4</v>
      </c>
      <c r="Q585" s="1">
        <v>1.7874900000000001E-7</v>
      </c>
      <c r="R585">
        <f t="shared" si="104"/>
        <v>0.14003349936269707</v>
      </c>
      <c r="CH585" s="1">
        <v>1.6546800000000001E-7</v>
      </c>
      <c r="CI585">
        <v>15.6021</v>
      </c>
      <c r="CJ585">
        <f t="shared" si="100"/>
        <v>1212.5796876644051</v>
      </c>
      <c r="CL585" s="1">
        <v>1.6546800000000001E-7</v>
      </c>
      <c r="CM585">
        <v>5.3199999999999997E-2</v>
      </c>
      <c r="CN585">
        <f t="shared" si="101"/>
        <v>4.1346510651608659</v>
      </c>
    </row>
    <row r="586" spans="4:92" x14ac:dyDescent="0.35">
      <c r="D586" s="1">
        <v>1.8106300000000001E-7</v>
      </c>
      <c r="E586">
        <v>172.16200000000001</v>
      </c>
      <c r="F586">
        <v>6.6012100000000004E-2</v>
      </c>
      <c r="G586">
        <v>42.156399999999998</v>
      </c>
      <c r="I586" s="1">
        <v>1.8106300000000001E-7</v>
      </c>
      <c r="J586">
        <f t="shared" si="102"/>
        <v>0.30556083623003699</v>
      </c>
      <c r="K586">
        <v>3.5034207474651373E-4</v>
      </c>
      <c r="L586">
        <v>0.13859645750017263</v>
      </c>
      <c r="N586" s="1">
        <v>1.8106300000000001E-7</v>
      </c>
      <c r="O586">
        <f t="shared" si="103"/>
        <v>3.5034207474651373E-4</v>
      </c>
      <c r="Q586" s="1">
        <v>1.8106300000000001E-7</v>
      </c>
      <c r="R586">
        <f t="shared" si="104"/>
        <v>0.13859645750017263</v>
      </c>
      <c r="CH586" s="1">
        <v>1.67611E-7</v>
      </c>
      <c r="CI586">
        <v>16.446899999999999</v>
      </c>
      <c r="CJ586">
        <f t="shared" ref="CJ586:CJ649" si="105">CI586/$CG$9</f>
        <v>1278.2367030750797</v>
      </c>
      <c r="CL586" s="1">
        <v>1.67611E-7</v>
      </c>
      <c r="CM586">
        <v>3.7920000000000002E-2</v>
      </c>
      <c r="CN586">
        <f t="shared" ref="CN586:CN649" si="106">CM586/$CG$9</f>
        <v>2.9471046690018805</v>
      </c>
    </row>
    <row r="587" spans="4:92" x14ac:dyDescent="0.35">
      <c r="D587" s="1">
        <v>1.83408E-7</v>
      </c>
      <c r="E587">
        <v>172.90199999999999</v>
      </c>
      <c r="F587">
        <v>2.7232699999999999E-2</v>
      </c>
      <c r="G587">
        <v>42.161099999999998</v>
      </c>
      <c r="I587" s="1">
        <v>1.83408E-7</v>
      </c>
      <c r="J587">
        <f t="shared" si="102"/>
        <v>0.3068742214068485</v>
      </c>
      <c r="K587">
        <v>1.4453048181999035E-4</v>
      </c>
      <c r="L587">
        <v>0.13861190956321051</v>
      </c>
      <c r="N587" s="1">
        <v>1.83408E-7</v>
      </c>
      <c r="O587">
        <f t="shared" si="103"/>
        <v>1.4453048181999035E-4</v>
      </c>
      <c r="Q587" s="1">
        <v>1.83408E-7</v>
      </c>
      <c r="R587">
        <f t="shared" si="104"/>
        <v>0.13861190956321051</v>
      </c>
      <c r="CH587" s="1">
        <v>1.69782E-7</v>
      </c>
      <c r="CI587">
        <v>16.6067</v>
      </c>
      <c r="CJ587">
        <f t="shared" si="105"/>
        <v>1290.6562000715592</v>
      </c>
      <c r="CL587" s="1">
        <v>1.69782E-7</v>
      </c>
      <c r="CM587">
        <v>4.3339999999999997E-2</v>
      </c>
      <c r="CN587">
        <f t="shared" si="106"/>
        <v>3.3683416760163896</v>
      </c>
    </row>
    <row r="588" spans="4:92" x14ac:dyDescent="0.35">
      <c r="D588" s="1">
        <v>1.8578299999999999E-7</v>
      </c>
      <c r="E588">
        <v>172.93600000000001</v>
      </c>
      <c r="F588">
        <v>4.70917E-2</v>
      </c>
      <c r="G588">
        <v>42.433799999999998</v>
      </c>
      <c r="I588" s="1">
        <v>1.8578299999999999E-7</v>
      </c>
      <c r="J588">
        <f t="shared" si="102"/>
        <v>0.30693456613118852</v>
      </c>
      <c r="K588">
        <v>2.4992696613712335E-4</v>
      </c>
      <c r="L588">
        <v>0.13950845798670725</v>
      </c>
      <c r="N588" s="1">
        <v>1.8578299999999999E-7</v>
      </c>
      <c r="O588">
        <f t="shared" si="103"/>
        <v>2.4992696613712335E-4</v>
      </c>
      <c r="Q588" s="1">
        <v>1.8578299999999999E-7</v>
      </c>
      <c r="R588">
        <f t="shared" si="104"/>
        <v>0.13950845798670725</v>
      </c>
      <c r="CH588" s="1">
        <v>1.7198000000000001E-7</v>
      </c>
      <c r="CI588">
        <v>16.951699999999999</v>
      </c>
      <c r="CJ588">
        <f t="shared" si="105"/>
        <v>1317.4692567911175</v>
      </c>
      <c r="CL588" s="1">
        <v>1.7198000000000001E-7</v>
      </c>
      <c r="CM588">
        <v>3.9289999999999999E-2</v>
      </c>
      <c r="CN588">
        <f t="shared" si="106"/>
        <v>3.0535797058302712</v>
      </c>
    </row>
    <row r="589" spans="4:92" x14ac:dyDescent="0.35">
      <c r="D589" s="1">
        <v>1.8818899999999999E-7</v>
      </c>
      <c r="E589">
        <v>171.68299999999999</v>
      </c>
      <c r="F589">
        <v>4.44202E-2</v>
      </c>
      <c r="G589">
        <v>42.044499999999999</v>
      </c>
      <c r="I589" s="1">
        <v>1.8818899999999999E-7</v>
      </c>
      <c r="J589">
        <f t="shared" si="102"/>
        <v>0.30471068555477654</v>
      </c>
      <c r="K589">
        <v>2.3574867378336833E-4</v>
      </c>
      <c r="L589">
        <v>0.13822856689295121</v>
      </c>
      <c r="N589" s="1">
        <v>1.8818899999999999E-7</v>
      </c>
      <c r="O589">
        <f t="shared" si="103"/>
        <v>2.3574867378336833E-4</v>
      </c>
      <c r="Q589" s="1">
        <v>1.8818899999999999E-7</v>
      </c>
      <c r="R589">
        <f t="shared" si="104"/>
        <v>0.13822856689295121</v>
      </c>
      <c r="CH589" s="1">
        <v>1.7420699999999999E-7</v>
      </c>
      <c r="CI589">
        <v>16.8475</v>
      </c>
      <c r="CJ589">
        <f t="shared" si="105"/>
        <v>1309.3709364717611</v>
      </c>
      <c r="CL589" s="1">
        <v>1.7420699999999999E-7</v>
      </c>
      <c r="CM589">
        <v>4.2169999999999999E-2</v>
      </c>
      <c r="CN589">
        <f t="shared" si="106"/>
        <v>3.2774104401848443</v>
      </c>
    </row>
    <row r="590" spans="4:92" x14ac:dyDescent="0.35">
      <c r="D590" s="1">
        <v>1.90626E-7</v>
      </c>
      <c r="E590">
        <v>171.44499999999999</v>
      </c>
      <c r="F590">
        <v>4.6985100000000002E-2</v>
      </c>
      <c r="G590">
        <v>42.380899999999997</v>
      </c>
      <c r="I590" s="1">
        <v>1.90626E-7</v>
      </c>
      <c r="J590">
        <f t="shared" si="102"/>
        <v>0.3042882724843966</v>
      </c>
      <c r="K590">
        <v>2.4936121432544067E-4</v>
      </c>
      <c r="L590">
        <v>0.13933454008570623</v>
      </c>
      <c r="N590" s="1">
        <v>1.90626E-7</v>
      </c>
      <c r="O590">
        <f t="shared" si="103"/>
        <v>2.4936121432544067E-4</v>
      </c>
      <c r="Q590" s="1">
        <v>1.90626E-7</v>
      </c>
      <c r="R590">
        <f t="shared" si="104"/>
        <v>0.13933454008570623</v>
      </c>
      <c r="CH590" s="1">
        <v>1.7646300000000001E-7</v>
      </c>
      <c r="CI590">
        <v>16.904900000000001</v>
      </c>
      <c r="CJ590">
        <f t="shared" si="105"/>
        <v>1313.8320073578559</v>
      </c>
      <c r="CL590" s="1">
        <v>1.7646300000000001E-7</v>
      </c>
      <c r="CM590">
        <v>5.688E-2</v>
      </c>
      <c r="CN590">
        <f t="shared" si="106"/>
        <v>4.4206570035028205</v>
      </c>
    </row>
    <row r="591" spans="4:92" x14ac:dyDescent="0.35">
      <c r="D591" s="1">
        <v>1.93095E-7</v>
      </c>
      <c r="E591">
        <v>172.37700000000001</v>
      </c>
      <c r="F591">
        <v>2.4776400000000001E-2</v>
      </c>
      <c r="G591">
        <v>42.424100000000003</v>
      </c>
      <c r="I591" s="1">
        <v>1.93095E-7</v>
      </c>
      <c r="J591">
        <f t="shared" si="102"/>
        <v>0.30594242786924575</v>
      </c>
      <c r="K591">
        <v>1.3149430757012007E-4</v>
      </c>
      <c r="L591">
        <v>0.13947656755873541</v>
      </c>
      <c r="N591" s="1">
        <v>1.93095E-7</v>
      </c>
      <c r="O591">
        <f t="shared" si="103"/>
        <v>1.3149430757012007E-4</v>
      </c>
      <c r="Q591" s="1">
        <v>1.93095E-7</v>
      </c>
      <c r="R591">
        <f t="shared" si="104"/>
        <v>0.13947656755873541</v>
      </c>
      <c r="CH591" s="1">
        <v>1.7874900000000001E-7</v>
      </c>
      <c r="CI591">
        <v>16.740600000000001</v>
      </c>
      <c r="CJ591">
        <f t="shared" si="105"/>
        <v>1301.0627748389472</v>
      </c>
      <c r="CL591" s="1">
        <v>1.7874900000000001E-7</v>
      </c>
      <c r="CM591">
        <v>5.3109999999999997E-2</v>
      </c>
      <c r="CN591">
        <f t="shared" si="106"/>
        <v>4.1276563547122853</v>
      </c>
    </row>
    <row r="592" spans="4:92" x14ac:dyDescent="0.35">
      <c r="D592" s="1">
        <v>1.95596E-7</v>
      </c>
      <c r="E592">
        <v>171.78100000000001</v>
      </c>
      <c r="F592">
        <v>3.7230199999999998E-2</v>
      </c>
      <c r="G592">
        <v>42.293100000000003</v>
      </c>
      <c r="I592" s="1">
        <v>1.95596E-7</v>
      </c>
      <c r="J592">
        <f t="shared" si="102"/>
        <v>0.30488462034846237</v>
      </c>
      <c r="K592">
        <v>1.9758961631621556E-4</v>
      </c>
      <c r="L592">
        <v>0.13904588239746637</v>
      </c>
      <c r="N592" s="1">
        <v>1.95596E-7</v>
      </c>
      <c r="O592">
        <f t="shared" si="103"/>
        <v>1.9758961631621556E-4</v>
      </c>
      <c r="Q592" s="1">
        <v>1.95596E-7</v>
      </c>
      <c r="R592">
        <f t="shared" si="104"/>
        <v>0.13904588239746637</v>
      </c>
      <c r="CH592" s="1">
        <v>1.8106300000000001E-7</v>
      </c>
      <c r="CI592">
        <v>17.450299999999999</v>
      </c>
      <c r="CJ592">
        <f t="shared" si="105"/>
        <v>1356.2199526762529</v>
      </c>
      <c r="CL592" s="1">
        <v>1.8106300000000001E-7</v>
      </c>
      <c r="CM592">
        <v>5.0310000000000001E-2</v>
      </c>
      <c r="CN592">
        <f t="shared" si="106"/>
        <v>3.9100431407564504</v>
      </c>
    </row>
    <row r="593" spans="4:92" x14ac:dyDescent="0.35">
      <c r="D593" s="1">
        <v>1.9812800000000001E-7</v>
      </c>
      <c r="E593">
        <v>170.94300000000001</v>
      </c>
      <c r="F593">
        <v>3.6759E-2</v>
      </c>
      <c r="G593">
        <v>42.789700000000003</v>
      </c>
      <c r="I593" s="1">
        <v>1.9812800000000001E-7</v>
      </c>
      <c r="J593">
        <f t="shared" si="102"/>
        <v>0.30339730037796503</v>
      </c>
      <c r="K593">
        <v>1.9508884470585089E-4</v>
      </c>
      <c r="L593">
        <v>0.14067854080270464</v>
      </c>
      <c r="N593" s="1">
        <v>1.9812800000000001E-7</v>
      </c>
      <c r="O593">
        <f t="shared" si="103"/>
        <v>1.9508884470585089E-4</v>
      </c>
      <c r="Q593" s="1">
        <v>1.9812800000000001E-7</v>
      </c>
      <c r="R593">
        <f t="shared" si="104"/>
        <v>0.14067854080270464</v>
      </c>
      <c r="CH593" s="1">
        <v>1.83408E-7</v>
      </c>
      <c r="CI593">
        <v>16.479600000000001</v>
      </c>
      <c r="CJ593">
        <f t="shared" si="105"/>
        <v>1280.7781145380641</v>
      </c>
      <c r="CL593" s="1">
        <v>1.83408E-7</v>
      </c>
      <c r="CM593">
        <v>4.471E-2</v>
      </c>
      <c r="CN593">
        <f t="shared" si="106"/>
        <v>3.4748167128447802</v>
      </c>
    </row>
    <row r="594" spans="4:92" x14ac:dyDescent="0.35">
      <c r="D594" s="1">
        <v>2.0069400000000001E-7</v>
      </c>
      <c r="E594">
        <v>170.78299999999999</v>
      </c>
      <c r="F594">
        <v>4.9770500000000002E-2</v>
      </c>
      <c r="G594">
        <v>42.817999999999998</v>
      </c>
      <c r="I594" s="1">
        <v>2.0069400000000001E-7</v>
      </c>
      <c r="J594">
        <f t="shared" si="102"/>
        <v>0.30311332520460033</v>
      </c>
      <c r="K594">
        <v>2.6414400134477407E-4</v>
      </c>
      <c r="L594">
        <v>0.14077158194823067</v>
      </c>
      <c r="N594" s="1">
        <v>2.0069400000000001E-7</v>
      </c>
      <c r="O594">
        <f t="shared" si="103"/>
        <v>2.6414400134477407E-4</v>
      </c>
      <c r="Q594" s="1">
        <v>2.0069400000000001E-7</v>
      </c>
      <c r="R594">
        <f t="shared" si="104"/>
        <v>0.14077158194823067</v>
      </c>
      <c r="CH594" s="1">
        <v>1.8578299999999999E-7</v>
      </c>
      <c r="CI594">
        <v>17.191500000000001</v>
      </c>
      <c r="CJ594">
        <f t="shared" si="105"/>
        <v>1336.1062741863352</v>
      </c>
      <c r="CL594" s="1">
        <v>1.8578299999999999E-7</v>
      </c>
      <c r="CM594">
        <v>4.6339999999999999E-2</v>
      </c>
      <c r="CN594">
        <f t="shared" si="106"/>
        <v>3.6014986909690698</v>
      </c>
    </row>
    <row r="595" spans="4:92" x14ac:dyDescent="0.35">
      <c r="D595" s="1">
        <v>2.0329299999999999E-7</v>
      </c>
      <c r="E595">
        <v>170.22499999999999</v>
      </c>
      <c r="F595">
        <v>3.1359699999999997E-2</v>
      </c>
      <c r="G595">
        <v>42.570099999999996</v>
      </c>
      <c r="I595" s="1">
        <v>2.0329299999999999E-7</v>
      </c>
      <c r="J595">
        <f t="shared" si="102"/>
        <v>0.3021229617874911</v>
      </c>
      <c r="K595">
        <v>1.6643346237172043E-4</v>
      </c>
      <c r="L595">
        <v>0.13995656781480625</v>
      </c>
      <c r="N595" s="1">
        <v>2.0329299999999999E-7</v>
      </c>
      <c r="O595">
        <f t="shared" si="103"/>
        <v>1.6643346237172043E-4</v>
      </c>
      <c r="Q595" s="1">
        <v>2.0329299999999999E-7</v>
      </c>
      <c r="R595">
        <f t="shared" si="104"/>
        <v>0.13995656781480625</v>
      </c>
      <c r="CH595" s="1">
        <v>1.8818899999999999E-7</v>
      </c>
      <c r="CI595">
        <v>17.229399999999998</v>
      </c>
      <c r="CJ595">
        <f t="shared" si="105"/>
        <v>1339.0518244752373</v>
      </c>
      <c r="CL595" s="1">
        <v>1.8818899999999999E-7</v>
      </c>
      <c r="CM595">
        <v>4.725E-2</v>
      </c>
      <c r="CN595">
        <f t="shared" si="106"/>
        <v>3.6722229855047166</v>
      </c>
    </row>
    <row r="596" spans="4:92" x14ac:dyDescent="0.35">
      <c r="D596" s="1">
        <v>2.0592599999999999E-7</v>
      </c>
      <c r="E596">
        <v>169.81899999999999</v>
      </c>
      <c r="F596">
        <v>5.6412400000000001E-2</v>
      </c>
      <c r="G596">
        <v>42.585799999999999</v>
      </c>
      <c r="I596" s="1">
        <v>2.0592599999999999E-7</v>
      </c>
      <c r="J596">
        <f t="shared" si="102"/>
        <v>0.30140237478507825</v>
      </c>
      <c r="K596">
        <v>2.9939416042559216E-4</v>
      </c>
      <c r="L596">
        <v>0.14000818428069881</v>
      </c>
      <c r="N596" s="1">
        <v>2.0592599999999999E-7</v>
      </c>
      <c r="O596">
        <f t="shared" si="103"/>
        <v>2.9939416042559216E-4</v>
      </c>
      <c r="Q596" s="1">
        <v>2.0592599999999999E-7</v>
      </c>
      <c r="R596">
        <f t="shared" si="104"/>
        <v>0.14000818428069881</v>
      </c>
      <c r="CH596" s="1">
        <v>1.90626E-7</v>
      </c>
      <c r="CI596">
        <v>18.165099999999999</v>
      </c>
      <c r="CJ596">
        <f t="shared" si="105"/>
        <v>1411.7734974389782</v>
      </c>
      <c r="CL596" s="1">
        <v>1.90626E-7</v>
      </c>
      <c r="CM596">
        <v>4.3990000000000001E-2</v>
      </c>
      <c r="CN596">
        <f t="shared" si="106"/>
        <v>3.4188590292561374</v>
      </c>
    </row>
    <row r="597" spans="4:92" x14ac:dyDescent="0.35">
      <c r="D597" s="1">
        <v>2.0859299999999999E-7</v>
      </c>
      <c r="E597">
        <v>168.429</v>
      </c>
      <c r="F597">
        <v>6.7016699999999998E-2</v>
      </c>
      <c r="G597">
        <v>42.151600000000002</v>
      </c>
      <c r="I597" s="1">
        <v>2.0859299999999999E-7</v>
      </c>
      <c r="J597">
        <f t="shared" si="102"/>
        <v>0.29893534046647285</v>
      </c>
      <c r="K597">
        <v>3.5567372831139571E-4</v>
      </c>
      <c r="L597">
        <v>0.13858067666983606</v>
      </c>
      <c r="N597" s="1">
        <v>2.0859299999999999E-7</v>
      </c>
      <c r="O597">
        <f t="shared" si="103"/>
        <v>3.5567372831139571E-4</v>
      </c>
      <c r="Q597" s="1">
        <v>2.0859299999999999E-7</v>
      </c>
      <c r="R597">
        <f t="shared" si="104"/>
        <v>0.13858067666983606</v>
      </c>
      <c r="CH597" s="1">
        <v>1.93095E-7</v>
      </c>
      <c r="CI597">
        <v>17.830400000000001</v>
      </c>
      <c r="CJ597">
        <f t="shared" si="105"/>
        <v>1385.7609464707577</v>
      </c>
      <c r="CL597" s="1">
        <v>1.93095E-7</v>
      </c>
      <c r="CM597">
        <v>4.3830000000000001E-2</v>
      </c>
      <c r="CN597">
        <f t="shared" si="106"/>
        <v>3.4064239884586609</v>
      </c>
    </row>
    <row r="598" spans="4:92" x14ac:dyDescent="0.35">
      <c r="D598" s="1">
        <v>2.1129400000000001E-7</v>
      </c>
      <c r="E598">
        <v>167.93700000000001</v>
      </c>
      <c r="F598">
        <v>5.1910999999999999E-2</v>
      </c>
      <c r="G598">
        <v>42.255299999999998</v>
      </c>
      <c r="I598" s="1">
        <v>2.1129400000000001E-7</v>
      </c>
      <c r="J598">
        <f t="shared" si="102"/>
        <v>0.29806211680837658</v>
      </c>
      <c r="K598">
        <v>2.7550414912063504E-4</v>
      </c>
      <c r="L598">
        <v>0.13892160835856582</v>
      </c>
      <c r="N598" s="1">
        <v>2.1129400000000001E-7</v>
      </c>
      <c r="O598">
        <f t="shared" si="103"/>
        <v>2.7550414912063504E-4</v>
      </c>
      <c r="Q598" s="1">
        <v>2.1129400000000001E-7</v>
      </c>
      <c r="R598">
        <f t="shared" si="104"/>
        <v>0.13892160835856582</v>
      </c>
      <c r="CH598" s="1">
        <v>1.95596E-7</v>
      </c>
      <c r="CI598">
        <v>17.933199999999999</v>
      </c>
      <c r="CJ598">
        <f t="shared" si="105"/>
        <v>1393.7504601831361</v>
      </c>
      <c r="CL598" s="1">
        <v>1.95596E-7</v>
      </c>
      <c r="CM598">
        <v>4.2000000000000003E-2</v>
      </c>
      <c r="CN598">
        <f t="shared" si="106"/>
        <v>3.2641982093375259</v>
      </c>
    </row>
    <row r="599" spans="4:92" x14ac:dyDescent="0.35">
      <c r="D599" s="1">
        <v>2.1402999999999999E-7</v>
      </c>
      <c r="E599">
        <v>167.435</v>
      </c>
      <c r="F599">
        <v>5.8937400000000001E-2</v>
      </c>
      <c r="G599">
        <v>42.398499999999999</v>
      </c>
      <c r="I599" s="1">
        <v>2.1402999999999999E-7</v>
      </c>
      <c r="J599">
        <f t="shared" si="102"/>
        <v>0.29717114470194494</v>
      </c>
      <c r="K599">
        <v>3.1279494208130292E-4</v>
      </c>
      <c r="L599">
        <v>0.13939240313027368</v>
      </c>
      <c r="N599" s="1">
        <v>2.1402999999999999E-7</v>
      </c>
      <c r="O599">
        <f t="shared" si="103"/>
        <v>3.1279494208130292E-4</v>
      </c>
      <c r="Q599" s="1">
        <v>2.1402999999999999E-7</v>
      </c>
      <c r="R599">
        <f t="shared" si="104"/>
        <v>0.13939240313027368</v>
      </c>
      <c r="CH599" s="1">
        <v>1.9812800000000001E-7</v>
      </c>
      <c r="CI599">
        <v>17.494</v>
      </c>
      <c r="CJ599">
        <f t="shared" si="105"/>
        <v>1359.6162731940638</v>
      </c>
      <c r="CL599" s="1">
        <v>1.9812800000000001E-7</v>
      </c>
      <c r="CM599">
        <v>4.6920000000000003E-2</v>
      </c>
      <c r="CN599">
        <f t="shared" si="106"/>
        <v>3.6465757138599217</v>
      </c>
    </row>
    <row r="600" spans="4:92" x14ac:dyDescent="0.35">
      <c r="D600" s="1">
        <v>2.1680200000000001E-7</v>
      </c>
      <c r="E600">
        <v>166.928</v>
      </c>
      <c r="F600">
        <v>6.13217E-2</v>
      </c>
      <c r="G600">
        <v>41.97</v>
      </c>
      <c r="I600" s="1">
        <v>2.1680200000000001E-7</v>
      </c>
      <c r="J600">
        <f t="shared" si="102"/>
        <v>0.29627129837134564</v>
      </c>
      <c r="K600">
        <v>3.2544899503247568E-4</v>
      </c>
      <c r="L600">
        <v>0.13798363525543558</v>
      </c>
      <c r="N600" s="1">
        <v>2.1680200000000001E-7</v>
      </c>
      <c r="O600">
        <f t="shared" si="103"/>
        <v>3.2544899503247568E-4</v>
      </c>
      <c r="Q600" s="1">
        <v>2.1680200000000001E-7</v>
      </c>
      <c r="R600">
        <f t="shared" si="104"/>
        <v>0.13798363525543558</v>
      </c>
      <c r="CH600" s="1">
        <v>2.0069400000000001E-7</v>
      </c>
      <c r="CI600">
        <v>18.6327</v>
      </c>
      <c r="CJ600">
        <f t="shared" si="105"/>
        <v>1448.1149041696028</v>
      </c>
      <c r="CL600" s="1">
        <v>2.0069400000000001E-7</v>
      </c>
      <c r="CM600">
        <v>3.8440000000000002E-2</v>
      </c>
      <c r="CN600">
        <f t="shared" si="106"/>
        <v>2.9875185515936784</v>
      </c>
    </row>
    <row r="601" spans="4:92" x14ac:dyDescent="0.35">
      <c r="D601" s="1">
        <v>2.1960999999999999E-7</v>
      </c>
      <c r="E601">
        <v>165.376</v>
      </c>
      <c r="F601">
        <v>7.8949400000000003E-2</v>
      </c>
      <c r="G601">
        <v>41.990699999999997</v>
      </c>
      <c r="I601" s="1">
        <v>2.1960999999999999E-7</v>
      </c>
      <c r="J601">
        <f t="shared" si="102"/>
        <v>0.2935167391897085</v>
      </c>
      <c r="K601">
        <v>4.1900343415816817E-4</v>
      </c>
      <c r="L601">
        <v>0.13805169008626209</v>
      </c>
      <c r="N601" s="1">
        <v>2.1960999999999999E-7</v>
      </c>
      <c r="O601">
        <f t="shared" si="103"/>
        <v>4.1900343415816817E-4</v>
      </c>
      <c r="Q601" s="1">
        <v>2.1960999999999999E-7</v>
      </c>
      <c r="R601">
        <f t="shared" si="104"/>
        <v>0.13805169008626209</v>
      </c>
      <c r="CH601" s="1">
        <v>2.0329299999999999E-7</v>
      </c>
      <c r="CI601">
        <v>17.877099999999999</v>
      </c>
      <c r="CJ601">
        <f t="shared" si="105"/>
        <v>1389.3904240035208</v>
      </c>
      <c r="CL601" s="1">
        <v>2.0329299999999999E-7</v>
      </c>
      <c r="CM601">
        <v>4.6010000000000002E-2</v>
      </c>
      <c r="CN601">
        <f t="shared" si="106"/>
        <v>3.5758514193242754</v>
      </c>
    </row>
    <row r="602" spans="4:92" x14ac:dyDescent="0.35">
      <c r="D602" s="1">
        <v>2.2245399999999999E-7</v>
      </c>
      <c r="E602">
        <v>165.029</v>
      </c>
      <c r="F602">
        <v>7.4899900000000005E-2</v>
      </c>
      <c r="G602">
        <v>41.928400000000003</v>
      </c>
      <c r="I602" s="1">
        <v>2.2245399999999999E-7</v>
      </c>
      <c r="J602">
        <f t="shared" si="102"/>
        <v>0.29290086803247389</v>
      </c>
      <c r="K602">
        <v>3.9751176472656383E-4</v>
      </c>
      <c r="L602">
        <v>0.13784686805918531</v>
      </c>
      <c r="N602" s="1">
        <v>2.2245399999999999E-7</v>
      </c>
      <c r="O602">
        <f t="shared" si="103"/>
        <v>3.9751176472656383E-4</v>
      </c>
      <c r="Q602" s="1">
        <v>2.2245399999999999E-7</v>
      </c>
      <c r="R602">
        <f t="shared" si="104"/>
        <v>0.13784686805918531</v>
      </c>
      <c r="CH602" s="1">
        <v>2.0592599999999999E-7</v>
      </c>
      <c r="CI602">
        <v>18.989799999999999</v>
      </c>
      <c r="CJ602">
        <f t="shared" si="105"/>
        <v>1475.86836084947</v>
      </c>
      <c r="CL602" s="1">
        <v>2.0592599999999999E-7</v>
      </c>
      <c r="CM602">
        <v>3.9410000000000001E-2</v>
      </c>
      <c r="CN602">
        <f t="shared" si="106"/>
        <v>3.0629059864283783</v>
      </c>
    </row>
    <row r="603" spans="4:92" x14ac:dyDescent="0.35">
      <c r="D603" s="1">
        <v>2.25334E-7</v>
      </c>
      <c r="E603">
        <v>162.96199999999999</v>
      </c>
      <c r="F603">
        <v>5.4639E-2</v>
      </c>
      <c r="G603">
        <v>42.721800000000002</v>
      </c>
      <c r="I603" s="1">
        <v>2.25334E-7</v>
      </c>
      <c r="J603">
        <f t="shared" si="102"/>
        <v>0.28923226376156924</v>
      </c>
      <c r="K603">
        <v>2.8998230054906241E-4</v>
      </c>
      <c r="L603">
        <v>0.1404553078069018</v>
      </c>
      <c r="N603" s="1">
        <v>2.25334E-7</v>
      </c>
      <c r="O603">
        <f t="shared" si="103"/>
        <v>2.8998230054906241E-4</v>
      </c>
      <c r="Q603" s="1">
        <v>2.25334E-7</v>
      </c>
      <c r="R603">
        <f t="shared" si="104"/>
        <v>0.1404553078069018</v>
      </c>
      <c r="CH603" s="1">
        <v>2.0859299999999999E-7</v>
      </c>
      <c r="CI603">
        <v>17.826599999999999</v>
      </c>
      <c r="CJ603">
        <f t="shared" si="105"/>
        <v>1385.4656142518174</v>
      </c>
      <c r="CL603" s="1">
        <v>2.0859299999999999E-7</v>
      </c>
      <c r="CM603">
        <v>4.4769999999999997E-2</v>
      </c>
      <c r="CN603">
        <f t="shared" si="106"/>
        <v>3.4794798531438338</v>
      </c>
    </row>
    <row r="604" spans="4:92" x14ac:dyDescent="0.35">
      <c r="D604" s="1">
        <v>2.28252E-7</v>
      </c>
      <c r="E604">
        <v>163.905</v>
      </c>
      <c r="F604">
        <v>6.3403000000000001E-2</v>
      </c>
      <c r="G604">
        <v>41.6248</v>
      </c>
      <c r="I604" s="1">
        <v>2.28252E-7</v>
      </c>
      <c r="J604">
        <f t="shared" si="102"/>
        <v>0.29090594243958723</v>
      </c>
      <c r="K604">
        <v>3.364949541849632E-4</v>
      </c>
      <c r="L604">
        <v>0.13684873054039687</v>
      </c>
      <c r="N604" s="1">
        <v>2.28252E-7</v>
      </c>
      <c r="O604">
        <f t="shared" si="103"/>
        <v>3.364949541849632E-4</v>
      </c>
      <c r="Q604" s="1">
        <v>2.28252E-7</v>
      </c>
      <c r="R604">
        <f t="shared" si="104"/>
        <v>0.13684873054039687</v>
      </c>
      <c r="CH604" s="1">
        <v>2.1129400000000001E-7</v>
      </c>
      <c r="CI604">
        <v>19.086300000000001</v>
      </c>
      <c r="CJ604">
        <f t="shared" si="105"/>
        <v>1483.3682448304482</v>
      </c>
      <c r="CL604" s="1">
        <v>2.1129400000000001E-7</v>
      </c>
      <c r="CM604">
        <v>4.0550000000000003E-2</v>
      </c>
      <c r="CN604">
        <f t="shared" si="106"/>
        <v>3.151505652110397</v>
      </c>
    </row>
    <row r="605" spans="4:92" x14ac:dyDescent="0.35">
      <c r="D605" s="1">
        <v>2.3120799999999999E-7</v>
      </c>
      <c r="E605">
        <v>162.77600000000001</v>
      </c>
      <c r="F605">
        <v>4.8726400000000003E-2</v>
      </c>
      <c r="G605">
        <v>41.9011</v>
      </c>
      <c r="I605" s="1">
        <v>2.3120799999999999E-7</v>
      </c>
      <c r="J605">
        <f t="shared" si="102"/>
        <v>0.28890214262253283</v>
      </c>
      <c r="K605">
        <v>2.5860271178963442E-4</v>
      </c>
      <c r="L605">
        <v>0.137757114586646</v>
      </c>
      <c r="N605" s="1">
        <v>2.3120799999999999E-7</v>
      </c>
      <c r="O605">
        <f t="shared" si="103"/>
        <v>2.5860271178963442E-4</v>
      </c>
      <c r="Q605" s="1">
        <v>2.3120799999999999E-7</v>
      </c>
      <c r="R605">
        <f t="shared" si="104"/>
        <v>0.137757114586646</v>
      </c>
      <c r="CH605" s="1">
        <v>2.1402999999999999E-7</v>
      </c>
      <c r="CI605">
        <v>18.495999999999999</v>
      </c>
      <c r="CJ605">
        <f t="shared" si="105"/>
        <v>1437.4907161882588</v>
      </c>
      <c r="CL605" s="1">
        <v>2.1402999999999999E-7</v>
      </c>
      <c r="CM605">
        <v>4.172E-2</v>
      </c>
      <c r="CN605">
        <f t="shared" si="106"/>
        <v>3.2424368879419423</v>
      </c>
    </row>
    <row r="606" spans="4:92" x14ac:dyDescent="0.35">
      <c r="D606" s="1">
        <v>2.34202E-7</v>
      </c>
      <c r="E606">
        <v>160.65</v>
      </c>
      <c r="F606">
        <v>5.6083599999999997E-2</v>
      </c>
      <c r="G606">
        <v>41.929400000000001</v>
      </c>
      <c r="I606" s="1">
        <v>2.34202E-7</v>
      </c>
      <c r="J606">
        <f t="shared" si="102"/>
        <v>0.28512882250645</v>
      </c>
      <c r="K606">
        <v>2.9764913982820694E-4</v>
      </c>
      <c r="L606">
        <v>0.13785015573217207</v>
      </c>
      <c r="N606" s="1">
        <v>2.34202E-7</v>
      </c>
      <c r="O606">
        <f t="shared" si="103"/>
        <v>2.9764913982820694E-4</v>
      </c>
      <c r="Q606" s="1">
        <v>2.34202E-7</v>
      </c>
      <c r="R606">
        <f t="shared" si="104"/>
        <v>0.13785015573217207</v>
      </c>
      <c r="CH606" s="1">
        <v>2.1680200000000001E-7</v>
      </c>
      <c r="CI606">
        <v>19.584199999999999</v>
      </c>
      <c r="CJ606">
        <f t="shared" si="105"/>
        <v>1522.0645374120945</v>
      </c>
      <c r="CL606" s="1">
        <v>2.1680200000000001E-7</v>
      </c>
      <c r="CM606">
        <v>3.6150000000000002E-2</v>
      </c>
      <c r="CN606">
        <f t="shared" si="106"/>
        <v>2.8095420301797991</v>
      </c>
    </row>
    <row r="607" spans="4:92" x14ac:dyDescent="0.35">
      <c r="D607" s="1">
        <v>2.3723499999999999E-7</v>
      </c>
      <c r="E607">
        <v>160.029</v>
      </c>
      <c r="F607">
        <v>5.6355099999999998E-2</v>
      </c>
      <c r="G607">
        <v>41.4925</v>
      </c>
      <c r="I607" s="1">
        <v>2.3723499999999999E-7</v>
      </c>
      <c r="J607">
        <f t="shared" si="102"/>
        <v>0.2840266438648284</v>
      </c>
      <c r="K607">
        <v>2.9909005555871205E-4</v>
      </c>
      <c r="L607">
        <v>0.13641377140424499</v>
      </c>
      <c r="N607" s="1">
        <v>2.3723499999999999E-7</v>
      </c>
      <c r="O607">
        <f t="shared" si="103"/>
        <v>2.9909005555871205E-4</v>
      </c>
      <c r="Q607" s="1">
        <v>2.3723499999999999E-7</v>
      </c>
      <c r="R607">
        <f t="shared" si="104"/>
        <v>0.13641377140424499</v>
      </c>
      <c r="CH607" s="1">
        <v>2.1960999999999999E-7</v>
      </c>
      <c r="CI607">
        <v>19.504000000000001</v>
      </c>
      <c r="CJ607">
        <f t="shared" si="105"/>
        <v>1515.8314732123597</v>
      </c>
      <c r="CL607" s="1">
        <v>2.1960999999999999E-7</v>
      </c>
      <c r="CM607">
        <v>3.8670000000000003E-2</v>
      </c>
      <c r="CN607">
        <f t="shared" si="106"/>
        <v>3.0053939227400508</v>
      </c>
    </row>
    <row r="608" spans="4:92" x14ac:dyDescent="0.35">
      <c r="D608" s="1">
        <v>2.4030800000000001E-7</v>
      </c>
      <c r="E608">
        <v>157.36600000000001</v>
      </c>
      <c r="F608">
        <v>6.6492399999999993E-2</v>
      </c>
      <c r="G608">
        <v>41.19</v>
      </c>
      <c r="I608" s="1">
        <v>2.4030800000000001E-7</v>
      </c>
      <c r="J608">
        <f t="shared" si="102"/>
        <v>0.27930023207314042</v>
      </c>
      <c r="K608">
        <v>3.5289114224324158E-4</v>
      </c>
      <c r="L608">
        <v>0.13541925032574201</v>
      </c>
      <c r="N608" s="1">
        <v>2.4030800000000001E-7</v>
      </c>
      <c r="O608">
        <f t="shared" si="103"/>
        <v>3.5289114224324158E-4</v>
      </c>
      <c r="Q608" s="1">
        <v>2.4030800000000001E-7</v>
      </c>
      <c r="R608">
        <f t="shared" si="104"/>
        <v>0.13541925032574201</v>
      </c>
      <c r="CH608" s="1">
        <v>2.2245399999999999E-7</v>
      </c>
      <c r="CI608">
        <v>18.0623</v>
      </c>
      <c r="CJ608">
        <f t="shared" si="105"/>
        <v>1403.7839837265999</v>
      </c>
      <c r="CL608" s="1">
        <v>2.2245399999999999E-7</v>
      </c>
      <c r="CM608">
        <v>3.8159999999999999E-2</v>
      </c>
      <c r="CN608">
        <f t="shared" si="106"/>
        <v>2.9657572301980948</v>
      </c>
    </row>
    <row r="609" spans="4:92" x14ac:dyDescent="0.35">
      <c r="D609" s="1">
        <v>2.4341999999999999E-7</v>
      </c>
      <c r="E609">
        <v>157.684</v>
      </c>
      <c r="F609">
        <v>6.5960099999999994E-2</v>
      </c>
      <c r="G609">
        <v>41.3705</v>
      </c>
      <c r="I609" s="1">
        <v>2.4341999999999999E-7</v>
      </c>
      <c r="J609">
        <f t="shared" si="102"/>
        <v>0.27986463273020268</v>
      </c>
      <c r="K609">
        <v>3.5006609825300995E-4</v>
      </c>
      <c r="L609">
        <v>0.136012675299857</v>
      </c>
      <c r="N609" s="1">
        <v>2.4341999999999999E-7</v>
      </c>
      <c r="O609">
        <f t="shared" si="103"/>
        <v>3.5006609825300995E-4</v>
      </c>
      <c r="Q609" s="1">
        <v>2.4341999999999999E-7</v>
      </c>
      <c r="R609">
        <f t="shared" si="104"/>
        <v>0.136012675299857</v>
      </c>
      <c r="CH609" s="1">
        <v>2.25334E-7</v>
      </c>
      <c r="CI609">
        <v>19.6267</v>
      </c>
      <c r="CJ609">
        <f t="shared" si="105"/>
        <v>1525.3675951239243</v>
      </c>
      <c r="CL609" s="1">
        <v>2.25334E-7</v>
      </c>
      <c r="CM609">
        <v>3.7179999999999998E-2</v>
      </c>
      <c r="CN609">
        <f t="shared" si="106"/>
        <v>2.8895926053135526</v>
      </c>
    </row>
    <row r="610" spans="4:92" x14ac:dyDescent="0.35">
      <c r="D610" s="1">
        <v>2.4657200000000002E-7</v>
      </c>
      <c r="E610">
        <v>155.90600000000001</v>
      </c>
      <c r="F610">
        <v>8.5910500000000001E-2</v>
      </c>
      <c r="G610">
        <v>40.809600000000003</v>
      </c>
      <c r="I610" s="1">
        <v>2.4657200000000002E-7</v>
      </c>
      <c r="J610">
        <f t="shared" si="102"/>
        <v>0.27670895861618794</v>
      </c>
      <c r="K610">
        <v>4.5594766432987844E-4</v>
      </c>
      <c r="L610">
        <v>0.13416861952156839</v>
      </c>
      <c r="N610" s="1">
        <v>2.4657200000000002E-7</v>
      </c>
      <c r="O610">
        <f t="shared" si="103"/>
        <v>4.5594766432987844E-4</v>
      </c>
      <c r="Q610" s="1">
        <v>2.4657200000000002E-7</v>
      </c>
      <c r="R610">
        <f t="shared" si="104"/>
        <v>0.13416861952156839</v>
      </c>
      <c r="CH610" s="1">
        <v>2.28252E-7</v>
      </c>
      <c r="CI610">
        <v>19.236999999999998</v>
      </c>
      <c r="CJ610">
        <f t="shared" si="105"/>
        <v>1495.080498881571</v>
      </c>
      <c r="CL610" s="1">
        <v>2.28252E-7</v>
      </c>
      <c r="CM610">
        <v>4.0370000000000003E-2</v>
      </c>
      <c r="CN610">
        <f t="shared" si="106"/>
        <v>3.1375162312132363</v>
      </c>
    </row>
    <row r="611" spans="4:92" x14ac:dyDescent="0.35">
      <c r="D611" s="1">
        <v>2.4976500000000001E-7</v>
      </c>
      <c r="E611">
        <v>154.22300000000001</v>
      </c>
      <c r="F611">
        <v>3.6741099999999999E-2</v>
      </c>
      <c r="G611">
        <v>40.692799999999998</v>
      </c>
      <c r="I611" s="1">
        <v>2.4976500000000001E-7</v>
      </c>
      <c r="J611">
        <f t="shared" si="102"/>
        <v>0.27372189476135844</v>
      </c>
      <c r="K611">
        <v>1.9499384510520247E-4</v>
      </c>
      <c r="L611">
        <v>0.13378461931671171</v>
      </c>
      <c r="N611" s="1">
        <v>2.4976500000000001E-7</v>
      </c>
      <c r="O611">
        <f t="shared" si="103"/>
        <v>1.9499384510520247E-4</v>
      </c>
      <c r="Q611" s="1">
        <v>2.4976500000000001E-7</v>
      </c>
      <c r="R611">
        <f t="shared" si="104"/>
        <v>0.13378461931671171</v>
      </c>
      <c r="CH611" s="1">
        <v>2.3120799999999999E-7</v>
      </c>
      <c r="CI611">
        <v>19.455300000000001</v>
      </c>
      <c r="CJ611">
        <f t="shared" si="105"/>
        <v>1512.0465576696279</v>
      </c>
      <c r="CL611" s="1">
        <v>2.3120799999999999E-7</v>
      </c>
      <c r="CM611">
        <v>4.3729999999999998E-2</v>
      </c>
      <c r="CN611">
        <f t="shared" si="106"/>
        <v>3.398652087960238</v>
      </c>
    </row>
    <row r="612" spans="4:92" x14ac:dyDescent="0.35">
      <c r="D612" s="1">
        <v>2.53E-7</v>
      </c>
      <c r="E612">
        <v>152.47200000000001</v>
      </c>
      <c r="F612">
        <v>6.0758600000000003E-2</v>
      </c>
      <c r="G612">
        <v>40.859900000000003</v>
      </c>
      <c r="I612" s="1">
        <v>2.53E-7</v>
      </c>
      <c r="J612">
        <f t="shared" si="102"/>
        <v>0.27061414145784901</v>
      </c>
      <c r="K612">
        <v>3.2246048804224572E-4</v>
      </c>
      <c r="L612">
        <v>0.13433398947280376</v>
      </c>
      <c r="N612" s="1">
        <v>2.53E-7</v>
      </c>
      <c r="O612">
        <f t="shared" si="103"/>
        <v>3.2246048804224572E-4</v>
      </c>
      <c r="Q612" s="1">
        <v>2.53E-7</v>
      </c>
      <c r="R612">
        <f t="shared" si="104"/>
        <v>0.13433398947280376</v>
      </c>
      <c r="CH612" s="1">
        <v>2.34202E-7</v>
      </c>
      <c r="CI612">
        <v>19.4193</v>
      </c>
      <c r="CJ612">
        <f t="shared" si="105"/>
        <v>1509.2486734901956</v>
      </c>
      <c r="CL612" s="1">
        <v>2.34202E-7</v>
      </c>
      <c r="CM612">
        <v>3.8429999999999999E-2</v>
      </c>
      <c r="CN612">
        <f t="shared" si="106"/>
        <v>2.9867413615438361</v>
      </c>
    </row>
    <row r="613" spans="4:92" x14ac:dyDescent="0.35">
      <c r="D613" s="1">
        <v>2.5627600000000001E-7</v>
      </c>
      <c r="E613">
        <v>150.75899999999999</v>
      </c>
      <c r="F613">
        <v>6.1482299999999997E-2</v>
      </c>
      <c r="G613">
        <v>40.5364</v>
      </c>
      <c r="I613" s="1">
        <v>2.5627600000000001E-7</v>
      </c>
      <c r="J613">
        <f t="shared" si="102"/>
        <v>0.26757383225801362</v>
      </c>
      <c r="K613">
        <v>3.263013378181815E-4</v>
      </c>
      <c r="L613">
        <v>0.13327042726157826</v>
      </c>
      <c r="N613" s="1">
        <v>2.5627600000000001E-7</v>
      </c>
      <c r="O613">
        <f t="shared" si="103"/>
        <v>3.263013378181815E-4</v>
      </c>
      <c r="Q613" s="1">
        <v>2.5627600000000001E-7</v>
      </c>
      <c r="R613">
        <f t="shared" si="104"/>
        <v>0.13327042726157826</v>
      </c>
      <c r="CH613" s="1">
        <v>2.3723499999999999E-7</v>
      </c>
      <c r="CI613">
        <v>18.6751</v>
      </c>
      <c r="CJ613">
        <f t="shared" si="105"/>
        <v>1451.4101899809341</v>
      </c>
      <c r="CL613" s="1">
        <v>2.3723499999999999E-7</v>
      </c>
      <c r="CM613">
        <v>3.9460000000000002E-2</v>
      </c>
      <c r="CN613">
        <f t="shared" si="106"/>
        <v>3.06679193667759</v>
      </c>
    </row>
    <row r="614" spans="4:92" x14ac:dyDescent="0.35">
      <c r="D614" s="1">
        <v>2.5959499999999999E-7</v>
      </c>
      <c r="E614">
        <v>149.1</v>
      </c>
      <c r="F614">
        <v>6.6189100000000001E-2</v>
      </c>
      <c r="G614">
        <v>39.4589</v>
      </c>
      <c r="I614" s="1">
        <v>2.5959499999999999E-7</v>
      </c>
      <c r="J614">
        <f t="shared" si="102"/>
        <v>0.26462936467918885</v>
      </c>
      <c r="K614">
        <v>3.512814562724784E-4</v>
      </c>
      <c r="L614">
        <v>0.12972795961831565</v>
      </c>
      <c r="N614" s="1">
        <v>2.5959499999999999E-7</v>
      </c>
      <c r="O614">
        <f t="shared" si="103"/>
        <v>3.512814562724784E-4</v>
      </c>
      <c r="Q614" s="1">
        <v>2.5959499999999999E-7</v>
      </c>
      <c r="R614">
        <f t="shared" si="104"/>
        <v>0.12972795961831565</v>
      </c>
      <c r="CH614" s="1">
        <v>2.4030800000000001E-7</v>
      </c>
      <c r="CI614">
        <v>19.6966</v>
      </c>
      <c r="CJ614">
        <f t="shared" si="105"/>
        <v>1530.8001535723217</v>
      </c>
      <c r="CL614" s="1">
        <v>2.4030800000000001E-7</v>
      </c>
      <c r="CM614">
        <v>3.2050000000000002E-2</v>
      </c>
      <c r="CN614">
        <f t="shared" si="106"/>
        <v>2.490894109744469</v>
      </c>
    </row>
    <row r="615" spans="4:92" x14ac:dyDescent="0.35">
      <c r="D615" s="1">
        <v>2.6295699999999999E-7</v>
      </c>
      <c r="E615">
        <v>147.06299999999999</v>
      </c>
      <c r="F615">
        <v>5.1270799999999998E-2</v>
      </c>
      <c r="G615">
        <v>40.165100000000002</v>
      </c>
      <c r="I615" s="1">
        <v>2.6295699999999999E-7</v>
      </c>
      <c r="J615">
        <f t="shared" si="102"/>
        <v>0.26101400575329009</v>
      </c>
      <c r="K615">
        <v>2.7210645390638317E-4</v>
      </c>
      <c r="L615">
        <v>0.13204971428158441</v>
      </c>
      <c r="N615" s="1">
        <v>2.6295699999999999E-7</v>
      </c>
      <c r="O615">
        <f t="shared" si="103"/>
        <v>2.7210645390638317E-4</v>
      </c>
      <c r="Q615" s="1">
        <v>2.6295699999999999E-7</v>
      </c>
      <c r="R615">
        <f t="shared" si="104"/>
        <v>0.13204971428158441</v>
      </c>
      <c r="CH615" s="1">
        <v>2.4341999999999999E-7</v>
      </c>
      <c r="CI615">
        <v>19.916399999999999</v>
      </c>
      <c r="CJ615">
        <f t="shared" si="105"/>
        <v>1547.8827908678547</v>
      </c>
      <c r="CL615" s="1">
        <v>2.4341999999999999E-7</v>
      </c>
      <c r="CM615">
        <v>4.0439999999999997E-2</v>
      </c>
      <c r="CN615">
        <f t="shared" si="106"/>
        <v>3.1429565615621318</v>
      </c>
    </row>
    <row r="616" spans="4:92" x14ac:dyDescent="0.35">
      <c r="D616" s="1">
        <v>2.6636200000000001E-7</v>
      </c>
      <c r="E616">
        <v>146.214</v>
      </c>
      <c r="F616">
        <v>6.8665299999999999E-2</v>
      </c>
      <c r="G616">
        <v>39.848199999999999</v>
      </c>
      <c r="I616" s="1">
        <v>2.6636200000000001E-7</v>
      </c>
      <c r="J616">
        <f t="shared" si="102"/>
        <v>0.25950716248962385</v>
      </c>
      <c r="K616">
        <v>3.6442324460351643E-4</v>
      </c>
      <c r="L616">
        <v>0.13100785071207169</v>
      </c>
      <c r="N616" s="1">
        <v>2.6636200000000001E-7</v>
      </c>
      <c r="O616">
        <f t="shared" si="103"/>
        <v>3.6442324460351643E-4</v>
      </c>
      <c r="Q616" s="1">
        <v>2.6636200000000001E-7</v>
      </c>
      <c r="R616">
        <f t="shared" si="104"/>
        <v>0.13100785071207169</v>
      </c>
      <c r="CH616" s="1">
        <v>2.4657200000000002E-7</v>
      </c>
      <c r="CI616">
        <v>19.7089</v>
      </c>
      <c r="CJ616">
        <f t="shared" si="105"/>
        <v>1531.7560973336276</v>
      </c>
      <c r="CL616" s="1">
        <v>2.4657200000000002E-7</v>
      </c>
      <c r="CM616">
        <v>3.9140000000000001E-2</v>
      </c>
      <c r="CN616">
        <f t="shared" si="106"/>
        <v>3.041921855082637</v>
      </c>
    </row>
    <row r="617" spans="4:92" x14ac:dyDescent="0.35">
      <c r="D617" s="1">
        <v>2.6981099999999998E-7</v>
      </c>
      <c r="E617">
        <v>145.39699999999999</v>
      </c>
      <c r="F617">
        <v>7.3124599999999998E-2</v>
      </c>
      <c r="G617">
        <v>39.297499999999999</v>
      </c>
      <c r="I617" s="1">
        <v>2.6981099999999998E-7</v>
      </c>
      <c r="J617">
        <f t="shared" si="102"/>
        <v>0.2580571142606306</v>
      </c>
      <c r="K617">
        <v>3.8808982109354064E-4</v>
      </c>
      <c r="L617">
        <v>0.12919732919824831</v>
      </c>
      <c r="N617" s="1">
        <v>2.6981099999999998E-7</v>
      </c>
      <c r="O617">
        <f t="shared" si="103"/>
        <v>3.8808982109354064E-4</v>
      </c>
      <c r="Q617" s="1">
        <v>2.6981099999999998E-7</v>
      </c>
      <c r="R617">
        <f t="shared" si="104"/>
        <v>0.12919732919824831</v>
      </c>
      <c r="CH617" s="1">
        <v>2.4976500000000001E-7</v>
      </c>
      <c r="CI617">
        <v>19.758800000000001</v>
      </c>
      <c r="CJ617">
        <f t="shared" si="105"/>
        <v>1535.6342756823406</v>
      </c>
      <c r="CL617" s="1">
        <v>2.4976500000000001E-7</v>
      </c>
      <c r="CM617">
        <v>4.1860000000000001E-2</v>
      </c>
      <c r="CN617">
        <f t="shared" si="106"/>
        <v>3.2533175486397341</v>
      </c>
    </row>
    <row r="618" spans="4:92" x14ac:dyDescent="0.35">
      <c r="D618" s="1">
        <v>2.7330500000000002E-7</v>
      </c>
      <c r="E618">
        <v>143.11199999999999</v>
      </c>
      <c r="F618">
        <v>5.8419100000000002E-2</v>
      </c>
      <c r="G618">
        <v>38.339199999999998</v>
      </c>
      <c r="I618" s="1">
        <v>2.7330500000000002E-7</v>
      </c>
      <c r="J618">
        <f t="shared" si="102"/>
        <v>0.25400159381601661</v>
      </c>
      <c r="K618">
        <v>3.1004419945470697E-4</v>
      </c>
      <c r="L618">
        <v>0.12604675217501063</v>
      </c>
      <c r="N618" s="1">
        <v>2.7330500000000002E-7</v>
      </c>
      <c r="O618">
        <f t="shared" si="103"/>
        <v>3.1004419945470697E-4</v>
      </c>
      <c r="Q618" s="1">
        <v>2.7330500000000002E-7</v>
      </c>
      <c r="R618">
        <f t="shared" si="104"/>
        <v>0.12604675217501063</v>
      </c>
      <c r="CH618" s="1">
        <v>2.53E-7</v>
      </c>
      <c r="CI618">
        <v>18.784300000000002</v>
      </c>
      <c r="CJ618">
        <f t="shared" si="105"/>
        <v>1459.8971053252117</v>
      </c>
      <c r="CL618" s="1">
        <v>2.53E-7</v>
      </c>
      <c r="CM618">
        <v>3.8789999999999998E-2</v>
      </c>
      <c r="CN618">
        <f t="shared" si="106"/>
        <v>3.0147202033381575</v>
      </c>
    </row>
    <row r="619" spans="4:92" x14ac:dyDescent="0.35">
      <c r="D619" s="1">
        <v>2.7684500000000001E-7</v>
      </c>
      <c r="E619">
        <v>141.255</v>
      </c>
      <c r="F619">
        <v>7.3186600000000004E-2</v>
      </c>
      <c r="G619">
        <v>38.887599999999999</v>
      </c>
      <c r="I619" s="1">
        <v>2.7684500000000001E-7</v>
      </c>
      <c r="J619">
        <f t="shared" si="102"/>
        <v>0.2507057069601531</v>
      </c>
      <c r="K619">
        <v>3.8841886998964133E-4</v>
      </c>
      <c r="L619">
        <v>0.12784971204096443</v>
      </c>
      <c r="N619" s="1">
        <v>2.7684500000000001E-7</v>
      </c>
      <c r="O619">
        <f t="shared" si="103"/>
        <v>3.8841886998964133E-4</v>
      </c>
      <c r="Q619" s="1">
        <v>2.7684500000000001E-7</v>
      </c>
      <c r="R619">
        <f t="shared" si="104"/>
        <v>0.12784971204096443</v>
      </c>
      <c r="CH619" s="1">
        <v>2.5627600000000001E-7</v>
      </c>
      <c r="CI619">
        <v>20.287400000000002</v>
      </c>
      <c r="CJ619">
        <f t="shared" si="105"/>
        <v>1576.7165417170029</v>
      </c>
      <c r="CL619" s="1">
        <v>2.5627600000000001E-7</v>
      </c>
      <c r="CM619">
        <v>5.2139999999999999E-2</v>
      </c>
      <c r="CN619">
        <f t="shared" si="106"/>
        <v>4.0522689198775854</v>
      </c>
    </row>
    <row r="620" spans="4:92" x14ac:dyDescent="0.35">
      <c r="D620" s="1">
        <v>2.8042999999999998E-7</v>
      </c>
      <c r="E620">
        <v>139.316</v>
      </c>
      <c r="F620">
        <v>8.7343699999999996E-2</v>
      </c>
      <c r="G620">
        <v>38.330100000000002</v>
      </c>
      <c r="I620" s="1">
        <v>2.8042999999999998E-7</v>
      </c>
      <c r="J620">
        <f t="shared" si="102"/>
        <v>0.24726428282794014</v>
      </c>
      <c r="K620">
        <v>4.6355400107006247E-4</v>
      </c>
      <c r="L620">
        <v>0.12601683435083089</v>
      </c>
      <c r="N620" s="1">
        <v>2.8042999999999998E-7</v>
      </c>
      <c r="O620">
        <f t="shared" si="103"/>
        <v>4.6355400107006247E-4</v>
      </c>
      <c r="Q620" s="1">
        <v>2.8042999999999998E-7</v>
      </c>
      <c r="R620">
        <f t="shared" si="104"/>
        <v>0.12601683435083089</v>
      </c>
      <c r="CH620" s="1">
        <v>2.5959499999999999E-7</v>
      </c>
      <c r="CI620">
        <v>20.307500000000001</v>
      </c>
      <c r="CJ620">
        <f t="shared" si="105"/>
        <v>1578.2786937171859</v>
      </c>
      <c r="CL620" s="1">
        <v>2.5959499999999999E-7</v>
      </c>
      <c r="CM620">
        <v>3.9449999999999999E-2</v>
      </c>
      <c r="CN620">
        <f t="shared" si="106"/>
        <v>3.0660147466277472</v>
      </c>
    </row>
    <row r="621" spans="4:92" x14ac:dyDescent="0.35">
      <c r="D621" s="1">
        <v>2.8406099999999999E-7</v>
      </c>
      <c r="E621">
        <v>135.958</v>
      </c>
      <c r="F621">
        <v>5.6257799999999997E-2</v>
      </c>
      <c r="G621">
        <v>37.993499999999997</v>
      </c>
      <c r="I621" s="1">
        <v>2.8406099999999999E-7</v>
      </c>
      <c r="J621">
        <f t="shared" si="102"/>
        <v>0.24130435387694943</v>
      </c>
      <c r="K621">
        <v>2.9857366108144447E-4</v>
      </c>
      <c r="L621">
        <v>0.12491020362347849</v>
      </c>
      <c r="N621" s="1">
        <v>2.8406099999999999E-7</v>
      </c>
      <c r="O621">
        <f t="shared" si="103"/>
        <v>2.9857366108144447E-4</v>
      </c>
      <c r="Q621" s="1">
        <v>2.8406099999999999E-7</v>
      </c>
      <c r="R621">
        <f t="shared" si="104"/>
        <v>0.12491020362347849</v>
      </c>
      <c r="CH621" s="1">
        <v>2.6295699999999999E-7</v>
      </c>
      <c r="CI621">
        <v>19.5731</v>
      </c>
      <c r="CJ621">
        <f t="shared" si="105"/>
        <v>1521.2018564567697</v>
      </c>
      <c r="CL621" s="1">
        <v>2.6295699999999999E-7</v>
      </c>
      <c r="CM621">
        <v>3.5549999999999998E-2</v>
      </c>
      <c r="CN621">
        <f t="shared" si="106"/>
        <v>2.7629106271892629</v>
      </c>
    </row>
    <row r="622" spans="4:92" x14ac:dyDescent="0.35">
      <c r="D622" s="1">
        <v>2.8774000000000001E-7</v>
      </c>
      <c r="E622">
        <v>135</v>
      </c>
      <c r="F622">
        <v>8.4976399999999994E-2</v>
      </c>
      <c r="G622">
        <v>37.935299999999998</v>
      </c>
      <c r="I622" s="1">
        <v>2.8774000000000001E-7</v>
      </c>
      <c r="J622">
        <f t="shared" si="102"/>
        <v>0.23960405252642855</v>
      </c>
      <c r="K622">
        <v>4.5099017120330432E-4</v>
      </c>
      <c r="L622">
        <v>0.1247188610556475</v>
      </c>
      <c r="N622" s="1">
        <v>2.8774000000000001E-7</v>
      </c>
      <c r="O622">
        <f t="shared" si="103"/>
        <v>4.5099017120330432E-4</v>
      </c>
      <c r="Q622" s="1">
        <v>2.8774000000000001E-7</v>
      </c>
      <c r="R622">
        <f t="shared" si="104"/>
        <v>0.1247188610556475</v>
      </c>
      <c r="CH622" s="1">
        <v>2.6636200000000001E-7</v>
      </c>
      <c r="CI622">
        <v>19.3431</v>
      </c>
      <c r="CJ622">
        <f t="shared" si="105"/>
        <v>1503.3264853103974</v>
      </c>
      <c r="CL622" s="1">
        <v>2.6636200000000001E-7</v>
      </c>
      <c r="CM622">
        <v>3.3360000000000001E-2</v>
      </c>
      <c r="CN622">
        <f t="shared" si="106"/>
        <v>2.5927060062738061</v>
      </c>
    </row>
    <row r="623" spans="4:92" x14ac:dyDescent="0.35">
      <c r="D623" s="1">
        <v>2.91466E-7</v>
      </c>
      <c r="E623">
        <v>133.97999999999999</v>
      </c>
      <c r="F623">
        <v>9.3133099999999996E-2</v>
      </c>
      <c r="G623">
        <v>37.220500000000001</v>
      </c>
      <c r="I623" s="1">
        <v>2.91466E-7</v>
      </c>
      <c r="J623">
        <f t="shared" si="102"/>
        <v>0.23779371079622885</v>
      </c>
      <c r="K623">
        <v>4.9427973782949696E-4</v>
      </c>
      <c r="L623">
        <v>0.12236883240469243</v>
      </c>
      <c r="N623" s="1">
        <v>2.91466E-7</v>
      </c>
      <c r="O623">
        <f t="shared" si="103"/>
        <v>4.9427973782949696E-4</v>
      </c>
      <c r="Q623" s="1">
        <v>2.91466E-7</v>
      </c>
      <c r="R623">
        <f t="shared" si="104"/>
        <v>0.12236883240469243</v>
      </c>
      <c r="CH623" s="1">
        <v>2.6981099999999998E-7</v>
      </c>
      <c r="CI623">
        <v>19.0138</v>
      </c>
      <c r="CJ623">
        <f t="shared" si="105"/>
        <v>1477.7336169690916</v>
      </c>
      <c r="CL623" s="1">
        <v>2.6981099999999998E-7</v>
      </c>
      <c r="CM623">
        <v>3.9350000000000003E-2</v>
      </c>
      <c r="CN623">
        <f t="shared" si="106"/>
        <v>3.0582428461293252</v>
      </c>
    </row>
    <row r="624" spans="4:92" x14ac:dyDescent="0.35">
      <c r="D624" s="1">
        <v>2.9524100000000002E-7</v>
      </c>
      <c r="E624">
        <v>131.518</v>
      </c>
      <c r="F624">
        <v>7.6130100000000006E-2</v>
      </c>
      <c r="G624">
        <v>37.142800000000001</v>
      </c>
      <c r="I624" s="1">
        <v>2.9524100000000002E-7</v>
      </c>
      <c r="J624">
        <f t="shared" si="102"/>
        <v>0.23342404281608023</v>
      </c>
      <c r="K624">
        <v>4.0404073169403136E-4</v>
      </c>
      <c r="L624">
        <v>0.1221133802136191</v>
      </c>
      <c r="N624" s="1">
        <v>2.9524100000000002E-7</v>
      </c>
      <c r="O624">
        <f t="shared" si="103"/>
        <v>4.0404073169403136E-4</v>
      </c>
      <c r="Q624" s="1">
        <v>2.9524100000000002E-7</v>
      </c>
      <c r="R624">
        <f t="shared" si="104"/>
        <v>0.1221133802136191</v>
      </c>
      <c r="CH624" s="1">
        <v>2.7330500000000002E-7</v>
      </c>
      <c r="CI624">
        <v>19.366099999999999</v>
      </c>
      <c r="CJ624">
        <f t="shared" si="105"/>
        <v>1505.1140224250346</v>
      </c>
      <c r="CL624" s="1">
        <v>2.7330500000000002E-7</v>
      </c>
      <c r="CM624">
        <v>4.1140000000000003E-2</v>
      </c>
      <c r="CN624">
        <f t="shared" si="106"/>
        <v>3.1973598650510908</v>
      </c>
    </row>
    <row r="625" spans="4:92" x14ac:dyDescent="0.35">
      <c r="D625" s="1">
        <v>2.9906399999999998E-7</v>
      </c>
      <c r="E625">
        <v>129.89599999999999</v>
      </c>
      <c r="F625">
        <v>9.3717900000000007E-2</v>
      </c>
      <c r="G625">
        <v>37.442700000000002</v>
      </c>
      <c r="I625" s="1">
        <v>2.9906399999999998E-7</v>
      </c>
      <c r="J625">
        <f t="shared" si="102"/>
        <v>0.23054524449609601</v>
      </c>
      <c r="K625">
        <v>4.9738341193336221E-4</v>
      </c>
      <c r="L625">
        <v>0.12309935334235642</v>
      </c>
      <c r="N625" s="1">
        <v>2.9906399999999998E-7</v>
      </c>
      <c r="O625">
        <f t="shared" si="103"/>
        <v>4.9738341193336221E-4</v>
      </c>
      <c r="Q625" s="1">
        <v>2.9906399999999998E-7</v>
      </c>
      <c r="R625">
        <f t="shared" si="104"/>
        <v>0.12309935334235642</v>
      </c>
      <c r="CH625" s="1">
        <v>2.7684500000000001E-7</v>
      </c>
      <c r="CI625">
        <v>20.157699999999998</v>
      </c>
      <c r="CJ625">
        <f t="shared" si="105"/>
        <v>1566.6363867705486</v>
      </c>
      <c r="CL625" s="1">
        <v>2.7684500000000001E-7</v>
      </c>
      <c r="CM625">
        <v>4.0239999999999998E-2</v>
      </c>
      <c r="CN625">
        <f t="shared" si="106"/>
        <v>3.1274127605652864</v>
      </c>
    </row>
    <row r="626" spans="4:92" x14ac:dyDescent="0.35">
      <c r="D626" s="1">
        <v>3.0293700000000001E-7</v>
      </c>
      <c r="E626">
        <v>127.617</v>
      </c>
      <c r="F626">
        <v>8.3352399999999993E-2</v>
      </c>
      <c r="G626">
        <v>36.326999999999998</v>
      </c>
      <c r="I626" s="1">
        <v>3.0293700000000001E-7</v>
      </c>
      <c r="J626">
        <f t="shared" si="102"/>
        <v>0.22650037312048321</v>
      </c>
      <c r="K626">
        <v>4.423712130215719E-4</v>
      </c>
      <c r="L626">
        <v>0.11943129659099855</v>
      </c>
      <c r="N626" s="1">
        <v>3.0293700000000001E-7</v>
      </c>
      <c r="O626">
        <f t="shared" si="103"/>
        <v>4.423712130215719E-4</v>
      </c>
      <c r="Q626" s="1">
        <v>3.0293700000000001E-7</v>
      </c>
      <c r="R626">
        <f t="shared" si="104"/>
        <v>0.11943129659099855</v>
      </c>
      <c r="CH626" s="1">
        <v>2.8042999999999998E-7</v>
      </c>
      <c r="CI626">
        <v>20.440899999999999</v>
      </c>
      <c r="CJ626">
        <f t="shared" si="105"/>
        <v>1588.6464089820815</v>
      </c>
      <c r="CL626" s="1">
        <v>2.8042999999999998E-7</v>
      </c>
      <c r="CM626">
        <v>3.9190000000000003E-2</v>
      </c>
      <c r="CN626">
        <f t="shared" si="106"/>
        <v>3.0458078053318487</v>
      </c>
    </row>
    <row r="627" spans="4:92" x14ac:dyDescent="0.35">
      <c r="D627" s="1">
        <v>3.0685999999999998E-7</v>
      </c>
      <c r="E627">
        <v>126.41200000000001</v>
      </c>
      <c r="F627">
        <v>7.2041599999999997E-2</v>
      </c>
      <c r="G627">
        <v>35.844499999999996</v>
      </c>
      <c r="I627" s="1">
        <v>3.0685999999999998E-7</v>
      </c>
      <c r="J627">
        <f t="shared" si="102"/>
        <v>0.22436168509608065</v>
      </c>
      <c r="K627">
        <v>3.8234207989229914E-4</v>
      </c>
      <c r="L627">
        <v>0.11784499437487397</v>
      </c>
      <c r="N627" s="1">
        <v>3.0685999999999998E-7</v>
      </c>
      <c r="O627">
        <f t="shared" si="103"/>
        <v>3.8234207989229914E-4</v>
      </c>
      <c r="Q627" s="1">
        <v>3.0685999999999998E-7</v>
      </c>
      <c r="R627">
        <f t="shared" si="104"/>
        <v>0.11784499437487397</v>
      </c>
      <c r="CH627" s="1">
        <v>2.8406099999999999E-7</v>
      </c>
      <c r="CI627">
        <v>19.824300000000001</v>
      </c>
      <c r="CJ627">
        <f t="shared" si="105"/>
        <v>1540.7248705088075</v>
      </c>
      <c r="CL627" s="1">
        <v>2.8406099999999999E-7</v>
      </c>
      <c r="CM627">
        <v>3.7740000000000003E-2</v>
      </c>
      <c r="CN627">
        <f t="shared" si="106"/>
        <v>2.9331152481047198</v>
      </c>
    </row>
    <row r="628" spans="4:92" x14ac:dyDescent="0.35">
      <c r="D628" s="1">
        <v>3.1083399999999999E-7</v>
      </c>
      <c r="E628">
        <v>123.82299999999999</v>
      </c>
      <c r="F628">
        <v>6.9542400000000004E-2</v>
      </c>
      <c r="G628">
        <v>35.479999999999997</v>
      </c>
      <c r="I628" s="1">
        <v>3.1083399999999999E-7</v>
      </c>
      <c r="J628">
        <f t="shared" si="102"/>
        <v>0.2197666118220738</v>
      </c>
      <c r="K628">
        <v>3.6907822503528837E-4</v>
      </c>
      <c r="L628">
        <v>0.11664663757119026</v>
      </c>
      <c r="N628" s="1">
        <v>3.1083399999999999E-7</v>
      </c>
      <c r="O628">
        <f t="shared" si="103"/>
        <v>3.6907822503528837E-4</v>
      </c>
      <c r="Q628" s="1">
        <v>3.1083399999999999E-7</v>
      </c>
      <c r="R628">
        <f t="shared" si="104"/>
        <v>0.11664663757119026</v>
      </c>
      <c r="CH628" s="1">
        <v>2.8774000000000001E-7</v>
      </c>
      <c r="CI628">
        <v>19.969899999999999</v>
      </c>
      <c r="CJ628">
        <f t="shared" si="105"/>
        <v>1552.0407576345108</v>
      </c>
      <c r="CL628" s="1">
        <v>2.8774000000000001E-7</v>
      </c>
      <c r="CM628">
        <v>3.7620000000000001E-2</v>
      </c>
      <c r="CN628">
        <f t="shared" si="106"/>
        <v>2.9237889675066122</v>
      </c>
    </row>
    <row r="629" spans="4:92" x14ac:dyDescent="0.35">
      <c r="D629" s="1">
        <v>3.1485899999999997E-7</v>
      </c>
      <c r="E629">
        <v>121.10299999999999</v>
      </c>
      <c r="F629">
        <v>9.6354999999999996E-2</v>
      </c>
      <c r="G629">
        <v>34.744900000000001</v>
      </c>
      <c r="I629" s="1">
        <v>3.1485899999999997E-7</v>
      </c>
      <c r="J629">
        <f t="shared" si="102"/>
        <v>0.21493903387487465</v>
      </c>
      <c r="K629">
        <v>5.1137913522218399E-4</v>
      </c>
      <c r="L629">
        <v>0.11422986915860341</v>
      </c>
      <c r="N629" s="1">
        <v>3.1485899999999997E-7</v>
      </c>
      <c r="O629">
        <f t="shared" si="103"/>
        <v>5.1137913522218399E-4</v>
      </c>
      <c r="Q629" s="1">
        <v>3.1485899999999997E-7</v>
      </c>
      <c r="R629">
        <f t="shared" si="104"/>
        <v>0.11422986915860341</v>
      </c>
      <c r="CH629" s="1">
        <v>2.91466E-7</v>
      </c>
      <c r="CI629">
        <v>20.8871</v>
      </c>
      <c r="CJ629">
        <f t="shared" si="105"/>
        <v>1623.3246290060438</v>
      </c>
      <c r="CL629" s="1">
        <v>2.91466E-7</v>
      </c>
      <c r="CM629">
        <v>3.4479999999999997E-2</v>
      </c>
      <c r="CN629">
        <f t="shared" si="106"/>
        <v>2.6797512918561401</v>
      </c>
    </row>
    <row r="630" spans="4:92" x14ac:dyDescent="0.35">
      <c r="D630" s="1">
        <v>3.1893699999999999E-7</v>
      </c>
      <c r="E630">
        <v>119.479</v>
      </c>
      <c r="F630">
        <v>9.6659900000000007E-2</v>
      </c>
      <c r="G630">
        <v>34.668799999999997</v>
      </c>
      <c r="I630" s="1">
        <v>3.1893699999999999E-7</v>
      </c>
      <c r="J630">
        <f t="shared" si="102"/>
        <v>0.21205668586522339</v>
      </c>
      <c r="K630">
        <v>5.1299731277736267E-4</v>
      </c>
      <c r="L630">
        <v>0.11397967724430892</v>
      </c>
      <c r="N630" s="1">
        <v>3.1893699999999999E-7</v>
      </c>
      <c r="O630">
        <f t="shared" si="103"/>
        <v>5.1299731277736267E-4</v>
      </c>
      <c r="Q630" s="1">
        <v>3.1893699999999999E-7</v>
      </c>
      <c r="R630">
        <f t="shared" si="104"/>
        <v>0.11397967724430892</v>
      </c>
      <c r="CH630" s="1">
        <v>2.9524100000000002E-7</v>
      </c>
      <c r="CI630">
        <v>20.988299999999999</v>
      </c>
      <c r="CJ630">
        <f t="shared" si="105"/>
        <v>1631.1897923104473</v>
      </c>
      <c r="CL630" s="1">
        <v>2.9524100000000002E-7</v>
      </c>
      <c r="CM630">
        <v>3.6450000000000003E-2</v>
      </c>
      <c r="CN630">
        <f t="shared" si="106"/>
        <v>2.8328577316750674</v>
      </c>
    </row>
    <row r="631" spans="4:92" x14ac:dyDescent="0.35">
      <c r="D631" s="1">
        <v>3.2306700000000002E-7</v>
      </c>
      <c r="E631">
        <v>117.26900000000001</v>
      </c>
      <c r="F631">
        <v>0.116859</v>
      </c>
      <c r="G631">
        <v>34.337200000000003</v>
      </c>
      <c r="I631" s="1">
        <v>3.2306700000000002E-7</v>
      </c>
      <c r="J631">
        <f t="shared" si="102"/>
        <v>0.2081342787831241</v>
      </c>
      <c r="K631">
        <v>6.2019878950681547E-4</v>
      </c>
      <c r="L631">
        <v>0.11288948488189048</v>
      </c>
      <c r="N631" s="1">
        <v>3.2306700000000002E-7</v>
      </c>
      <c r="O631">
        <f t="shared" si="103"/>
        <v>6.2019878950681547E-4</v>
      </c>
      <c r="Q631" s="1">
        <v>3.2306700000000002E-7</v>
      </c>
      <c r="R631">
        <f t="shared" si="104"/>
        <v>0.11288948488189048</v>
      </c>
      <c r="CH631" s="1">
        <v>2.9906399999999998E-7</v>
      </c>
      <c r="CI631">
        <v>20.337800000000001</v>
      </c>
      <c r="CJ631">
        <f t="shared" si="105"/>
        <v>1580.633579568208</v>
      </c>
      <c r="CL631" s="1">
        <v>2.9906399999999998E-7</v>
      </c>
      <c r="CM631">
        <v>3.338E-2</v>
      </c>
      <c r="CN631">
        <f t="shared" si="106"/>
        <v>2.5942603863734908</v>
      </c>
    </row>
    <row r="632" spans="4:92" x14ac:dyDescent="0.35">
      <c r="D632" s="1">
        <v>3.27251E-7</v>
      </c>
      <c r="E632">
        <v>115.604</v>
      </c>
      <c r="F632">
        <v>7.4953400000000003E-2</v>
      </c>
      <c r="G632">
        <v>33.769100000000002</v>
      </c>
      <c r="I632" s="1">
        <v>3.27251E-7</v>
      </c>
      <c r="J632">
        <f t="shared" si="102"/>
        <v>0.2051791621352981</v>
      </c>
      <c r="K632">
        <v>3.9779570208045713E-4</v>
      </c>
      <c r="L632">
        <v>0.11102175785809698</v>
      </c>
      <c r="N632" s="1">
        <v>3.27251E-7</v>
      </c>
      <c r="O632">
        <f t="shared" si="103"/>
        <v>3.9779570208045713E-4</v>
      </c>
      <c r="Q632" s="1">
        <v>3.27251E-7</v>
      </c>
      <c r="R632">
        <f t="shared" si="104"/>
        <v>0.11102175785809698</v>
      </c>
      <c r="CH632" s="1">
        <v>3.0293700000000001E-7</v>
      </c>
      <c r="CI632">
        <v>20.986499999999999</v>
      </c>
      <c r="CJ632">
        <f t="shared" si="105"/>
        <v>1631.0498981014757</v>
      </c>
      <c r="CL632" s="1">
        <v>3.0293700000000001E-7</v>
      </c>
      <c r="CM632">
        <v>4.4479999999999999E-2</v>
      </c>
      <c r="CN632">
        <f t="shared" si="106"/>
        <v>3.4569413416984083</v>
      </c>
    </row>
    <row r="633" spans="4:92" x14ac:dyDescent="0.35">
      <c r="D633" s="1">
        <v>3.3148899999999998E-7</v>
      </c>
      <c r="E633">
        <v>113.057</v>
      </c>
      <c r="F633">
        <v>8.5709800000000003E-2</v>
      </c>
      <c r="G633">
        <v>33.636200000000002</v>
      </c>
      <c r="I633" s="1">
        <v>3.3148899999999998E-7</v>
      </c>
      <c r="J633">
        <f t="shared" si="102"/>
        <v>0.20065863234429951</v>
      </c>
      <c r="K633">
        <v>4.5488250120975912E-4</v>
      </c>
      <c r="L633">
        <v>0.11058482611815305</v>
      </c>
      <c r="N633" s="1">
        <v>3.3148899999999998E-7</v>
      </c>
      <c r="O633">
        <f t="shared" si="103"/>
        <v>4.5488250120975912E-4</v>
      </c>
      <c r="Q633" s="1">
        <v>3.3148899999999998E-7</v>
      </c>
      <c r="R633">
        <f t="shared" si="104"/>
        <v>0.11058482611815305</v>
      </c>
      <c r="CH633" s="1">
        <v>3.0685999999999998E-7</v>
      </c>
      <c r="CI633">
        <v>20.235399999999998</v>
      </c>
      <c r="CJ633">
        <f t="shared" si="105"/>
        <v>1572.6751534578229</v>
      </c>
      <c r="CL633" s="1">
        <v>3.0685999999999998E-7</v>
      </c>
      <c r="CM633">
        <v>3.4320000000000003E-2</v>
      </c>
      <c r="CN633">
        <f t="shared" si="106"/>
        <v>2.6673162510586641</v>
      </c>
    </row>
    <row r="634" spans="4:92" x14ac:dyDescent="0.35">
      <c r="D634" s="1">
        <v>3.3578200000000001E-7</v>
      </c>
      <c r="E634">
        <v>111.465</v>
      </c>
      <c r="F634">
        <v>9.5704600000000001E-2</v>
      </c>
      <c r="G634">
        <v>32.880699999999997</v>
      </c>
      <c r="I634" s="1">
        <v>3.3578200000000001E-7</v>
      </c>
      <c r="J634">
        <f t="shared" si="102"/>
        <v>0.19783307936932118</v>
      </c>
      <c r="K634">
        <v>5.0792730615728326E-4</v>
      </c>
      <c r="L634">
        <v>0.10810098917663573</v>
      </c>
      <c r="N634" s="1">
        <v>3.3578200000000001E-7</v>
      </c>
      <c r="O634">
        <f t="shared" si="103"/>
        <v>5.0792730615728326E-4</v>
      </c>
      <c r="Q634" s="1">
        <v>3.3578200000000001E-7</v>
      </c>
      <c r="R634">
        <f t="shared" si="104"/>
        <v>0.10810098917663573</v>
      </c>
      <c r="CH634" s="1">
        <v>3.1083399999999999E-7</v>
      </c>
      <c r="CI634">
        <v>20.4649</v>
      </c>
      <c r="CJ634">
        <f t="shared" si="105"/>
        <v>1590.5116651017031</v>
      </c>
      <c r="CL634" s="1">
        <v>3.1083399999999999E-7</v>
      </c>
      <c r="CM634">
        <v>3.6740000000000002E-2</v>
      </c>
      <c r="CN634">
        <f t="shared" si="106"/>
        <v>2.8553962431204929</v>
      </c>
    </row>
    <row r="635" spans="4:92" x14ac:dyDescent="0.35">
      <c r="D635" s="1">
        <v>3.4013000000000002E-7</v>
      </c>
      <c r="E635">
        <v>108.69</v>
      </c>
      <c r="F635">
        <v>9.5916100000000004E-2</v>
      </c>
      <c r="G635">
        <v>32.541200000000003</v>
      </c>
      <c r="I635" s="1">
        <v>3.4013000000000002E-7</v>
      </c>
      <c r="J635">
        <f t="shared" si="102"/>
        <v>0.19290788495627792</v>
      </c>
      <c r="K635">
        <v>5.0904978747220715E-4</v>
      </c>
      <c r="L635">
        <v>0.10698482419762168</v>
      </c>
      <c r="N635" s="1">
        <v>3.4013000000000002E-7</v>
      </c>
      <c r="O635">
        <f t="shared" si="103"/>
        <v>5.0904978747220715E-4</v>
      </c>
      <c r="Q635" s="1">
        <v>3.4013000000000002E-7</v>
      </c>
      <c r="R635">
        <f t="shared" si="104"/>
        <v>0.10698482419762168</v>
      </c>
      <c r="CH635" s="1">
        <v>3.1485899999999997E-7</v>
      </c>
      <c r="CI635">
        <v>20.270399999999999</v>
      </c>
      <c r="CJ635">
        <f t="shared" si="105"/>
        <v>1575.3953186322708</v>
      </c>
      <c r="CL635" s="1">
        <v>3.1485899999999997E-7</v>
      </c>
      <c r="CM635">
        <v>3.9230000000000001E-2</v>
      </c>
      <c r="CN635">
        <f t="shared" si="106"/>
        <v>3.0489165655312176</v>
      </c>
    </row>
    <row r="636" spans="4:92" x14ac:dyDescent="0.35">
      <c r="D636" s="1">
        <v>3.4453500000000001E-7</v>
      </c>
      <c r="E636">
        <v>106.602</v>
      </c>
      <c r="F636">
        <v>9.7421300000000002E-2</v>
      </c>
      <c r="G636">
        <v>31.885999999999999</v>
      </c>
      <c r="I636" s="1">
        <v>3.4453500000000001E-7</v>
      </c>
      <c r="J636">
        <f t="shared" si="102"/>
        <v>0.18920200894386915</v>
      </c>
      <c r="K636">
        <v>5.1703824551108872E-4</v>
      </c>
      <c r="L636">
        <v>0.10483074085667905</v>
      </c>
      <c r="N636" s="1">
        <v>3.4453500000000001E-7</v>
      </c>
      <c r="O636">
        <f t="shared" si="103"/>
        <v>5.1703824551108872E-4</v>
      </c>
      <c r="Q636" s="1">
        <v>3.4453500000000001E-7</v>
      </c>
      <c r="R636">
        <f t="shared" si="104"/>
        <v>0.10483074085667905</v>
      </c>
      <c r="CH636" s="1">
        <v>3.1893699999999999E-7</v>
      </c>
      <c r="CI636">
        <v>20.892600000000002</v>
      </c>
      <c r="CJ636">
        <f t="shared" si="105"/>
        <v>1623.7520835334572</v>
      </c>
      <c r="CL636" s="1">
        <v>3.1893699999999999E-7</v>
      </c>
      <c r="CM636">
        <v>3.1300000000000001E-2</v>
      </c>
      <c r="CN636">
        <f t="shared" si="106"/>
        <v>2.4326048560062992</v>
      </c>
    </row>
    <row r="637" spans="4:92" x14ac:dyDescent="0.35">
      <c r="D637" s="1">
        <v>3.4899600000000001E-7</v>
      </c>
      <c r="E637">
        <v>104.566</v>
      </c>
      <c r="F637">
        <v>0.103863</v>
      </c>
      <c r="G637">
        <v>31.592600000000001</v>
      </c>
      <c r="I637" s="1">
        <v>3.4899600000000001E-7</v>
      </c>
      <c r="J637">
        <f t="shared" si="102"/>
        <v>0.18558842486280391</v>
      </c>
      <c r="K637">
        <v>5.5122589509191727E-4</v>
      </c>
      <c r="L637">
        <v>0.10386613760235584</v>
      </c>
      <c r="N637" s="1">
        <v>3.4899600000000001E-7</v>
      </c>
      <c r="O637">
        <f t="shared" si="103"/>
        <v>5.5122589509191727E-4</v>
      </c>
      <c r="Q637" s="1">
        <v>3.4899600000000001E-7</v>
      </c>
      <c r="R637">
        <f t="shared" si="104"/>
        <v>0.10386613760235584</v>
      </c>
      <c r="CH637" s="1">
        <v>3.2306700000000002E-7</v>
      </c>
      <c r="CI637">
        <v>20.456399999999999</v>
      </c>
      <c r="CJ637">
        <f t="shared" si="105"/>
        <v>1589.8510535593371</v>
      </c>
      <c r="CL637" s="1">
        <v>3.2306700000000002E-7</v>
      </c>
      <c r="CM637">
        <v>3.6859999999999997E-2</v>
      </c>
      <c r="CN637">
        <f t="shared" si="106"/>
        <v>2.8647225237185996</v>
      </c>
    </row>
    <row r="638" spans="4:92" x14ac:dyDescent="0.35">
      <c r="D638" s="1">
        <v>3.53516E-7</v>
      </c>
      <c r="E638">
        <v>102.822</v>
      </c>
      <c r="F638">
        <v>0.104301</v>
      </c>
      <c r="G638">
        <v>31.536000000000001</v>
      </c>
      <c r="I638" s="1">
        <v>3.53516E-7</v>
      </c>
      <c r="J638">
        <f t="shared" si="102"/>
        <v>0.18249309547312917</v>
      </c>
      <c r="K638">
        <v>5.5355046632566047E-4</v>
      </c>
      <c r="L638">
        <v>0.10368005531130373</v>
      </c>
      <c r="N638" s="1">
        <v>3.53516E-7</v>
      </c>
      <c r="O638">
        <f t="shared" si="103"/>
        <v>5.5355046632566047E-4</v>
      </c>
      <c r="Q638" s="1">
        <v>3.53516E-7</v>
      </c>
      <c r="R638">
        <f t="shared" si="104"/>
        <v>0.10368005531130373</v>
      </c>
      <c r="CH638" s="1">
        <v>3.27251E-7</v>
      </c>
      <c r="CI638">
        <v>21.0486</v>
      </c>
      <c r="CJ638">
        <f t="shared" si="105"/>
        <v>1635.8762483109963</v>
      </c>
      <c r="CL638" s="1">
        <v>3.27251E-7</v>
      </c>
      <c r="CM638">
        <v>4.5569999999999999E-2</v>
      </c>
      <c r="CN638">
        <f t="shared" si="106"/>
        <v>3.5416550571312153</v>
      </c>
    </row>
    <row r="639" spans="4:92" x14ac:dyDescent="0.35">
      <c r="D639" s="1">
        <v>3.58094E-7</v>
      </c>
      <c r="E639">
        <v>101.217</v>
      </c>
      <c r="F639">
        <v>9.9088599999999999E-2</v>
      </c>
      <c r="G639">
        <v>30.9755</v>
      </c>
      <c r="I639" s="1">
        <v>3.58094E-7</v>
      </c>
      <c r="J639">
        <f t="shared" si="102"/>
        <v>0.17964446951531493</v>
      </c>
      <c r="K639">
        <v>5.2588700719606552E-4</v>
      </c>
      <c r="L639">
        <v>0.10183731460220981</v>
      </c>
      <c r="N639" s="1">
        <v>3.58094E-7</v>
      </c>
      <c r="O639">
        <f t="shared" si="103"/>
        <v>5.2588700719606552E-4</v>
      </c>
      <c r="Q639" s="1">
        <v>3.58094E-7</v>
      </c>
      <c r="R639">
        <f t="shared" si="104"/>
        <v>0.10183731460220981</v>
      </c>
      <c r="CH639" s="1">
        <v>3.3148899999999998E-7</v>
      </c>
      <c r="CI639">
        <v>20.381</v>
      </c>
      <c r="CJ639">
        <f t="shared" si="105"/>
        <v>1583.9910405835265</v>
      </c>
      <c r="CL639" s="1">
        <v>3.3148899999999998E-7</v>
      </c>
      <c r="CM639">
        <v>3.5060000000000001E-2</v>
      </c>
      <c r="CN639">
        <f t="shared" si="106"/>
        <v>2.7248283147469916</v>
      </c>
    </row>
    <row r="640" spans="4:92" x14ac:dyDescent="0.35">
      <c r="D640" s="1">
        <v>3.6273099999999999E-7</v>
      </c>
      <c r="E640">
        <v>98.048900000000003</v>
      </c>
      <c r="F640">
        <v>0.11511299999999999</v>
      </c>
      <c r="G640">
        <v>30.370799999999999</v>
      </c>
      <c r="I640" s="1">
        <v>3.6273099999999999E-7</v>
      </c>
      <c r="J640">
        <f t="shared" si="102"/>
        <v>0.17402158359821143</v>
      </c>
      <c r="K640">
        <v>6.1093234801340099E-4</v>
      </c>
      <c r="L640">
        <v>9.984925874709992E-2</v>
      </c>
      <c r="N640" s="1">
        <v>3.6273099999999999E-7</v>
      </c>
      <c r="O640">
        <f t="shared" si="103"/>
        <v>6.1093234801340099E-4</v>
      </c>
      <c r="Q640" s="1">
        <v>3.6273099999999999E-7</v>
      </c>
      <c r="R640">
        <f t="shared" si="104"/>
        <v>9.984925874709992E-2</v>
      </c>
      <c r="CH640" s="1">
        <v>3.3578200000000001E-7</v>
      </c>
      <c r="CI640">
        <v>20.8094</v>
      </c>
      <c r="CJ640">
        <f t="shared" si="105"/>
        <v>1617.2858623187692</v>
      </c>
      <c r="CL640" s="1">
        <v>3.3578200000000001E-7</v>
      </c>
      <c r="CM640">
        <v>3.4270000000000002E-2</v>
      </c>
      <c r="CN640">
        <f t="shared" si="106"/>
        <v>2.6634303008094529</v>
      </c>
    </row>
    <row r="641" spans="4:92" x14ac:dyDescent="0.35">
      <c r="D641" s="1">
        <v>3.6742899999999997E-7</v>
      </c>
      <c r="E641">
        <v>95.404899999999998</v>
      </c>
      <c r="F641">
        <v>0.10269</v>
      </c>
      <c r="G641">
        <v>30.250900000000001</v>
      </c>
      <c r="I641" s="1">
        <v>3.6742899999999997E-7</v>
      </c>
      <c r="J641">
        <f t="shared" si="102"/>
        <v>0.16932889385836045</v>
      </c>
      <c r="K641">
        <v>5.4500050226730394E-4</v>
      </c>
      <c r="L641">
        <v>9.9455066755984214E-2</v>
      </c>
      <c r="N641" s="1">
        <v>3.6742899999999997E-7</v>
      </c>
      <c r="O641">
        <f t="shared" si="103"/>
        <v>5.4500050226730394E-4</v>
      </c>
      <c r="Q641" s="1">
        <v>3.6742899999999997E-7</v>
      </c>
      <c r="R641">
        <f t="shared" si="104"/>
        <v>9.9455066755984214E-2</v>
      </c>
      <c r="CH641" s="1">
        <v>3.4013000000000002E-7</v>
      </c>
      <c r="CI641">
        <v>19.9895</v>
      </c>
      <c r="CJ641">
        <f t="shared" si="105"/>
        <v>1553.5640501322016</v>
      </c>
      <c r="CL641" s="1">
        <v>3.4013000000000002E-7</v>
      </c>
      <c r="CM641">
        <v>3.1579999999999997E-2</v>
      </c>
      <c r="CN641">
        <f t="shared" si="106"/>
        <v>2.4543661774018823</v>
      </c>
    </row>
    <row r="642" spans="4:92" x14ac:dyDescent="0.35">
      <c r="D642" s="1">
        <v>3.7218700000000002E-7</v>
      </c>
      <c r="E642">
        <v>92.778300000000002</v>
      </c>
      <c r="F642">
        <v>0.10092</v>
      </c>
      <c r="G642">
        <v>29.5474</v>
      </c>
      <c r="I642" s="1">
        <v>3.7218700000000002E-7</v>
      </c>
      <c r="J642">
        <f t="shared" si="102"/>
        <v>0.16466708641861294</v>
      </c>
      <c r="K642">
        <v>5.3560668700765714E-4</v>
      </c>
      <c r="L642">
        <v>9.7142188809779789E-2</v>
      </c>
      <c r="N642" s="1">
        <v>3.7218700000000002E-7</v>
      </c>
      <c r="O642">
        <f t="shared" si="103"/>
        <v>5.3560668700765714E-4</v>
      </c>
      <c r="Q642" s="1">
        <v>3.7218700000000002E-7</v>
      </c>
      <c r="R642">
        <f t="shared" si="104"/>
        <v>9.7142188809779789E-2</v>
      </c>
      <c r="CH642" s="1">
        <v>3.4453500000000001E-7</v>
      </c>
      <c r="CI642">
        <v>19.864899999999999</v>
      </c>
      <c r="CJ642">
        <f t="shared" si="105"/>
        <v>1543.880262111167</v>
      </c>
      <c r="CL642" s="1">
        <v>3.4453500000000001E-7</v>
      </c>
      <c r="CM642">
        <v>3.7690000000000001E-2</v>
      </c>
      <c r="CN642">
        <f t="shared" si="106"/>
        <v>2.9292292978555081</v>
      </c>
    </row>
    <row r="643" spans="4:92" x14ac:dyDescent="0.35">
      <c r="D643" s="1">
        <v>3.7700699999999998E-7</v>
      </c>
      <c r="E643">
        <v>91.537000000000006</v>
      </c>
      <c r="F643">
        <v>9.0700000000000003E-2</v>
      </c>
      <c r="G643">
        <v>29.135200000000001</v>
      </c>
      <c r="I643" s="1">
        <v>3.7700699999999998E-7</v>
      </c>
      <c r="J643">
        <f t="shared" si="102"/>
        <v>0.16246397152675326</v>
      </c>
      <c r="K643">
        <v>4.8136669155365147E-4</v>
      </c>
      <c r="L643">
        <v>9.5787010004626333E-2</v>
      </c>
      <c r="N643" s="1">
        <v>3.7700699999999998E-7</v>
      </c>
      <c r="O643">
        <f t="shared" si="103"/>
        <v>4.8136669155365147E-4</v>
      </c>
      <c r="Q643" s="1">
        <v>3.7700699999999998E-7</v>
      </c>
      <c r="R643">
        <f t="shared" si="104"/>
        <v>9.5787010004626333E-2</v>
      </c>
      <c r="CH643" s="1">
        <v>3.4899600000000001E-7</v>
      </c>
      <c r="CI643">
        <v>20.1084</v>
      </c>
      <c r="CJ643">
        <f t="shared" si="105"/>
        <v>1562.8048398248263</v>
      </c>
      <c r="CL643" s="1">
        <v>3.4899600000000001E-7</v>
      </c>
      <c r="CM643">
        <v>3.7139999999999999E-2</v>
      </c>
      <c r="CN643">
        <f t="shared" si="106"/>
        <v>2.8864838451141837</v>
      </c>
    </row>
    <row r="644" spans="4:92" x14ac:dyDescent="0.35">
      <c r="D644" s="1">
        <v>3.8188900000000001E-7</v>
      </c>
      <c r="E644">
        <v>88.796999999999997</v>
      </c>
      <c r="F644">
        <v>0.122007</v>
      </c>
      <c r="G644">
        <v>29.047799999999999</v>
      </c>
      <c r="I644" s="1">
        <v>3.8188900000000001E-7</v>
      </c>
      <c r="J644">
        <f t="shared" ref="J644:J707" si="107">E644/SUM($E$3:$E$2002)/$C$3</f>
        <v>0.15760089668288355</v>
      </c>
      <c r="K644">
        <v>6.4752046236368635E-4</v>
      </c>
      <c r="L644">
        <v>9.5499667385581175E-2</v>
      </c>
      <c r="N644" s="1">
        <v>3.8188900000000001E-7</v>
      </c>
      <c r="O644">
        <f t="shared" ref="O644:O707" si="108">F644/SUM($F$3:$F$2002)/$C$3</f>
        <v>6.4752046236368635E-4</v>
      </c>
      <c r="Q644" s="1">
        <v>3.8188900000000001E-7</v>
      </c>
      <c r="R644">
        <f t="shared" ref="R644:R707" si="109">G644/SUM($G$3:$G$2002)/$C$3</f>
        <v>9.5499667385581175E-2</v>
      </c>
      <c r="CH644" s="1">
        <v>3.53516E-7</v>
      </c>
      <c r="CI644">
        <v>19.884599999999999</v>
      </c>
      <c r="CJ644">
        <f t="shared" si="105"/>
        <v>1545.4113265093563</v>
      </c>
      <c r="CL644" s="1">
        <v>3.53516E-7</v>
      </c>
      <c r="CM644">
        <v>3.3989999999999999E-2</v>
      </c>
      <c r="CN644">
        <f t="shared" si="106"/>
        <v>2.6416689794138688</v>
      </c>
    </row>
    <row r="645" spans="4:92" x14ac:dyDescent="0.35">
      <c r="D645" s="1">
        <v>3.8683500000000001E-7</v>
      </c>
      <c r="E645">
        <v>86.972499999999997</v>
      </c>
      <c r="F645">
        <v>0.10154199999999999</v>
      </c>
      <c r="G645">
        <v>28.282299999999999</v>
      </c>
      <c r="I645" s="1">
        <v>3.8683500000000001E-7</v>
      </c>
      <c r="J645">
        <f t="shared" si="107"/>
        <v>0.15436269228410968</v>
      </c>
      <c r="K645">
        <v>5.3890779044918271E-4</v>
      </c>
      <c r="L645">
        <v>9.2982953714196001E-2</v>
      </c>
      <c r="N645" s="1">
        <v>3.8683500000000001E-7</v>
      </c>
      <c r="O645">
        <f t="shared" si="108"/>
        <v>5.3890779044918271E-4</v>
      </c>
      <c r="Q645" s="1">
        <v>3.8683500000000001E-7</v>
      </c>
      <c r="R645">
        <f t="shared" si="109"/>
        <v>9.2982953714196001E-2</v>
      </c>
      <c r="CH645" s="1">
        <v>3.58094E-7</v>
      </c>
      <c r="CI645">
        <v>20.841000000000001</v>
      </c>
      <c r="CJ645">
        <f t="shared" si="105"/>
        <v>1619.7417828762709</v>
      </c>
      <c r="CL645" s="1">
        <v>3.58094E-7</v>
      </c>
      <c r="CM645">
        <v>3.5439999999999999E-2</v>
      </c>
      <c r="CN645">
        <f t="shared" si="106"/>
        <v>2.7543615366409977</v>
      </c>
    </row>
    <row r="646" spans="4:92" x14ac:dyDescent="0.35">
      <c r="D646" s="1">
        <v>3.91844E-7</v>
      </c>
      <c r="E646">
        <v>85.499499999999998</v>
      </c>
      <c r="F646">
        <v>0.13029199999999999</v>
      </c>
      <c r="G646">
        <v>28.0379</v>
      </c>
      <c r="I646" s="1">
        <v>3.91844E-7</v>
      </c>
      <c r="J646">
        <f t="shared" si="107"/>
        <v>0.15174834584432131</v>
      </c>
      <c r="K646">
        <v>6.9149094791519676E-4</v>
      </c>
      <c r="L646">
        <v>9.2179446436225346E-2</v>
      </c>
      <c r="N646" s="1">
        <v>3.91844E-7</v>
      </c>
      <c r="O646">
        <f t="shared" si="108"/>
        <v>6.9149094791519676E-4</v>
      </c>
      <c r="Q646" s="1">
        <v>3.91844E-7</v>
      </c>
      <c r="R646">
        <f t="shared" si="109"/>
        <v>9.2179446436225346E-2</v>
      </c>
      <c r="CH646" s="1">
        <v>3.6273099999999999E-7</v>
      </c>
      <c r="CI646">
        <v>21.043500000000002</v>
      </c>
      <c r="CJ646">
        <f t="shared" si="105"/>
        <v>1635.4798813855768</v>
      </c>
      <c r="CL646" s="1">
        <v>3.6273099999999999E-7</v>
      </c>
      <c r="CM646">
        <v>3.4419999999999999E-2</v>
      </c>
      <c r="CN646">
        <f t="shared" si="106"/>
        <v>2.6750881515570866</v>
      </c>
    </row>
    <row r="647" spans="4:92" x14ac:dyDescent="0.35">
      <c r="D647" s="1">
        <v>3.9691900000000001E-7</v>
      </c>
      <c r="E647">
        <v>82.830299999999994</v>
      </c>
      <c r="F647">
        <v>0.11967</v>
      </c>
      <c r="G647">
        <v>27.678899999999999</v>
      </c>
      <c r="I647" s="1">
        <v>3.9691900000000001E-7</v>
      </c>
      <c r="J647">
        <f t="shared" si="107"/>
        <v>0.14701093001466542</v>
      </c>
      <c r="K647">
        <v>6.3511744187679669E-4</v>
      </c>
      <c r="L647">
        <v>9.0999171833968939E-2</v>
      </c>
      <c r="N647" s="1">
        <v>3.9691900000000001E-7</v>
      </c>
      <c r="O647">
        <f t="shared" si="108"/>
        <v>6.3511744187679669E-4</v>
      </c>
      <c r="Q647" s="1">
        <v>3.9691900000000001E-7</v>
      </c>
      <c r="R647">
        <f t="shared" si="109"/>
        <v>9.0999171833968939E-2</v>
      </c>
      <c r="CH647" s="1">
        <v>3.6742899999999997E-7</v>
      </c>
      <c r="CI647">
        <v>20.587900000000001</v>
      </c>
      <c r="CJ647">
        <f t="shared" si="105"/>
        <v>1600.0711027147631</v>
      </c>
      <c r="CL647" s="1">
        <v>3.6742899999999997E-7</v>
      </c>
      <c r="CM647">
        <v>4.0930000000000001E-2</v>
      </c>
      <c r="CN647">
        <f t="shared" si="106"/>
        <v>3.1810388740044031</v>
      </c>
    </row>
    <row r="648" spans="4:92" x14ac:dyDescent="0.35">
      <c r="D648" s="1">
        <v>4.0205900000000001E-7</v>
      </c>
      <c r="E648">
        <v>80.433599999999998</v>
      </c>
      <c r="F648">
        <v>0.106882</v>
      </c>
      <c r="G648">
        <v>26.983000000000001</v>
      </c>
      <c r="I648" s="1">
        <v>4.0205900000000001E-7</v>
      </c>
      <c r="J648">
        <f t="shared" si="107"/>
        <v>0.14275715940214626</v>
      </c>
      <c r="K648">
        <v>5.6724845343591372E-4</v>
      </c>
      <c r="L648">
        <v>8.8711280202464118E-2</v>
      </c>
      <c r="N648" s="1">
        <v>4.0205900000000001E-7</v>
      </c>
      <c r="O648">
        <f t="shared" si="108"/>
        <v>5.6724845343591372E-4</v>
      </c>
      <c r="Q648" s="1">
        <v>4.0205900000000001E-7</v>
      </c>
      <c r="R648">
        <f t="shared" si="109"/>
        <v>8.8711280202464118E-2</v>
      </c>
      <c r="CH648" s="1">
        <v>3.7218700000000002E-7</v>
      </c>
      <c r="CI648">
        <v>20.1432</v>
      </c>
      <c r="CJ648">
        <f t="shared" si="105"/>
        <v>1565.5094611982774</v>
      </c>
      <c r="CL648" s="1">
        <v>3.7218700000000002E-7</v>
      </c>
      <c r="CM648">
        <v>3.279E-2</v>
      </c>
      <c r="CN648">
        <f t="shared" si="106"/>
        <v>2.548406173432797</v>
      </c>
    </row>
    <row r="649" spans="4:92" x14ac:dyDescent="0.35">
      <c r="D649" s="1">
        <v>4.0726499999999999E-7</v>
      </c>
      <c r="E649">
        <v>79.468500000000006</v>
      </c>
      <c r="F649">
        <v>0.149342</v>
      </c>
      <c r="G649">
        <v>26.410799999999998</v>
      </c>
      <c r="I649" s="1">
        <v>4.0726499999999999E-7</v>
      </c>
      <c r="J649">
        <f t="shared" si="107"/>
        <v>0.14104425665330733</v>
      </c>
      <c r="K649">
        <v>7.9259387486224273E-4</v>
      </c>
      <c r="L649">
        <v>8.6830073719424791E-2</v>
      </c>
      <c r="N649" s="1">
        <v>4.0726499999999999E-7</v>
      </c>
      <c r="O649">
        <f t="shared" si="108"/>
        <v>7.9259387486224273E-4</v>
      </c>
      <c r="Q649" s="1">
        <v>4.0726499999999999E-7</v>
      </c>
      <c r="R649">
        <f t="shared" si="109"/>
        <v>8.6830073719424791E-2</v>
      </c>
      <c r="CH649" s="1">
        <v>3.7700699999999998E-7</v>
      </c>
      <c r="CI649">
        <v>20.5244</v>
      </c>
      <c r="CJ649">
        <f t="shared" si="105"/>
        <v>1595.1359458982647</v>
      </c>
      <c r="CL649" s="1">
        <v>3.7700699999999998E-7</v>
      </c>
      <c r="CM649">
        <v>3.5189999999999999E-2</v>
      </c>
      <c r="CN649">
        <f t="shared" si="106"/>
        <v>2.7349317853949411</v>
      </c>
    </row>
    <row r="650" spans="4:92" x14ac:dyDescent="0.35">
      <c r="D650" s="1">
        <v>4.1253899999999999E-7</v>
      </c>
      <c r="E650">
        <v>76.416899999999998</v>
      </c>
      <c r="F650">
        <v>0.11534</v>
      </c>
      <c r="G650">
        <v>26.380600000000001</v>
      </c>
      <c r="I650" s="1">
        <v>4.1253899999999999E-7</v>
      </c>
      <c r="J650">
        <f t="shared" si="107"/>
        <v>0.13562814015930991</v>
      </c>
      <c r="K650">
        <v>6.1213709155235013E-4</v>
      </c>
      <c r="L650">
        <v>8.6730785995223839E-2</v>
      </c>
      <c r="N650" s="1">
        <v>4.1253899999999999E-7</v>
      </c>
      <c r="O650">
        <f t="shared" si="108"/>
        <v>6.1213709155235013E-4</v>
      </c>
      <c r="Q650" s="1">
        <v>4.1253899999999999E-7</v>
      </c>
      <c r="R650">
        <f t="shared" si="109"/>
        <v>8.6730785995223839E-2</v>
      </c>
      <c r="CH650" s="1">
        <v>3.8188900000000001E-7</v>
      </c>
      <c r="CI650">
        <v>21.732099999999999</v>
      </c>
      <c r="CJ650">
        <f t="shared" ref="CJ650:CJ713" si="110">CI650/$CG$9</f>
        <v>1688.9971882177153</v>
      </c>
      <c r="CL650" s="1">
        <v>3.8188900000000001E-7</v>
      </c>
      <c r="CM650">
        <v>3.2120000000000003E-2</v>
      </c>
      <c r="CN650">
        <f t="shared" ref="CN650:CN713" si="111">CM650/$CG$9</f>
        <v>2.4963344400933654</v>
      </c>
    </row>
    <row r="651" spans="4:92" x14ac:dyDescent="0.35">
      <c r="D651" s="1">
        <v>4.1788199999999998E-7</v>
      </c>
      <c r="E651">
        <v>74.828500000000005</v>
      </c>
      <c r="F651">
        <v>8.3596599999999993E-2</v>
      </c>
      <c r="G651">
        <v>26.241199999999999</v>
      </c>
      <c r="I651" s="1">
        <v>4.1788199999999998E-7</v>
      </c>
      <c r="J651">
        <f t="shared" si="107"/>
        <v>0.13280897662573229</v>
      </c>
      <c r="K651">
        <v>4.4366724109298761E-4</v>
      </c>
      <c r="L651">
        <v>8.6272484380865766E-2</v>
      </c>
      <c r="N651" s="1">
        <v>4.1788199999999998E-7</v>
      </c>
      <c r="O651">
        <f t="shared" si="108"/>
        <v>4.4366724109298761E-4</v>
      </c>
      <c r="Q651" s="1">
        <v>4.1788199999999998E-7</v>
      </c>
      <c r="R651">
        <f t="shared" si="109"/>
        <v>8.6272484380865766E-2</v>
      </c>
      <c r="CH651" s="1">
        <v>3.8683500000000001E-7</v>
      </c>
      <c r="CI651">
        <v>20.9056</v>
      </c>
      <c r="CJ651">
        <f t="shared" si="110"/>
        <v>1624.7624305982517</v>
      </c>
      <c r="CL651" s="1">
        <v>3.8683500000000001E-7</v>
      </c>
      <c r="CM651">
        <v>4.1419999999999998E-2</v>
      </c>
      <c r="CN651">
        <f t="shared" si="111"/>
        <v>3.219121186446674</v>
      </c>
    </row>
    <row r="652" spans="4:92" x14ac:dyDescent="0.35">
      <c r="D652" s="1">
        <v>4.2329399999999998E-7</v>
      </c>
      <c r="E652">
        <v>72.973600000000005</v>
      </c>
      <c r="F652">
        <v>0.13403699999999999</v>
      </c>
      <c r="G652">
        <v>25.027699999999999</v>
      </c>
      <c r="I652" s="1">
        <v>4.2329399999999998E-7</v>
      </c>
      <c r="J652">
        <f t="shared" si="107"/>
        <v>0.12951681694401918</v>
      </c>
      <c r="K652">
        <v>7.1136656268772633E-4</v>
      </c>
      <c r="L652">
        <v>8.2282893211400171E-2</v>
      </c>
      <c r="N652" s="1">
        <v>4.2329399999999998E-7</v>
      </c>
      <c r="O652">
        <f t="shared" si="108"/>
        <v>7.1136656268772633E-4</v>
      </c>
      <c r="Q652" s="1">
        <v>4.2329399999999998E-7</v>
      </c>
      <c r="R652">
        <f t="shared" si="109"/>
        <v>8.2282893211400171E-2</v>
      </c>
      <c r="CH652" s="1">
        <v>3.91844E-7</v>
      </c>
      <c r="CI652">
        <v>20.636099999999999</v>
      </c>
      <c r="CJ652">
        <f t="shared" si="110"/>
        <v>1603.8171587550028</v>
      </c>
      <c r="CL652" s="1">
        <v>3.91844E-7</v>
      </c>
      <c r="CM652">
        <v>3.2239999999999998E-2</v>
      </c>
      <c r="CN652">
        <f t="shared" si="111"/>
        <v>2.5056607206914721</v>
      </c>
    </row>
    <row r="653" spans="4:92" x14ac:dyDescent="0.35">
      <c r="D653" s="1">
        <v>4.2877500000000003E-7</v>
      </c>
      <c r="E653">
        <v>70.787599999999998</v>
      </c>
      <c r="F653">
        <v>0.151669</v>
      </c>
      <c r="G653">
        <v>25.2683</v>
      </c>
      <c r="I653" s="1">
        <v>4.2877500000000003E-7</v>
      </c>
      <c r="J653">
        <f t="shared" si="107"/>
        <v>0.12563700613792456</v>
      </c>
      <c r="K653">
        <v>8.0494382294653548E-4</v>
      </c>
      <c r="L653">
        <v>8.3073907332021052E-2</v>
      </c>
      <c r="N653" s="1">
        <v>4.2877500000000003E-7</v>
      </c>
      <c r="O653">
        <f t="shared" si="108"/>
        <v>8.0494382294653548E-4</v>
      </c>
      <c r="Q653" s="1">
        <v>4.2877500000000003E-7</v>
      </c>
      <c r="R653">
        <f t="shared" si="109"/>
        <v>8.3073907332021052E-2</v>
      </c>
      <c r="CH653" s="1">
        <v>3.9691900000000001E-7</v>
      </c>
      <c r="CI653">
        <v>19.660699999999999</v>
      </c>
      <c r="CJ653">
        <f t="shared" si="110"/>
        <v>1528.0100412933878</v>
      </c>
      <c r="CL653" s="1">
        <v>3.9691900000000001E-7</v>
      </c>
      <c r="CM653">
        <v>3.3000000000000002E-2</v>
      </c>
      <c r="CN653">
        <f t="shared" si="111"/>
        <v>2.5647271644794847</v>
      </c>
    </row>
    <row r="654" spans="4:92" x14ac:dyDescent="0.35">
      <c r="D654" s="1">
        <v>4.34328E-7</v>
      </c>
      <c r="E654">
        <v>68.817999999999998</v>
      </c>
      <c r="F654">
        <v>0.176814</v>
      </c>
      <c r="G654">
        <v>24.905000000000001</v>
      </c>
      <c r="I654" s="1">
        <v>4.34328E-7</v>
      </c>
      <c r="J654">
        <f t="shared" si="107"/>
        <v>0.12214127175380564</v>
      </c>
      <c r="K654">
        <v>9.383943792763762E-4</v>
      </c>
      <c r="L654">
        <v>8.1879495735921459E-2</v>
      </c>
      <c r="N654" s="1">
        <v>4.34328E-7</v>
      </c>
      <c r="O654">
        <f t="shared" si="108"/>
        <v>9.383943792763762E-4</v>
      </c>
      <c r="Q654" s="1">
        <v>4.34328E-7</v>
      </c>
      <c r="R654">
        <f t="shared" si="109"/>
        <v>8.1879495735921459E-2</v>
      </c>
      <c r="CH654" s="1">
        <v>4.0205900000000001E-7</v>
      </c>
      <c r="CI654">
        <v>20.578800000000001</v>
      </c>
      <c r="CJ654">
        <f t="shared" si="110"/>
        <v>1599.3638597694066</v>
      </c>
      <c r="CL654" s="1">
        <v>4.0205900000000001E-7</v>
      </c>
      <c r="CM654">
        <v>3.6569999999999998E-2</v>
      </c>
      <c r="CN654">
        <f t="shared" si="111"/>
        <v>2.8421840122731741</v>
      </c>
    </row>
    <row r="655" spans="4:92" x14ac:dyDescent="0.35">
      <c r="D655" s="1">
        <v>4.3995200000000002E-7</v>
      </c>
      <c r="E655">
        <v>67.215100000000007</v>
      </c>
      <c r="F655">
        <v>0.13535800000000001</v>
      </c>
      <c r="G655">
        <v>24.257200000000001</v>
      </c>
      <c r="I655" s="1">
        <v>4.3995200000000002E-7</v>
      </c>
      <c r="J655">
        <f t="shared" si="107"/>
        <v>0.11929637297014184</v>
      </c>
      <c r="K655">
        <v>7.1837742707077346E-4</v>
      </c>
      <c r="L655">
        <v>7.9749741175081074E-2</v>
      </c>
      <c r="N655" s="1">
        <v>4.3995200000000002E-7</v>
      </c>
      <c r="O655">
        <f t="shared" si="108"/>
        <v>7.1837742707077346E-4</v>
      </c>
      <c r="Q655" s="1">
        <v>4.3995200000000002E-7</v>
      </c>
      <c r="R655">
        <f t="shared" si="109"/>
        <v>7.9749741175081074E-2</v>
      </c>
      <c r="CH655" s="1">
        <v>4.0726499999999999E-7</v>
      </c>
      <c r="CI655">
        <v>19.6126</v>
      </c>
      <c r="CJ655">
        <f t="shared" si="110"/>
        <v>1524.2717571536466</v>
      </c>
      <c r="CL655" s="1">
        <v>4.0726499999999999E-7</v>
      </c>
      <c r="CM655">
        <v>3.27E-2</v>
      </c>
      <c r="CN655">
        <f t="shared" si="111"/>
        <v>2.5414114629842164</v>
      </c>
    </row>
    <row r="656" spans="4:92" x14ac:dyDescent="0.35">
      <c r="D656" s="1">
        <v>4.4565000000000002E-7</v>
      </c>
      <c r="E656">
        <v>65.014600000000002</v>
      </c>
      <c r="F656">
        <v>0.13270499999999999</v>
      </c>
      <c r="G656">
        <v>23.6798</v>
      </c>
      <c r="I656" s="1">
        <v>4.4565000000000002E-7</v>
      </c>
      <c r="J656">
        <f t="shared" si="107"/>
        <v>0.11539082691396105</v>
      </c>
      <c r="K656">
        <v>7.0429731866182262E-4</v>
      </c>
      <c r="L656">
        <v>7.7851438792510455E-2</v>
      </c>
      <c r="N656" s="1">
        <v>4.4565000000000002E-7</v>
      </c>
      <c r="O656">
        <f t="shared" si="108"/>
        <v>7.0429731866182262E-4</v>
      </c>
      <c r="Q656" s="1">
        <v>4.4565000000000002E-7</v>
      </c>
      <c r="R656">
        <f t="shared" si="109"/>
        <v>7.7851438792510455E-2</v>
      </c>
      <c r="CH656" s="1">
        <v>4.1253899999999999E-7</v>
      </c>
      <c r="CI656">
        <v>20.409400000000002</v>
      </c>
      <c r="CJ656">
        <f t="shared" si="110"/>
        <v>1586.1982603250785</v>
      </c>
      <c r="CL656" s="1">
        <v>4.1253899999999999E-7</v>
      </c>
      <c r="CM656">
        <v>4.5019999999999998E-2</v>
      </c>
      <c r="CN656">
        <f t="shared" si="111"/>
        <v>3.4989096043898904</v>
      </c>
    </row>
    <row r="657" spans="4:92" x14ac:dyDescent="0.35">
      <c r="D657" s="1">
        <v>4.5142099999999998E-7</v>
      </c>
      <c r="E657">
        <v>63.244199999999999</v>
      </c>
      <c r="F657">
        <v>0.14063000000000001</v>
      </c>
      <c r="G657">
        <v>23.338200000000001</v>
      </c>
      <c r="I657" s="1">
        <v>4.5142099999999998E-7</v>
      </c>
      <c r="J657">
        <f t="shared" si="107"/>
        <v>0.11224864162068114</v>
      </c>
      <c r="K657">
        <v>7.4635719771984571E-4</v>
      </c>
      <c r="L657">
        <v>7.6728369700224133E-2</v>
      </c>
      <c r="N657" s="1">
        <v>4.5142099999999998E-7</v>
      </c>
      <c r="O657">
        <f t="shared" si="108"/>
        <v>7.4635719771984571E-4</v>
      </c>
      <c r="Q657" s="1">
        <v>4.5142099999999998E-7</v>
      </c>
      <c r="R657">
        <f t="shared" si="109"/>
        <v>7.6728369700224133E-2</v>
      </c>
      <c r="CH657" s="1">
        <v>4.1788199999999998E-7</v>
      </c>
      <c r="CI657">
        <v>20.371099999999998</v>
      </c>
      <c r="CJ657">
        <f t="shared" si="110"/>
        <v>1583.2216224341826</v>
      </c>
      <c r="CL657" s="1">
        <v>4.1788199999999998E-7</v>
      </c>
      <c r="CM657">
        <v>3.8190000000000002E-2</v>
      </c>
      <c r="CN657">
        <f t="shared" si="111"/>
        <v>2.9680888003476218</v>
      </c>
    </row>
    <row r="658" spans="4:92" x14ac:dyDescent="0.35">
      <c r="D658" s="1">
        <v>4.5726699999999999E-7</v>
      </c>
      <c r="E658">
        <v>61.210299999999997</v>
      </c>
      <c r="F658">
        <v>0.124638</v>
      </c>
      <c r="G658">
        <v>22.868099999999998</v>
      </c>
      <c r="I658" s="1">
        <v>4.5726699999999999E-7</v>
      </c>
      <c r="J658">
        <f t="shared" si="107"/>
        <v>0.10863878471376628</v>
      </c>
      <c r="K658">
        <v>6.6148381148692403E-4</v>
      </c>
      <c r="L658">
        <v>7.5182834629135734E-2</v>
      </c>
      <c r="N658" s="1">
        <v>4.5726699999999999E-7</v>
      </c>
      <c r="O658">
        <f t="shared" si="108"/>
        <v>6.6148381148692403E-4</v>
      </c>
      <c r="Q658" s="1">
        <v>4.5726699999999999E-7</v>
      </c>
      <c r="R658">
        <f t="shared" si="109"/>
        <v>7.5182834629135734E-2</v>
      </c>
      <c r="CH658" s="1">
        <v>4.2329399999999998E-7</v>
      </c>
      <c r="CI658">
        <v>20.620100000000001</v>
      </c>
      <c r="CJ658">
        <f t="shared" si="110"/>
        <v>1602.5736546752553</v>
      </c>
      <c r="CL658" s="1">
        <v>4.2329399999999998E-7</v>
      </c>
      <c r="CM658">
        <v>3.746E-2</v>
      </c>
      <c r="CN658">
        <f t="shared" si="111"/>
        <v>2.9113539267091362</v>
      </c>
    </row>
    <row r="659" spans="4:92" x14ac:dyDescent="0.35">
      <c r="D659" s="1">
        <v>4.6318899999999998E-7</v>
      </c>
      <c r="E659">
        <v>60.164099999999998</v>
      </c>
      <c r="F659">
        <v>0.112445</v>
      </c>
      <c r="G659">
        <v>22.6342</v>
      </c>
      <c r="I659" s="1">
        <v>4.6318899999999998E-7</v>
      </c>
      <c r="J659">
        <f t="shared" si="107"/>
        <v>0.10678194204892816</v>
      </c>
      <c r="K659">
        <v>5.9677263100055505E-4</v>
      </c>
      <c r="L659">
        <v>7.4413847917526338E-2</v>
      </c>
      <c r="N659" s="1">
        <v>4.6318899999999998E-7</v>
      </c>
      <c r="O659">
        <f t="shared" si="108"/>
        <v>5.9677263100055505E-4</v>
      </c>
      <c r="Q659" s="1">
        <v>4.6318899999999998E-7</v>
      </c>
      <c r="R659">
        <f t="shared" si="109"/>
        <v>7.4413847917526338E-2</v>
      </c>
      <c r="CH659" s="1">
        <v>4.2877500000000003E-7</v>
      </c>
      <c r="CI659">
        <v>20.130600000000001</v>
      </c>
      <c r="CJ659">
        <f t="shared" si="110"/>
        <v>1564.5302017354761</v>
      </c>
      <c r="CL659" s="1">
        <v>4.2877500000000003E-7</v>
      </c>
      <c r="CM659">
        <v>3.4430000000000002E-2</v>
      </c>
      <c r="CN659">
        <f t="shared" si="111"/>
        <v>2.6758653416069289</v>
      </c>
    </row>
    <row r="660" spans="4:92" x14ac:dyDescent="0.35">
      <c r="D660" s="1">
        <v>4.69187E-7</v>
      </c>
      <c r="E660">
        <v>57.832500000000003</v>
      </c>
      <c r="F660">
        <v>0.123353</v>
      </c>
      <c r="G660">
        <v>22.158799999999999</v>
      </c>
      <c r="I660" s="1">
        <v>4.69187E-7</v>
      </c>
      <c r="J660">
        <f t="shared" si="107"/>
        <v>0.1026437138350717</v>
      </c>
      <c r="K660">
        <v>6.5466400775322558E-4</v>
      </c>
      <c r="L660">
        <v>7.285088817960797E-2</v>
      </c>
      <c r="N660" s="1">
        <v>4.69187E-7</v>
      </c>
      <c r="O660">
        <f t="shared" si="108"/>
        <v>6.5466400775322558E-4</v>
      </c>
      <c r="Q660" s="1">
        <v>4.69187E-7</v>
      </c>
      <c r="R660">
        <f t="shared" si="109"/>
        <v>7.285088817960797E-2</v>
      </c>
      <c r="CH660" s="1">
        <v>4.34328E-7</v>
      </c>
      <c r="CI660">
        <v>21.488700000000001</v>
      </c>
      <c r="CJ660">
        <f t="shared" si="110"/>
        <v>1670.0803824045547</v>
      </c>
      <c r="CL660" s="1">
        <v>4.34328E-7</v>
      </c>
      <c r="CM660">
        <v>3.6859999999999997E-2</v>
      </c>
      <c r="CN660">
        <f t="shared" si="111"/>
        <v>2.8647225237185996</v>
      </c>
    </row>
    <row r="661" spans="4:92" x14ac:dyDescent="0.35">
      <c r="D661" s="1">
        <v>4.7526300000000001E-7</v>
      </c>
      <c r="E661">
        <v>56.116599999999998</v>
      </c>
      <c r="F661">
        <v>0.135958</v>
      </c>
      <c r="G661">
        <v>21.9146</v>
      </c>
      <c r="I661" s="1">
        <v>4.7526300000000001E-7</v>
      </c>
      <c r="J661">
        <f t="shared" si="107"/>
        <v>9.9598257585219105E-2</v>
      </c>
      <c r="K661">
        <v>7.2156177122658586E-4</v>
      </c>
      <c r="L661">
        <v>7.2048038436234668E-2</v>
      </c>
      <c r="N661" s="1">
        <v>4.7526300000000001E-7</v>
      </c>
      <c r="O661">
        <f t="shared" si="108"/>
        <v>7.2156177122658586E-4</v>
      </c>
      <c r="Q661" s="1">
        <v>4.7526300000000001E-7</v>
      </c>
      <c r="R661">
        <f t="shared" si="109"/>
        <v>7.2048038436234668E-2</v>
      </c>
      <c r="CH661" s="1">
        <v>4.3995200000000002E-7</v>
      </c>
      <c r="CI661">
        <v>20.106200000000001</v>
      </c>
      <c r="CJ661">
        <f t="shared" si="110"/>
        <v>1562.6338580138611</v>
      </c>
      <c r="CL661" s="1">
        <v>4.3995200000000002E-7</v>
      </c>
      <c r="CM661">
        <v>3.0269999999999998E-2</v>
      </c>
      <c r="CN661">
        <f t="shared" si="111"/>
        <v>2.3525542808725453</v>
      </c>
    </row>
    <row r="662" spans="4:92" x14ac:dyDescent="0.35">
      <c r="D662" s="1">
        <v>4.8141800000000003E-7</v>
      </c>
      <c r="E662">
        <v>54.364899999999999</v>
      </c>
      <c r="F662">
        <v>0.16350200000000001</v>
      </c>
      <c r="G662">
        <v>21.335999999999999</v>
      </c>
      <c r="I662" s="1">
        <v>4.8141800000000003E-7</v>
      </c>
      <c r="J662">
        <f t="shared" si="107"/>
        <v>9.6489261890326194E-2</v>
      </c>
      <c r="K662">
        <v>8.6774439693941704E-4</v>
      </c>
      <c r="L662">
        <v>7.0145790846079914E-2</v>
      </c>
      <c r="N662" s="1">
        <v>4.8141800000000003E-7</v>
      </c>
      <c r="O662">
        <f t="shared" si="108"/>
        <v>8.6774439693941704E-4</v>
      </c>
      <c r="Q662" s="1">
        <v>4.8141800000000003E-7</v>
      </c>
      <c r="R662">
        <f t="shared" si="109"/>
        <v>7.0145790846079914E-2</v>
      </c>
      <c r="CH662" s="1">
        <v>4.4565000000000002E-7</v>
      </c>
      <c r="CI662">
        <v>19.6617</v>
      </c>
      <c r="CJ662">
        <f t="shared" si="110"/>
        <v>1528.0877602983721</v>
      </c>
      <c r="CL662" s="1">
        <v>4.4565000000000002E-7</v>
      </c>
      <c r="CM662">
        <v>3.6540000000000003E-2</v>
      </c>
      <c r="CN662">
        <f t="shared" si="111"/>
        <v>2.8398524421236475</v>
      </c>
    </row>
    <row r="663" spans="4:92" x14ac:dyDescent="0.35">
      <c r="D663" s="1">
        <v>4.8765199999999995E-7</v>
      </c>
      <c r="E663">
        <v>53.489400000000003</v>
      </c>
      <c r="F663">
        <v>0.16644400000000001</v>
      </c>
      <c r="G663">
        <v>20.918099999999999</v>
      </c>
      <c r="I663" s="1">
        <v>4.8765199999999995E-7</v>
      </c>
      <c r="J663">
        <f t="shared" si="107"/>
        <v>9.4935385238571465E-2</v>
      </c>
      <c r="K663">
        <v>8.8335829778341749E-4</v>
      </c>
      <c r="L663">
        <v>6.8771872304901768E-2</v>
      </c>
      <c r="N663" s="1">
        <v>4.8765199999999995E-7</v>
      </c>
      <c r="O663">
        <f t="shared" si="108"/>
        <v>8.8335829778341749E-4</v>
      </c>
      <c r="Q663" s="1">
        <v>4.8765199999999995E-7</v>
      </c>
      <c r="R663">
        <f t="shared" si="109"/>
        <v>6.8771872304901768E-2</v>
      </c>
      <c r="CH663" s="1">
        <v>4.5142099999999998E-7</v>
      </c>
      <c r="CI663">
        <v>19.584</v>
      </c>
      <c r="CJ663">
        <f t="shared" si="110"/>
        <v>1522.0489936110978</v>
      </c>
      <c r="CL663" s="1">
        <v>4.5142099999999998E-7</v>
      </c>
      <c r="CM663">
        <v>3.4790000000000001E-2</v>
      </c>
      <c r="CN663">
        <f t="shared" si="111"/>
        <v>2.7038441834012508</v>
      </c>
    </row>
    <row r="664" spans="4:92" x14ac:dyDescent="0.35">
      <c r="D664" s="1">
        <v>4.9396699999999999E-7</v>
      </c>
      <c r="E664">
        <v>51.104300000000002</v>
      </c>
      <c r="F664">
        <v>0.156448</v>
      </c>
      <c r="G664">
        <v>21.076599999999999</v>
      </c>
      <c r="I664" s="1">
        <v>4.9396699999999999E-7</v>
      </c>
      <c r="J664">
        <f t="shared" si="107"/>
        <v>9.0702202826121209E-2</v>
      </c>
      <c r="K664">
        <v>8.3030712414758172E-4</v>
      </c>
      <c r="L664">
        <v>6.9292968473307459E-2</v>
      </c>
      <c r="N664" s="1">
        <v>4.9396699999999999E-7</v>
      </c>
      <c r="O664">
        <f t="shared" si="108"/>
        <v>8.3030712414758172E-4</v>
      </c>
      <c r="Q664" s="1">
        <v>4.9396699999999999E-7</v>
      </c>
      <c r="R664">
        <f t="shared" si="109"/>
        <v>6.9292968473307459E-2</v>
      </c>
      <c r="CH664" s="1">
        <v>4.5726699999999999E-7</v>
      </c>
      <c r="CI664">
        <v>21.1249</v>
      </c>
      <c r="CJ664">
        <f t="shared" si="110"/>
        <v>1641.8062083912928</v>
      </c>
      <c r="CL664" s="1">
        <v>4.5726699999999999E-7</v>
      </c>
      <c r="CM664">
        <v>3.5229999999999997E-2</v>
      </c>
      <c r="CN664">
        <f t="shared" si="111"/>
        <v>2.73804054559431</v>
      </c>
    </row>
    <row r="665" spans="4:92" x14ac:dyDescent="0.35">
      <c r="D665" s="1">
        <v>5.0036399999999997E-7</v>
      </c>
      <c r="E665">
        <v>49.575000000000003</v>
      </c>
      <c r="F665">
        <v>0.140489</v>
      </c>
      <c r="G665">
        <v>20.267299999999999</v>
      </c>
      <c r="I665" s="1">
        <v>5.0036399999999997E-7</v>
      </c>
      <c r="J665">
        <f t="shared" si="107"/>
        <v>8.7987932622205167E-2</v>
      </c>
      <c r="K665">
        <v>7.4560887684322979E-4</v>
      </c>
      <c r="L665">
        <v>6.6632254725101023E-2</v>
      </c>
      <c r="N665" s="1">
        <v>5.0036399999999997E-7</v>
      </c>
      <c r="O665">
        <f t="shared" si="108"/>
        <v>7.4560887684322979E-4</v>
      </c>
      <c r="Q665" s="1">
        <v>5.0036399999999997E-7</v>
      </c>
      <c r="R665">
        <f t="shared" si="109"/>
        <v>6.6632254725101023E-2</v>
      </c>
      <c r="CH665" s="1">
        <v>4.6318899999999998E-7</v>
      </c>
      <c r="CI665">
        <v>20.7471</v>
      </c>
      <c r="CJ665">
        <f t="shared" si="110"/>
        <v>1612.4439683082519</v>
      </c>
      <c r="CL665" s="1">
        <v>4.6318899999999998E-7</v>
      </c>
      <c r="CM665">
        <v>3.6549999999999999E-2</v>
      </c>
      <c r="CN665">
        <f t="shared" si="111"/>
        <v>2.8406296321734894</v>
      </c>
    </row>
    <row r="666" spans="4:92" x14ac:dyDescent="0.35">
      <c r="D666" s="1">
        <v>5.0684400000000001E-7</v>
      </c>
      <c r="E666">
        <v>47.888300000000001</v>
      </c>
      <c r="F666">
        <v>0.13182199999999999</v>
      </c>
      <c r="G666">
        <v>19.992699999999999</v>
      </c>
      <c r="I666" s="1">
        <v>5.0684400000000001E-7</v>
      </c>
      <c r="J666">
        <f t="shared" si="107"/>
        <v>8.4994301841491621E-2</v>
      </c>
      <c r="K666">
        <v>6.9961102551251858E-4</v>
      </c>
      <c r="L666">
        <v>6.5729459722929415E-2</v>
      </c>
      <c r="N666" s="1">
        <v>5.0684400000000001E-7</v>
      </c>
      <c r="O666">
        <f t="shared" si="108"/>
        <v>6.9961102551251858E-4</v>
      </c>
      <c r="Q666" s="1">
        <v>5.0684400000000001E-7</v>
      </c>
      <c r="R666">
        <f t="shared" si="109"/>
        <v>6.5729459722929415E-2</v>
      </c>
      <c r="CH666" s="1">
        <v>4.69187E-7</v>
      </c>
      <c r="CI666">
        <v>19.956299999999999</v>
      </c>
      <c r="CJ666">
        <f t="shared" si="110"/>
        <v>1550.9837791667253</v>
      </c>
      <c r="CL666" s="1">
        <v>4.69187E-7</v>
      </c>
      <c r="CM666">
        <v>3.9629999999999999E-2</v>
      </c>
      <c r="CN666">
        <f t="shared" si="111"/>
        <v>3.0800041675249079</v>
      </c>
    </row>
    <row r="667" spans="4:92" x14ac:dyDescent="0.35">
      <c r="D667" s="1">
        <v>5.1340800000000004E-7</v>
      </c>
      <c r="E667">
        <v>46.035400000000003</v>
      </c>
      <c r="F667">
        <v>0.16453300000000001</v>
      </c>
      <c r="G667">
        <v>19.6191</v>
      </c>
      <c r="I667" s="1">
        <v>5.1340800000000004E-7</v>
      </c>
      <c r="J667">
        <f t="shared" si="107"/>
        <v>8.1705691849445553E-2</v>
      </c>
      <c r="K667">
        <v>8.7321616164715476E-4</v>
      </c>
      <c r="L667">
        <v>6.4501185095065916E-2</v>
      </c>
      <c r="N667" s="1">
        <v>5.1340800000000004E-7</v>
      </c>
      <c r="O667">
        <f t="shared" si="108"/>
        <v>8.7321616164715476E-4</v>
      </c>
      <c r="Q667" s="1">
        <v>5.1340800000000004E-7</v>
      </c>
      <c r="R667">
        <f t="shared" si="109"/>
        <v>6.4501185095065916E-2</v>
      </c>
      <c r="CH667" s="1">
        <v>4.7526300000000001E-7</v>
      </c>
      <c r="CI667">
        <v>19.739000000000001</v>
      </c>
      <c r="CJ667">
        <f t="shared" si="110"/>
        <v>1534.095439383653</v>
      </c>
      <c r="CL667" s="1">
        <v>4.7526300000000001E-7</v>
      </c>
      <c r="CM667">
        <v>3.7560000000000003E-2</v>
      </c>
      <c r="CN667">
        <f t="shared" si="111"/>
        <v>2.9191258272075591</v>
      </c>
    </row>
    <row r="668" spans="4:92" x14ac:dyDescent="0.35">
      <c r="D668" s="1">
        <v>5.2005599999999996E-7</v>
      </c>
      <c r="E668">
        <v>44.921799999999998</v>
      </c>
      <c r="F668">
        <v>0.15326799999999999</v>
      </c>
      <c r="G668">
        <v>19.264299999999999</v>
      </c>
      <c r="I668" s="1">
        <v>5.2005599999999996E-7</v>
      </c>
      <c r="J668">
        <f t="shared" si="107"/>
        <v>7.9729224642827543E-2</v>
      </c>
      <c r="K668">
        <v>8.1343010012177553E-4</v>
      </c>
      <c r="L668">
        <v>6.3334718719354019E-2</v>
      </c>
      <c r="N668" s="1">
        <v>5.2005599999999996E-7</v>
      </c>
      <c r="O668">
        <f t="shared" si="108"/>
        <v>8.1343010012177553E-4</v>
      </c>
      <c r="Q668" s="1">
        <v>5.2005599999999996E-7</v>
      </c>
      <c r="R668">
        <f t="shared" si="109"/>
        <v>6.3334718719354019E-2</v>
      </c>
      <c r="CH668" s="1">
        <v>4.8141800000000003E-7</v>
      </c>
      <c r="CI668">
        <v>19.619</v>
      </c>
      <c r="CJ668">
        <f t="shared" si="110"/>
        <v>1524.7691587855456</v>
      </c>
      <c r="CL668" s="1">
        <v>4.8141800000000003E-7</v>
      </c>
      <c r="CM668">
        <v>3.7659999999999999E-2</v>
      </c>
      <c r="CN668">
        <f t="shared" si="111"/>
        <v>2.9268977277059816</v>
      </c>
    </row>
    <row r="669" spans="4:92" x14ac:dyDescent="0.35">
      <c r="D669" s="1">
        <v>5.2679100000000005E-7</v>
      </c>
      <c r="E669">
        <v>43.661799999999999</v>
      </c>
      <c r="F669">
        <v>0.17868400000000001</v>
      </c>
      <c r="G669">
        <v>18.706099999999999</v>
      </c>
      <c r="I669" s="1">
        <v>5.2679100000000005E-7</v>
      </c>
      <c r="J669">
        <f t="shared" si="107"/>
        <v>7.7492920152580885E-2</v>
      </c>
      <c r="K669">
        <v>9.4831891856199185E-4</v>
      </c>
      <c r="L669">
        <v>6.1499539658129709E-2</v>
      </c>
      <c r="N669" s="1">
        <v>5.2679100000000005E-7</v>
      </c>
      <c r="O669">
        <f t="shared" si="108"/>
        <v>9.4831891856199185E-4</v>
      </c>
      <c r="Q669" s="1">
        <v>5.2679100000000005E-7</v>
      </c>
      <c r="R669">
        <f t="shared" si="109"/>
        <v>6.1499539658129709E-2</v>
      </c>
      <c r="CH669" s="1">
        <v>4.8765199999999995E-7</v>
      </c>
      <c r="CI669">
        <v>19.605699999999999</v>
      </c>
      <c r="CJ669">
        <f t="shared" si="110"/>
        <v>1523.7354960192554</v>
      </c>
      <c r="CL669" s="1">
        <v>4.8765199999999995E-7</v>
      </c>
      <c r="CM669">
        <v>3.984E-2</v>
      </c>
      <c r="CN669">
        <f t="shared" si="111"/>
        <v>3.0963251585715961</v>
      </c>
    </row>
    <row r="670" spans="4:92" x14ac:dyDescent="0.35">
      <c r="D670" s="1">
        <v>5.33613E-7</v>
      </c>
      <c r="E670">
        <v>42.652200000000001</v>
      </c>
      <c r="F670">
        <v>0.16905200000000001</v>
      </c>
      <c r="G670">
        <v>18.618600000000001</v>
      </c>
      <c r="I670" s="1">
        <v>5.33613E-7</v>
      </c>
      <c r="J670">
        <f t="shared" si="107"/>
        <v>7.5701036808649896E-2</v>
      </c>
      <c r="K670">
        <v>8.9719958038068232E-4</v>
      </c>
      <c r="L670">
        <v>6.1211868271785888E-2</v>
      </c>
      <c r="N670" s="1">
        <v>5.33613E-7</v>
      </c>
      <c r="O670">
        <f t="shared" si="108"/>
        <v>8.9719958038068232E-4</v>
      </c>
      <c r="Q670" s="1">
        <v>5.33613E-7</v>
      </c>
      <c r="R670">
        <f t="shared" si="109"/>
        <v>6.1211868271785888E-2</v>
      </c>
      <c r="CH670" s="1">
        <v>4.9396699999999999E-7</v>
      </c>
      <c r="CI670">
        <v>19.706700000000001</v>
      </c>
      <c r="CJ670">
        <f t="shared" si="110"/>
        <v>1531.5851155226624</v>
      </c>
      <c r="CL670" s="1">
        <v>4.9396699999999999E-7</v>
      </c>
      <c r="CM670">
        <v>3.2539999999999999E-2</v>
      </c>
      <c r="CN670">
        <f t="shared" si="111"/>
        <v>2.5289764221867403</v>
      </c>
    </row>
    <row r="671" spans="4:92" x14ac:dyDescent="0.35">
      <c r="D671" s="1">
        <v>5.4052299999999995E-7</v>
      </c>
      <c r="E671">
        <v>41.272199999999998</v>
      </c>
      <c r="F671">
        <v>0.18140300000000001</v>
      </c>
      <c r="G671">
        <v>18.518000000000001</v>
      </c>
      <c r="I671" s="1">
        <v>5.4052299999999995E-7</v>
      </c>
      <c r="J671">
        <f t="shared" si="107"/>
        <v>7.3251750938379726E-2</v>
      </c>
      <c r="K671">
        <v>9.6274930482808199E-4</v>
      </c>
      <c r="L671">
        <v>6.0881128369315141E-2</v>
      </c>
      <c r="N671" s="1">
        <v>5.4052299999999995E-7</v>
      </c>
      <c r="O671">
        <f t="shared" si="108"/>
        <v>9.6274930482808199E-4</v>
      </c>
      <c r="Q671" s="1">
        <v>5.4052299999999995E-7</v>
      </c>
      <c r="R671">
        <f t="shared" si="109"/>
        <v>6.0881128369315141E-2</v>
      </c>
      <c r="CH671" s="1">
        <v>5.0036399999999997E-7</v>
      </c>
      <c r="CI671">
        <v>19.653600000000001</v>
      </c>
      <c r="CJ671">
        <f t="shared" si="110"/>
        <v>1527.458236358</v>
      </c>
      <c r="CL671" s="1">
        <v>5.0036399999999997E-7</v>
      </c>
      <c r="CM671">
        <v>3.934E-2</v>
      </c>
      <c r="CN671">
        <f t="shared" si="111"/>
        <v>3.0574656560794824</v>
      </c>
    </row>
    <row r="672" spans="4:92" x14ac:dyDescent="0.35">
      <c r="D672" s="1">
        <v>5.4752300000000005E-7</v>
      </c>
      <c r="E672">
        <v>40.308999999999997</v>
      </c>
      <c r="F672">
        <v>0.178199</v>
      </c>
      <c r="G672">
        <v>18.242799999999999</v>
      </c>
      <c r="I672" s="1">
        <v>5.4752300000000005E-7</v>
      </c>
      <c r="J672">
        <f t="shared" si="107"/>
        <v>7.1542220394724507E-2</v>
      </c>
      <c r="K672">
        <v>9.4574490703604338E-4</v>
      </c>
      <c r="L672">
        <v>5.9976360763351451E-2</v>
      </c>
      <c r="N672" s="1">
        <v>5.4752300000000005E-7</v>
      </c>
      <c r="O672">
        <f t="shared" si="108"/>
        <v>9.4574490703604338E-4</v>
      </c>
      <c r="Q672" s="1">
        <v>5.4752300000000005E-7</v>
      </c>
      <c r="R672">
        <f t="shared" si="109"/>
        <v>5.9976360763351451E-2</v>
      </c>
      <c r="CH672" s="1">
        <v>5.0684400000000001E-7</v>
      </c>
      <c r="CI672">
        <v>20.049700000000001</v>
      </c>
      <c r="CJ672">
        <f t="shared" si="110"/>
        <v>1558.2427342322524</v>
      </c>
      <c r="CL672" s="1">
        <v>5.0684400000000001E-7</v>
      </c>
      <c r="CM672">
        <v>5.0810000000000001E-2</v>
      </c>
      <c r="CN672">
        <f t="shared" si="111"/>
        <v>3.9489026432485641</v>
      </c>
    </row>
    <row r="673" spans="4:92" x14ac:dyDescent="0.35">
      <c r="D673" s="1">
        <v>5.5461400000000002E-7</v>
      </c>
      <c r="E673">
        <v>38.589700000000001</v>
      </c>
      <c r="F673">
        <v>0.14169000000000001</v>
      </c>
      <c r="G673">
        <v>17.795400000000001</v>
      </c>
      <c r="I673" s="1">
        <v>5.5461400000000002E-7</v>
      </c>
      <c r="J673">
        <f t="shared" si="107"/>
        <v>6.8490729672437925E-2</v>
      </c>
      <c r="K673">
        <v>7.5198287239511448E-4</v>
      </c>
      <c r="L673">
        <v>5.8505455869063111E-2</v>
      </c>
      <c r="N673" s="1">
        <v>5.5461400000000002E-7</v>
      </c>
      <c r="O673">
        <f t="shared" si="108"/>
        <v>7.5198287239511448E-4</v>
      </c>
      <c r="Q673" s="1">
        <v>5.5461400000000002E-7</v>
      </c>
      <c r="R673">
        <f t="shared" si="109"/>
        <v>5.8505455869063111E-2</v>
      </c>
      <c r="CH673" s="1">
        <v>5.1340800000000004E-7</v>
      </c>
      <c r="CI673">
        <v>19.685400000000001</v>
      </c>
      <c r="CJ673">
        <f t="shared" si="110"/>
        <v>1529.9297007164985</v>
      </c>
      <c r="CL673" s="1">
        <v>5.1340800000000004E-7</v>
      </c>
      <c r="CM673">
        <v>4.0289999999999999E-2</v>
      </c>
      <c r="CN673">
        <f t="shared" si="111"/>
        <v>3.1312987108144981</v>
      </c>
    </row>
    <row r="674" spans="4:92" x14ac:dyDescent="0.35">
      <c r="D674" s="1">
        <v>5.6179599999999996E-7</v>
      </c>
      <c r="E674">
        <v>37.9786</v>
      </c>
      <c r="F674">
        <v>0.17313899999999999</v>
      </c>
      <c r="G674">
        <v>17.616299999999999</v>
      </c>
      <c r="I674" s="1">
        <v>5.6179599999999996E-7</v>
      </c>
      <c r="J674">
        <f t="shared" si="107"/>
        <v>6.7406121994668292E-2</v>
      </c>
      <c r="K674">
        <v>9.1889027132202486E-4</v>
      </c>
      <c r="L674">
        <v>5.7916633637129622E-2</v>
      </c>
      <c r="N674" s="1">
        <v>5.6179599999999996E-7</v>
      </c>
      <c r="O674">
        <f t="shared" si="108"/>
        <v>9.1889027132202486E-4</v>
      </c>
      <c r="Q674" s="1">
        <v>5.6179599999999996E-7</v>
      </c>
      <c r="R674">
        <f t="shared" si="109"/>
        <v>5.7916633637129622E-2</v>
      </c>
      <c r="CH674" s="1">
        <v>5.2005599999999996E-7</v>
      </c>
      <c r="CI674">
        <v>19.4922</v>
      </c>
      <c r="CJ674">
        <f t="shared" si="110"/>
        <v>1514.9143889535458</v>
      </c>
      <c r="CL674" s="1">
        <v>5.2005599999999996E-7</v>
      </c>
      <c r="CM674">
        <v>3.603E-2</v>
      </c>
      <c r="CN674">
        <f t="shared" si="111"/>
        <v>2.8002157495816915</v>
      </c>
    </row>
    <row r="675" spans="4:92" x14ac:dyDescent="0.35">
      <c r="D675" s="1">
        <v>5.6907100000000003E-7</v>
      </c>
      <c r="E675">
        <v>36.192500000000003</v>
      </c>
      <c r="F675">
        <v>0.17618700000000001</v>
      </c>
      <c r="G675">
        <v>17.489000000000001</v>
      </c>
      <c r="I675" s="1">
        <v>5.6907100000000003E-7</v>
      </c>
      <c r="J675">
        <f t="shared" si="107"/>
        <v>6.4236071637501974E-2</v>
      </c>
      <c r="K675">
        <v>9.3506673963355234E-4</v>
      </c>
      <c r="L675">
        <v>5.749811286591168E-2</v>
      </c>
      <c r="N675" s="1">
        <v>5.6907100000000003E-7</v>
      </c>
      <c r="O675">
        <f t="shared" si="108"/>
        <v>9.3506673963355234E-4</v>
      </c>
      <c r="Q675" s="1">
        <v>5.6907100000000003E-7</v>
      </c>
      <c r="R675">
        <f t="shared" si="109"/>
        <v>5.749811286591168E-2</v>
      </c>
      <c r="CH675" s="1">
        <v>5.2679100000000005E-7</v>
      </c>
      <c r="CI675">
        <v>18.7258</v>
      </c>
      <c r="CJ675">
        <f t="shared" si="110"/>
        <v>1455.3505435336342</v>
      </c>
      <c r="CL675" s="1">
        <v>5.2679100000000005E-7</v>
      </c>
      <c r="CM675">
        <v>3.5090000000000003E-2</v>
      </c>
      <c r="CN675">
        <f t="shared" si="111"/>
        <v>2.7271598848965186</v>
      </c>
    </row>
    <row r="676" spans="4:92" x14ac:dyDescent="0.35">
      <c r="D676" s="1">
        <v>5.7644099999999997E-7</v>
      </c>
      <c r="E676">
        <v>35.162100000000002</v>
      </c>
      <c r="F676">
        <v>0.19320200000000001</v>
      </c>
      <c r="G676">
        <v>16.862300000000001</v>
      </c>
      <c r="I676" s="1">
        <v>5.7644099999999997E-7</v>
      </c>
      <c r="J676">
        <f t="shared" si="107"/>
        <v>6.2407271521033585E-2</v>
      </c>
      <c r="K676">
        <v>1.0253694326521341E-3</v>
      </c>
      <c r="L676">
        <v>5.543772820509249E-2</v>
      </c>
      <c r="N676" s="1">
        <v>5.7644099999999997E-7</v>
      </c>
      <c r="O676">
        <f t="shared" si="108"/>
        <v>1.0253694326521341E-3</v>
      </c>
      <c r="Q676" s="1">
        <v>5.7644099999999997E-7</v>
      </c>
      <c r="R676">
        <f t="shared" si="109"/>
        <v>5.543772820509249E-2</v>
      </c>
      <c r="CH676" s="1">
        <v>5.33613E-7</v>
      </c>
      <c r="CI676">
        <v>19.057200000000002</v>
      </c>
      <c r="CJ676">
        <f t="shared" si="110"/>
        <v>1481.1066217854072</v>
      </c>
      <c r="CL676" s="1">
        <v>5.33613E-7</v>
      </c>
      <c r="CM676">
        <v>3.6830000000000002E-2</v>
      </c>
      <c r="CN676">
        <f t="shared" si="111"/>
        <v>2.8623909535690735</v>
      </c>
    </row>
    <row r="677" spans="4:92" x14ac:dyDescent="0.35">
      <c r="D677" s="1">
        <v>5.8390599999999999E-7</v>
      </c>
      <c r="E677">
        <v>34.587600000000002</v>
      </c>
      <c r="F677">
        <v>0.133128</v>
      </c>
      <c r="G677">
        <v>16.704999999999998</v>
      </c>
      <c r="I677" s="1">
        <v>5.8390599999999999E-7</v>
      </c>
      <c r="J677">
        <f t="shared" si="107"/>
        <v>6.1387623164171116E-2</v>
      </c>
      <c r="K677">
        <v>7.0654228129167051E-4</v>
      </c>
      <c r="L677">
        <v>5.4920577244270942E-2</v>
      </c>
      <c r="N677" s="1">
        <v>5.8390599999999999E-7</v>
      </c>
      <c r="O677">
        <f t="shared" si="108"/>
        <v>7.0654228129167051E-4</v>
      </c>
      <c r="Q677" s="1">
        <v>5.8390599999999999E-7</v>
      </c>
      <c r="R677">
        <f t="shared" si="109"/>
        <v>5.4920577244270942E-2</v>
      </c>
      <c r="CH677" s="1">
        <v>5.4052299999999995E-7</v>
      </c>
      <c r="CI677">
        <v>19.104299999999999</v>
      </c>
      <c r="CJ677">
        <f t="shared" si="110"/>
        <v>1484.767186920164</v>
      </c>
      <c r="CL677" s="1">
        <v>5.4052299999999995E-7</v>
      </c>
      <c r="CM677">
        <v>3.569E-2</v>
      </c>
      <c r="CN677">
        <f t="shared" si="111"/>
        <v>2.7737912878870548</v>
      </c>
    </row>
    <row r="678" spans="4:92" x14ac:dyDescent="0.35">
      <c r="D678" s="1">
        <v>5.9146700000000001E-7</v>
      </c>
      <c r="E678">
        <v>33.314599999999999</v>
      </c>
      <c r="F678">
        <v>0.171565</v>
      </c>
      <c r="G678">
        <v>16.416799999999999</v>
      </c>
      <c r="I678" s="1">
        <v>5.9146700000000001E-7</v>
      </c>
      <c r="J678">
        <f t="shared" si="107"/>
        <v>5.9128245691088571E-2</v>
      </c>
      <c r="K678">
        <v>9.105366751532768E-4</v>
      </c>
      <c r="L678">
        <v>5.3973069889479031E-2</v>
      </c>
      <c r="N678" s="1">
        <v>5.9146700000000001E-7</v>
      </c>
      <c r="O678">
        <f t="shared" si="108"/>
        <v>9.105366751532768E-4</v>
      </c>
      <c r="Q678" s="1">
        <v>5.9146700000000001E-7</v>
      </c>
      <c r="R678">
        <f t="shared" si="109"/>
        <v>5.3973069889479031E-2</v>
      </c>
      <c r="CH678" s="1">
        <v>5.4752300000000005E-7</v>
      </c>
      <c r="CI678">
        <v>18.437000000000001</v>
      </c>
      <c r="CJ678">
        <f t="shared" si="110"/>
        <v>1432.9052948941896</v>
      </c>
      <c r="CL678" s="1">
        <v>5.4752300000000005E-7</v>
      </c>
      <c r="CM678">
        <v>4.2130000000000001E-2</v>
      </c>
      <c r="CN678">
        <f t="shared" si="111"/>
        <v>3.2743016799854754</v>
      </c>
    </row>
    <row r="679" spans="4:92" x14ac:dyDescent="0.35">
      <c r="D679" s="1">
        <v>5.9912700000000002E-7</v>
      </c>
      <c r="E679">
        <v>32.1081</v>
      </c>
      <c r="F679">
        <v>0.21692700000000001</v>
      </c>
      <c r="G679">
        <v>16.417400000000001</v>
      </c>
      <c r="I679" s="1">
        <v>5.9912700000000002E-7</v>
      </c>
      <c r="J679">
        <f t="shared" si="107"/>
        <v>5.6986895399435709E-2</v>
      </c>
      <c r="K679">
        <v>1.151283707813219E-3</v>
      </c>
      <c r="L679">
        <v>5.3975042493271105E-2</v>
      </c>
      <c r="N679" s="1">
        <v>5.9912700000000002E-7</v>
      </c>
      <c r="O679">
        <f t="shared" si="108"/>
        <v>1.151283707813219E-3</v>
      </c>
      <c r="Q679" s="1">
        <v>5.9912700000000002E-7</v>
      </c>
      <c r="R679">
        <f t="shared" si="109"/>
        <v>5.3975042493271105E-2</v>
      </c>
      <c r="CH679" s="1">
        <v>5.5461400000000002E-7</v>
      </c>
      <c r="CI679">
        <v>18.828600000000002</v>
      </c>
      <c r="CJ679">
        <f t="shared" si="110"/>
        <v>1463.340057246013</v>
      </c>
      <c r="CL679" s="1">
        <v>5.5461400000000002E-7</v>
      </c>
      <c r="CM679">
        <v>3.6830000000000002E-2</v>
      </c>
      <c r="CN679">
        <f t="shared" si="111"/>
        <v>2.8623909535690735</v>
      </c>
    </row>
    <row r="680" spans="4:92" x14ac:dyDescent="0.35">
      <c r="D680" s="1">
        <v>6.06886E-7</v>
      </c>
      <c r="E680">
        <v>31.328499999999998</v>
      </c>
      <c r="F680">
        <v>0.19825999999999999</v>
      </c>
      <c r="G680">
        <v>15.840999999999999</v>
      </c>
      <c r="I680" s="1">
        <v>6.06886E-7</v>
      </c>
      <c r="J680">
        <f t="shared" si="107"/>
        <v>5.5603226367216416E-2</v>
      </c>
      <c r="K680">
        <v>1.0522134538856333E-3</v>
      </c>
      <c r="L680">
        <v>5.2080027783687283E-2</v>
      </c>
      <c r="N680" s="1">
        <v>6.06886E-7</v>
      </c>
      <c r="O680">
        <f t="shared" si="108"/>
        <v>1.0522134538856333E-3</v>
      </c>
      <c r="Q680" s="1">
        <v>6.06886E-7</v>
      </c>
      <c r="R680">
        <f t="shared" si="109"/>
        <v>5.2080027783687283E-2</v>
      </c>
      <c r="CH680" s="1">
        <v>5.6179599999999996E-7</v>
      </c>
      <c r="CI680">
        <v>18.065799999999999</v>
      </c>
      <c r="CJ680">
        <f t="shared" si="110"/>
        <v>1404.0560002440445</v>
      </c>
      <c r="CL680" s="1">
        <v>5.6179599999999996E-7</v>
      </c>
      <c r="CM680">
        <v>3.3939999999999998E-2</v>
      </c>
      <c r="CN680">
        <f t="shared" si="111"/>
        <v>2.6377830291646576</v>
      </c>
    </row>
    <row r="681" spans="4:92" x14ac:dyDescent="0.35">
      <c r="D681" s="1">
        <v>6.1474499999999999E-7</v>
      </c>
      <c r="E681">
        <v>30.055099999999999</v>
      </c>
      <c r="F681">
        <v>0.213008</v>
      </c>
      <c r="G681">
        <v>15.6686</v>
      </c>
      <c r="I681" s="1">
        <v>6.1474499999999999E-7</v>
      </c>
      <c r="J681">
        <f t="shared" si="107"/>
        <v>5.3343138956200457E-2</v>
      </c>
      <c r="K681">
        <v>1.1304846332355037E-3</v>
      </c>
      <c r="L681">
        <v>5.1513232960765272E-2</v>
      </c>
      <c r="N681" s="1">
        <v>6.1474499999999999E-7</v>
      </c>
      <c r="O681">
        <f t="shared" si="108"/>
        <v>1.1304846332355037E-3</v>
      </c>
      <c r="Q681" s="1">
        <v>6.1474499999999999E-7</v>
      </c>
      <c r="R681">
        <f t="shared" si="109"/>
        <v>5.1513232960765272E-2</v>
      </c>
      <c r="CH681" s="1">
        <v>5.6907100000000003E-7</v>
      </c>
      <c r="CI681">
        <v>19.727399999999999</v>
      </c>
      <c r="CJ681">
        <f t="shared" si="110"/>
        <v>1533.1938989258358</v>
      </c>
      <c r="CL681" s="1">
        <v>5.6907100000000003E-7</v>
      </c>
      <c r="CM681">
        <v>3.4869999999999998E-2</v>
      </c>
      <c r="CN681">
        <f t="shared" si="111"/>
        <v>2.7100617037999886</v>
      </c>
    </row>
    <row r="682" spans="4:92" x14ac:dyDescent="0.35">
      <c r="D682" s="1">
        <v>6.2270600000000004E-7</v>
      </c>
      <c r="E682">
        <v>29.447199999999999</v>
      </c>
      <c r="F682">
        <v>0.21004700000000001</v>
      </c>
      <c r="G682">
        <v>15.462199999999999</v>
      </c>
      <c r="I682" s="1">
        <v>6.2270600000000004E-7</v>
      </c>
      <c r="J682">
        <f t="shared" si="107"/>
        <v>5.2264210781898121E-2</v>
      </c>
      <c r="K682">
        <v>1.1147698948265692E-3</v>
      </c>
      <c r="L682">
        <v>5.0834657256292499E-2</v>
      </c>
      <c r="N682" s="1">
        <v>6.2270600000000004E-7</v>
      </c>
      <c r="O682">
        <f t="shared" si="108"/>
        <v>1.1147698948265692E-3</v>
      </c>
      <c r="Q682" s="1">
        <v>6.2270600000000004E-7</v>
      </c>
      <c r="R682">
        <f t="shared" si="109"/>
        <v>5.0834657256292499E-2</v>
      </c>
      <c r="CH682" s="1">
        <v>5.7644099999999997E-7</v>
      </c>
      <c r="CI682">
        <v>18.163900000000002</v>
      </c>
      <c r="CJ682">
        <f t="shared" si="110"/>
        <v>1411.6802346329973</v>
      </c>
      <c r="CL682" s="1">
        <v>5.7644099999999997E-7</v>
      </c>
      <c r="CM682">
        <v>2.8680000000000001E-2</v>
      </c>
      <c r="CN682">
        <f t="shared" si="111"/>
        <v>2.228981062947625</v>
      </c>
    </row>
    <row r="683" spans="4:92" x14ac:dyDescent="0.35">
      <c r="D683" s="1">
        <v>6.3076999999999998E-7</v>
      </c>
      <c r="E683">
        <v>28.992999999999999</v>
      </c>
      <c r="F683">
        <v>0.17785100000000001</v>
      </c>
      <c r="G683">
        <v>15.087999999999999</v>
      </c>
      <c r="I683" s="1">
        <v>6.3076999999999998E-7</v>
      </c>
      <c r="J683">
        <f t="shared" si="107"/>
        <v>5.1458076258509206E-2</v>
      </c>
      <c r="K683">
        <v>9.4389798742567212E-4</v>
      </c>
      <c r="L683">
        <v>4.960441002463694E-2</v>
      </c>
      <c r="N683" s="1">
        <v>6.3076999999999998E-7</v>
      </c>
      <c r="O683">
        <f t="shared" si="108"/>
        <v>9.4389798742567212E-4</v>
      </c>
      <c r="Q683" s="1">
        <v>6.3076999999999998E-7</v>
      </c>
      <c r="R683">
        <f t="shared" si="109"/>
        <v>4.960441002463694E-2</v>
      </c>
      <c r="CH683" s="1">
        <v>5.8390599999999999E-7</v>
      </c>
      <c r="CI683">
        <v>18.1859</v>
      </c>
      <c r="CJ683">
        <f t="shared" si="110"/>
        <v>1413.3900527426501</v>
      </c>
      <c r="CL683" s="1">
        <v>5.8390599999999999E-7</v>
      </c>
      <c r="CM683">
        <v>3.3329999999999999E-2</v>
      </c>
      <c r="CN683">
        <f t="shared" si="111"/>
        <v>2.5903744361242791</v>
      </c>
    </row>
    <row r="684" spans="4:92" x14ac:dyDescent="0.35">
      <c r="D684" s="1">
        <v>6.3893899999999995E-7</v>
      </c>
      <c r="E684">
        <v>28.0243</v>
      </c>
      <c r="F684">
        <v>0.18299299999999999</v>
      </c>
      <c r="G684">
        <v>15.0951</v>
      </c>
      <c r="I684" s="1">
        <v>6.3893899999999995E-7</v>
      </c>
      <c r="J684">
        <f t="shared" si="107"/>
        <v>4.9738784068269572E-2</v>
      </c>
      <c r="K684">
        <v>9.7118781684098492E-4</v>
      </c>
      <c r="L684">
        <v>4.9627752502843125E-2</v>
      </c>
      <c r="N684" s="1">
        <v>6.3893899999999995E-7</v>
      </c>
      <c r="O684">
        <f t="shared" si="108"/>
        <v>9.7118781684098492E-4</v>
      </c>
      <c r="Q684" s="1">
        <v>6.3893899999999995E-7</v>
      </c>
      <c r="R684">
        <f t="shared" si="109"/>
        <v>4.9627752502843125E-2</v>
      </c>
      <c r="CH684" s="1">
        <v>5.9146700000000001E-7</v>
      </c>
      <c r="CI684">
        <v>17.617999999999999</v>
      </c>
      <c r="CJ684">
        <f t="shared" si="110"/>
        <v>1369.2534298121077</v>
      </c>
      <c r="CL684" s="1">
        <v>5.9146700000000001E-7</v>
      </c>
      <c r="CM684">
        <v>4.02E-2</v>
      </c>
      <c r="CN684">
        <f t="shared" si="111"/>
        <v>3.1243040003659175</v>
      </c>
    </row>
    <row r="685" spans="4:92" x14ac:dyDescent="0.35">
      <c r="D685" s="1">
        <v>6.4721299999999996E-7</v>
      </c>
      <c r="E685">
        <v>27.488900000000001</v>
      </c>
      <c r="F685">
        <v>0.19179399999999999</v>
      </c>
      <c r="G685">
        <v>14.7197</v>
      </c>
      <c r="I685" s="1">
        <v>6.4721299999999996E-7</v>
      </c>
      <c r="J685">
        <f t="shared" si="107"/>
        <v>4.8788532144398093E-2</v>
      </c>
      <c r="K685">
        <v>1.0178968383664942E-3</v>
      </c>
      <c r="L685">
        <v>4.8393560063603416E-2</v>
      </c>
      <c r="N685" s="1">
        <v>6.4721299999999996E-7</v>
      </c>
      <c r="O685">
        <f t="shared" si="108"/>
        <v>1.0178968383664942E-3</v>
      </c>
      <c r="Q685" s="1">
        <v>6.4721299999999996E-7</v>
      </c>
      <c r="R685">
        <f t="shared" si="109"/>
        <v>4.8393560063603416E-2</v>
      </c>
      <c r="CH685" s="1">
        <v>5.9912700000000002E-7</v>
      </c>
      <c r="CI685">
        <v>18.0321</v>
      </c>
      <c r="CJ685">
        <f t="shared" si="110"/>
        <v>1401.436869776076</v>
      </c>
      <c r="CL685" s="1">
        <v>5.9912700000000002E-7</v>
      </c>
      <c r="CM685">
        <v>3.5799999999999998E-2</v>
      </c>
      <c r="CN685">
        <f t="shared" si="111"/>
        <v>2.7823403784353196</v>
      </c>
    </row>
    <row r="686" spans="4:92" x14ac:dyDescent="0.35">
      <c r="D686" s="1">
        <v>6.5559399999999996E-7</v>
      </c>
      <c r="E686">
        <v>26.635000000000002</v>
      </c>
      <c r="F686">
        <v>0.18274699999999999</v>
      </c>
      <c r="G686">
        <v>14.755000000000001</v>
      </c>
      <c r="I686" s="1">
        <v>6.5559399999999996E-7</v>
      </c>
      <c r="J686">
        <f t="shared" si="107"/>
        <v>4.727299214104759E-2</v>
      </c>
      <c r="K686">
        <v>9.6988223573710175E-4</v>
      </c>
      <c r="L686">
        <v>4.8509614920036991E-2</v>
      </c>
      <c r="N686" s="1">
        <v>6.5559399999999996E-7</v>
      </c>
      <c r="O686">
        <f t="shared" si="108"/>
        <v>9.6988223573710175E-4</v>
      </c>
      <c r="Q686" s="1">
        <v>6.5559399999999996E-7</v>
      </c>
      <c r="R686">
        <f t="shared" si="109"/>
        <v>4.8509614920036991E-2</v>
      </c>
      <c r="CH686" s="1">
        <v>6.06886E-7</v>
      </c>
      <c r="CI686">
        <v>18.243200000000002</v>
      </c>
      <c r="CJ686">
        <f t="shared" si="110"/>
        <v>1417.8433517282465</v>
      </c>
      <c r="CL686" s="1">
        <v>6.06886E-7</v>
      </c>
      <c r="CM686">
        <v>2.981E-2</v>
      </c>
      <c r="CN686">
        <f t="shared" si="111"/>
        <v>2.3168035385798009</v>
      </c>
    </row>
    <row r="687" spans="4:92" x14ac:dyDescent="0.35">
      <c r="D687" s="1">
        <v>6.6408400000000001E-7</v>
      </c>
      <c r="E687">
        <v>25.420100000000001</v>
      </c>
      <c r="F687">
        <v>0.20794199999999999</v>
      </c>
      <c r="G687">
        <v>14.499700000000001</v>
      </c>
      <c r="I687" s="1">
        <v>6.6408400000000001E-7</v>
      </c>
      <c r="J687">
        <f t="shared" si="107"/>
        <v>4.511673315279309E-2</v>
      </c>
      <c r="K687">
        <v>1.1035981540799271E-3</v>
      </c>
      <c r="L687">
        <v>4.7670272006510361E-2</v>
      </c>
      <c r="N687" s="1">
        <v>6.6408400000000001E-7</v>
      </c>
      <c r="O687">
        <f t="shared" si="108"/>
        <v>1.1035981540799271E-3</v>
      </c>
      <c r="Q687" s="1">
        <v>6.6408400000000001E-7</v>
      </c>
      <c r="R687">
        <f t="shared" si="109"/>
        <v>4.7670272006510361E-2</v>
      </c>
      <c r="CH687" s="1">
        <v>6.1474499999999999E-7</v>
      </c>
      <c r="CI687">
        <v>17.965499999999999</v>
      </c>
      <c r="CJ687">
        <f t="shared" si="110"/>
        <v>1396.2607840441265</v>
      </c>
      <c r="CL687" s="1">
        <v>6.1474499999999999E-7</v>
      </c>
      <c r="CM687">
        <v>3.5869999999999999E-2</v>
      </c>
      <c r="CN687">
        <f t="shared" si="111"/>
        <v>2.7877807087842155</v>
      </c>
    </row>
    <row r="688" spans="4:92" x14ac:dyDescent="0.35">
      <c r="D688" s="1">
        <v>6.7268400000000002E-7</v>
      </c>
      <c r="E688">
        <v>24.814499999999999</v>
      </c>
      <c r="F688">
        <v>0.22142300000000001</v>
      </c>
      <c r="G688">
        <v>14.014799999999999</v>
      </c>
      <c r="I688" s="1">
        <v>6.7268400000000002E-7</v>
      </c>
      <c r="J688">
        <f t="shared" si="107"/>
        <v>4.4041887121607858E-2</v>
      </c>
      <c r="K688">
        <v>1.1751450600207736E-3</v>
      </c>
      <c r="L688">
        <v>4.6076079375217509E-2</v>
      </c>
      <c r="N688" s="1">
        <v>6.7268400000000002E-7</v>
      </c>
      <c r="O688">
        <f t="shared" si="108"/>
        <v>1.1751450600207736E-3</v>
      </c>
      <c r="Q688" s="1">
        <v>6.7268400000000002E-7</v>
      </c>
      <c r="R688">
        <f t="shared" si="109"/>
        <v>4.6076079375217509E-2</v>
      </c>
      <c r="CH688" s="1">
        <v>6.2270600000000004E-7</v>
      </c>
      <c r="CI688">
        <v>18.031700000000001</v>
      </c>
      <c r="CJ688">
        <f t="shared" si="110"/>
        <v>1401.4057821740826</v>
      </c>
      <c r="CL688" s="1">
        <v>6.2270600000000004E-7</v>
      </c>
      <c r="CM688">
        <v>3.5069999999999997E-2</v>
      </c>
      <c r="CN688">
        <f t="shared" si="111"/>
        <v>2.7256055047968339</v>
      </c>
    </row>
    <row r="689" spans="4:92" x14ac:dyDescent="0.35">
      <c r="D689" s="1">
        <v>6.8139600000000005E-7</v>
      </c>
      <c r="E689">
        <v>24.405100000000001</v>
      </c>
      <c r="F689">
        <v>0.203094</v>
      </c>
      <c r="G689">
        <v>13.925800000000001</v>
      </c>
      <c r="I689" s="1">
        <v>6.8139600000000005E-7</v>
      </c>
      <c r="J689">
        <f t="shared" si="107"/>
        <v>4.3315265646761053E-2</v>
      </c>
      <c r="K689">
        <v>1.0778686533009624E-3</v>
      </c>
      <c r="L689">
        <v>4.5783476479393501E-2</v>
      </c>
      <c r="N689" s="1">
        <v>6.8139600000000005E-7</v>
      </c>
      <c r="O689">
        <f t="shared" si="108"/>
        <v>1.0778686533009624E-3</v>
      </c>
      <c r="Q689" s="1">
        <v>6.8139600000000005E-7</v>
      </c>
      <c r="R689">
        <f t="shared" si="109"/>
        <v>4.5783476479393501E-2</v>
      </c>
      <c r="CH689" s="1">
        <v>6.3076999999999998E-7</v>
      </c>
      <c r="CI689">
        <v>17.82</v>
      </c>
      <c r="CJ689">
        <f t="shared" si="110"/>
        <v>1384.9526688189217</v>
      </c>
      <c r="CL689" s="1">
        <v>6.3076999999999998E-7</v>
      </c>
      <c r="CM689">
        <v>3.6760000000000001E-2</v>
      </c>
      <c r="CN689">
        <f t="shared" si="111"/>
        <v>2.8569506232201776</v>
      </c>
    </row>
    <row r="690" spans="4:92" x14ac:dyDescent="0.35">
      <c r="D690" s="1">
        <v>6.9022E-7</v>
      </c>
      <c r="E690">
        <v>24.1614</v>
      </c>
      <c r="F690">
        <v>0.212981</v>
      </c>
      <c r="G690">
        <v>13.904</v>
      </c>
      <c r="I690" s="1">
        <v>6.9022E-7</v>
      </c>
      <c r="J690">
        <f t="shared" si="107"/>
        <v>4.2882735960830004E-2</v>
      </c>
      <c r="K690">
        <v>1.1303413377484921E-3</v>
      </c>
      <c r="L690">
        <v>4.5711805208281546E-2</v>
      </c>
      <c r="N690" s="1">
        <v>6.9022E-7</v>
      </c>
      <c r="O690">
        <f t="shared" si="108"/>
        <v>1.1303413377484921E-3</v>
      </c>
      <c r="Q690" s="1">
        <v>6.9022E-7</v>
      </c>
      <c r="R690">
        <f t="shared" si="109"/>
        <v>4.5711805208281546E-2</v>
      </c>
      <c r="CH690" s="1">
        <v>6.3893899999999995E-7</v>
      </c>
      <c r="CI690">
        <v>17.6069</v>
      </c>
      <c r="CJ690">
        <f t="shared" si="110"/>
        <v>1368.3907488567829</v>
      </c>
      <c r="CL690" s="1">
        <v>6.3893899999999995E-7</v>
      </c>
      <c r="CM690">
        <v>3.7999999999999999E-2</v>
      </c>
      <c r="CN690">
        <f t="shared" si="111"/>
        <v>2.9533221894006183</v>
      </c>
    </row>
    <row r="691" spans="4:92" x14ac:dyDescent="0.35">
      <c r="D691" s="1">
        <v>6.9915800000000002E-7</v>
      </c>
      <c r="E691">
        <v>23.2182</v>
      </c>
      <c r="F691">
        <v>0.192907</v>
      </c>
      <c r="G691">
        <v>13.6936</v>
      </c>
      <c r="I691" s="1">
        <v>6.9915800000000002E-7</v>
      </c>
      <c r="J691">
        <f t="shared" si="107"/>
        <v>4.1208702313845359E-2</v>
      </c>
      <c r="K691">
        <v>1.0238037967755264E-3</v>
      </c>
      <c r="L691">
        <v>4.5020078811861639E-2</v>
      </c>
      <c r="N691" s="1">
        <v>6.9915800000000002E-7</v>
      </c>
      <c r="O691">
        <f t="shared" si="108"/>
        <v>1.0238037967755264E-3</v>
      </c>
      <c r="Q691" s="1">
        <v>6.9915800000000002E-7</v>
      </c>
      <c r="R691">
        <f t="shared" si="109"/>
        <v>4.5020078811861639E-2</v>
      </c>
      <c r="CH691" s="1">
        <v>6.4721299999999996E-7</v>
      </c>
      <c r="CI691">
        <v>17.554400000000001</v>
      </c>
      <c r="CJ691">
        <f t="shared" si="110"/>
        <v>1364.310501095111</v>
      </c>
      <c r="CL691" s="1">
        <v>6.4721299999999996E-7</v>
      </c>
      <c r="CM691">
        <v>3.6170000000000001E-2</v>
      </c>
      <c r="CN691">
        <f t="shared" si="111"/>
        <v>2.8110964102794838</v>
      </c>
    </row>
    <row r="692" spans="4:92" x14ac:dyDescent="0.35">
      <c r="D692" s="1">
        <v>7.0821199999999996E-7</v>
      </c>
      <c r="E692">
        <v>22.859000000000002</v>
      </c>
      <c r="F692">
        <v>0.180647</v>
      </c>
      <c r="G692">
        <v>13.5335</v>
      </c>
      <c r="I692" s="1">
        <v>7.0821199999999996E-7</v>
      </c>
      <c r="J692">
        <f t="shared" si="107"/>
        <v>4.0571178049641707E-2</v>
      </c>
      <c r="K692">
        <v>9.5873703119175825E-4</v>
      </c>
      <c r="L692">
        <v>4.4493722366677098E-2</v>
      </c>
      <c r="N692" s="1">
        <v>7.0821199999999996E-7</v>
      </c>
      <c r="O692">
        <f t="shared" si="108"/>
        <v>9.5873703119175825E-4</v>
      </c>
      <c r="Q692" s="1">
        <v>7.0821199999999996E-7</v>
      </c>
      <c r="R692">
        <f t="shared" si="109"/>
        <v>4.4493722366677098E-2</v>
      </c>
      <c r="CH692" s="1">
        <v>6.5559399999999996E-7</v>
      </c>
      <c r="CI692">
        <v>16.959099999999999</v>
      </c>
      <c r="CJ692">
        <f t="shared" si="110"/>
        <v>1318.0443774280006</v>
      </c>
      <c r="CL692" s="1">
        <v>6.5559399999999996E-7</v>
      </c>
      <c r="CM692">
        <v>3.243E-2</v>
      </c>
      <c r="CN692">
        <f t="shared" si="111"/>
        <v>2.5204273316384751</v>
      </c>
    </row>
    <row r="693" spans="4:92" x14ac:dyDescent="0.35">
      <c r="D693" s="1">
        <v>7.1738399999999999E-7</v>
      </c>
      <c r="E693">
        <v>22.398199999999999</v>
      </c>
      <c r="F693">
        <v>0.16111900000000001</v>
      </c>
      <c r="G693">
        <v>13.628</v>
      </c>
      <c r="I693" s="1">
        <v>7.1738399999999999E-7</v>
      </c>
      <c r="J693">
        <f t="shared" si="107"/>
        <v>3.9753329550351491E-2</v>
      </c>
      <c r="K693">
        <v>8.5509724340058178E-4</v>
      </c>
      <c r="L693">
        <v>4.4804407463928428E-2</v>
      </c>
      <c r="N693" s="1">
        <v>7.1738399999999999E-7</v>
      </c>
      <c r="O693">
        <f t="shared" si="108"/>
        <v>8.5509724340058178E-4</v>
      </c>
      <c r="Q693" s="1">
        <v>7.1738399999999999E-7</v>
      </c>
      <c r="R693">
        <f t="shared" si="109"/>
        <v>4.4804407463928428E-2</v>
      </c>
      <c r="CH693" s="1">
        <v>6.6408400000000001E-7</v>
      </c>
      <c r="CI693">
        <v>17.314800000000002</v>
      </c>
      <c r="CJ693">
        <f t="shared" si="110"/>
        <v>1345.6890275008905</v>
      </c>
      <c r="CL693" s="1">
        <v>6.6408400000000001E-7</v>
      </c>
      <c r="CM693">
        <v>3.6269999999999997E-2</v>
      </c>
      <c r="CN693">
        <f t="shared" si="111"/>
        <v>2.8188683107779058</v>
      </c>
    </row>
    <row r="694" spans="4:92" x14ac:dyDescent="0.35">
      <c r="D694" s="1">
        <v>7.2667399999999999E-7</v>
      </c>
      <c r="E694">
        <v>21.840299999999999</v>
      </c>
      <c r="F694">
        <v>0.184501</v>
      </c>
      <c r="G694">
        <v>13.4148</v>
      </c>
      <c r="I694" s="1">
        <v>7.2667399999999999E-7</v>
      </c>
      <c r="J694">
        <f t="shared" si="107"/>
        <v>3.8763143617725607E-2</v>
      </c>
      <c r="K694">
        <v>9.7919113515259368E-4</v>
      </c>
      <c r="L694">
        <v>4.4103475583145521E-2</v>
      </c>
      <c r="N694" s="1">
        <v>7.2667399999999999E-7</v>
      </c>
      <c r="O694">
        <f t="shared" si="108"/>
        <v>9.7919113515259368E-4</v>
      </c>
      <c r="Q694" s="1">
        <v>7.2667399999999999E-7</v>
      </c>
      <c r="R694">
        <f t="shared" si="109"/>
        <v>4.4103475583145521E-2</v>
      </c>
      <c r="CH694" s="1">
        <v>6.7268400000000002E-7</v>
      </c>
      <c r="CI694">
        <v>16.9009</v>
      </c>
      <c r="CJ694">
        <f t="shared" si="110"/>
        <v>1313.5211313379189</v>
      </c>
      <c r="CL694" s="1">
        <v>6.7268400000000002E-7</v>
      </c>
      <c r="CM694">
        <v>3.5319999999999997E-2</v>
      </c>
      <c r="CN694">
        <f t="shared" si="111"/>
        <v>2.7450352560428906</v>
      </c>
    </row>
    <row r="695" spans="4:92" x14ac:dyDescent="0.35">
      <c r="D695" s="1">
        <v>7.3608400000000002E-7</v>
      </c>
      <c r="E695">
        <v>20.980599999999999</v>
      </c>
      <c r="F695">
        <v>0.22600200000000001</v>
      </c>
      <c r="G695">
        <v>13.1938</v>
      </c>
      <c r="I695" s="1">
        <v>7.3608400000000002E-7</v>
      </c>
      <c r="J695">
        <f t="shared" si="107"/>
        <v>3.7237309514340643E-2</v>
      </c>
      <c r="K695">
        <v>1.1994469131698824E-3</v>
      </c>
      <c r="L695">
        <v>4.337689985306567E-2</v>
      </c>
      <c r="N695" s="1">
        <v>7.3608400000000002E-7</v>
      </c>
      <c r="O695">
        <f t="shared" si="108"/>
        <v>1.1994469131698824E-3</v>
      </c>
      <c r="Q695" s="1">
        <v>7.3608400000000002E-7</v>
      </c>
      <c r="R695">
        <f t="shared" si="109"/>
        <v>4.337689985306567E-2</v>
      </c>
      <c r="CH695" s="1">
        <v>6.8139600000000005E-7</v>
      </c>
      <c r="CI695">
        <v>17.598800000000001</v>
      </c>
      <c r="CJ695">
        <f t="shared" si="110"/>
        <v>1367.7612249164108</v>
      </c>
      <c r="CL695" s="1">
        <v>6.8139600000000005E-7</v>
      </c>
      <c r="CM695">
        <v>3.7310000000000003E-2</v>
      </c>
      <c r="CN695">
        <f t="shared" si="111"/>
        <v>2.8996960759615025</v>
      </c>
    </row>
    <row r="696" spans="4:92" x14ac:dyDescent="0.35">
      <c r="D696" s="1">
        <v>7.4561700000000005E-7</v>
      </c>
      <c r="E696">
        <v>20.751000000000001</v>
      </c>
      <c r="F696">
        <v>0.240226</v>
      </c>
      <c r="G696">
        <v>12.872</v>
      </c>
      <c r="I696" s="1">
        <v>7.4561700000000005E-7</v>
      </c>
      <c r="J696">
        <f t="shared" si="107"/>
        <v>3.6829805140562367E-2</v>
      </c>
      <c r="K696">
        <v>1.2749370986236766E-3</v>
      </c>
      <c r="L696">
        <v>4.2318926685917725E-2</v>
      </c>
      <c r="N696" s="1">
        <v>7.4561700000000005E-7</v>
      </c>
      <c r="O696">
        <f t="shared" si="108"/>
        <v>1.2749370986236766E-3</v>
      </c>
      <c r="Q696" s="1">
        <v>7.4561700000000005E-7</v>
      </c>
      <c r="R696">
        <f t="shared" si="109"/>
        <v>4.2318926685917725E-2</v>
      </c>
      <c r="CH696" s="1">
        <v>6.9022E-7</v>
      </c>
      <c r="CI696">
        <v>17.916599999999999</v>
      </c>
      <c r="CJ696">
        <f t="shared" si="110"/>
        <v>1392.4603247003979</v>
      </c>
      <c r="CL696" s="1">
        <v>6.9022E-7</v>
      </c>
      <c r="CM696">
        <v>3.5520000000000003E-2</v>
      </c>
      <c r="CN696">
        <f t="shared" si="111"/>
        <v>2.7605790570397364</v>
      </c>
    </row>
    <row r="697" spans="4:92" x14ac:dyDescent="0.35">
      <c r="D697" s="1">
        <v>7.5527199999999996E-7</v>
      </c>
      <c r="E697">
        <v>20.722300000000001</v>
      </c>
      <c r="F697">
        <v>0.19481799999999999</v>
      </c>
      <c r="G697">
        <v>12.8809</v>
      </c>
      <c r="I697" s="1">
        <v>7.5527199999999996E-7</v>
      </c>
      <c r="J697">
        <f t="shared" si="107"/>
        <v>3.6778867093840081E-2</v>
      </c>
      <c r="K697">
        <v>1.0339459329117889E-3</v>
      </c>
      <c r="L697">
        <v>4.2348186975500135E-2</v>
      </c>
      <c r="N697" s="1">
        <v>7.5527199999999996E-7</v>
      </c>
      <c r="O697">
        <f t="shared" si="108"/>
        <v>1.0339459329117889E-3</v>
      </c>
      <c r="Q697" s="1">
        <v>7.5527199999999996E-7</v>
      </c>
      <c r="R697">
        <f t="shared" si="109"/>
        <v>4.2348186975500135E-2</v>
      </c>
      <c r="CH697" s="1">
        <v>6.9915800000000002E-7</v>
      </c>
      <c r="CI697">
        <v>17.055</v>
      </c>
      <c r="CJ697">
        <f t="shared" si="110"/>
        <v>1325.4976300059882</v>
      </c>
      <c r="CL697" s="1">
        <v>6.9915800000000002E-7</v>
      </c>
      <c r="CM697">
        <v>3.5200000000000002E-2</v>
      </c>
      <c r="CN697">
        <f t="shared" si="111"/>
        <v>2.7357089754447839</v>
      </c>
    </row>
    <row r="698" spans="4:92" x14ac:dyDescent="0.35">
      <c r="D698" s="1">
        <v>7.6505299999999996E-7</v>
      </c>
      <c r="E698">
        <v>19.973199999999999</v>
      </c>
      <c r="F698">
        <v>0.148899</v>
      </c>
      <c r="G698">
        <v>12.7865</v>
      </c>
      <c r="I698" s="1">
        <v>7.6505299999999996E-7</v>
      </c>
      <c r="J698">
        <f t="shared" si="107"/>
        <v>3.5449330829043425E-2</v>
      </c>
      <c r="K698">
        <v>7.9024276742720124E-4</v>
      </c>
      <c r="L698">
        <v>4.2037830645547475E-2</v>
      </c>
      <c r="N698" s="1">
        <v>7.6505299999999996E-7</v>
      </c>
      <c r="O698">
        <f t="shared" si="108"/>
        <v>7.9024276742720124E-4</v>
      </c>
      <c r="Q698" s="1">
        <v>7.6505299999999996E-7</v>
      </c>
      <c r="R698">
        <f t="shared" si="109"/>
        <v>4.2037830645547475E-2</v>
      </c>
      <c r="CH698" s="1">
        <v>7.0821199999999996E-7</v>
      </c>
      <c r="CI698">
        <v>17.744499999999999</v>
      </c>
      <c r="CJ698">
        <f t="shared" si="110"/>
        <v>1379.0848839426124</v>
      </c>
      <c r="CL698" s="1">
        <v>7.0821199999999996E-7</v>
      </c>
      <c r="CM698">
        <v>3.2460000000000003E-2</v>
      </c>
      <c r="CN698">
        <f t="shared" si="111"/>
        <v>2.5227589017880021</v>
      </c>
    </row>
    <row r="699" spans="4:92" x14ac:dyDescent="0.35">
      <c r="D699" s="1">
        <v>7.7496099999999997E-7</v>
      </c>
      <c r="E699">
        <v>19.965499999999999</v>
      </c>
      <c r="F699">
        <v>0.17597499999999999</v>
      </c>
      <c r="G699">
        <v>12.854699999999999</v>
      </c>
      <c r="I699" s="1">
        <v>7.7496099999999997E-7</v>
      </c>
      <c r="J699">
        <f t="shared" si="107"/>
        <v>3.5435664523825253E-2</v>
      </c>
      <c r="K699">
        <v>9.339416046984984E-4</v>
      </c>
      <c r="L699">
        <v>4.2262049943246317E-2</v>
      </c>
      <c r="N699" s="1">
        <v>7.7496099999999997E-7</v>
      </c>
      <c r="O699">
        <f t="shared" si="108"/>
        <v>9.339416046984984E-4</v>
      </c>
      <c r="Q699" s="1">
        <v>7.7496099999999997E-7</v>
      </c>
      <c r="R699">
        <f t="shared" si="109"/>
        <v>4.2262049943246317E-2</v>
      </c>
      <c r="CH699" s="1">
        <v>7.1738399999999999E-7</v>
      </c>
      <c r="CI699">
        <v>17.295200000000001</v>
      </c>
      <c r="CJ699">
        <f t="shared" si="110"/>
        <v>1344.1657350031994</v>
      </c>
      <c r="CL699" s="1">
        <v>7.1738399999999999E-7</v>
      </c>
      <c r="CM699">
        <v>3.2259999999999997E-2</v>
      </c>
      <c r="CN699">
        <f t="shared" si="111"/>
        <v>2.5072151007911563</v>
      </c>
    </row>
    <row r="700" spans="4:92" x14ac:dyDescent="0.35">
      <c r="D700" s="1">
        <v>7.8499700000000002E-7</v>
      </c>
      <c r="E700">
        <v>19.247299999999999</v>
      </c>
      <c r="F700">
        <v>0.19001299999999999</v>
      </c>
      <c r="G700">
        <v>12.4589</v>
      </c>
      <c r="I700" s="1">
        <v>7.8499700000000002E-7</v>
      </c>
      <c r="J700">
        <f t="shared" si="107"/>
        <v>3.4160970964384654E-2</v>
      </c>
      <c r="K700">
        <v>1.0084446434639907E-3</v>
      </c>
      <c r="L700">
        <v>4.0960788975076164E-2</v>
      </c>
      <c r="N700" s="1">
        <v>7.8499700000000002E-7</v>
      </c>
      <c r="O700">
        <f t="shared" si="108"/>
        <v>1.0084446434639907E-3</v>
      </c>
      <c r="Q700" s="1">
        <v>7.8499700000000002E-7</v>
      </c>
      <c r="R700">
        <f t="shared" si="109"/>
        <v>4.0960788975076164E-2</v>
      </c>
      <c r="CH700" s="1">
        <v>7.2667399999999999E-7</v>
      </c>
      <c r="CI700">
        <v>17.079000000000001</v>
      </c>
      <c r="CJ700">
        <f t="shared" si="110"/>
        <v>1327.3628861256095</v>
      </c>
      <c r="CL700" s="1">
        <v>7.2667399999999999E-7</v>
      </c>
      <c r="CM700">
        <v>3.449E-2</v>
      </c>
      <c r="CN700">
        <f t="shared" si="111"/>
        <v>2.6805284819059825</v>
      </c>
    </row>
    <row r="701" spans="4:92" x14ac:dyDescent="0.35">
      <c r="D701" s="1">
        <v>7.9516200000000004E-7</v>
      </c>
      <c r="E701">
        <v>19.085799999999999</v>
      </c>
      <c r="F701">
        <v>0.17536599999999999</v>
      </c>
      <c r="G701">
        <v>12.278499999999999</v>
      </c>
      <c r="I701" s="1">
        <v>7.9516200000000004E-7</v>
      </c>
      <c r="J701">
        <f t="shared" si="107"/>
        <v>3.3874333523769701E-2</v>
      </c>
      <c r="K701">
        <v>9.3070949538034877E-4</v>
      </c>
      <c r="L701">
        <v>4.0367692768259848E-2</v>
      </c>
      <c r="N701" s="1">
        <v>7.9516200000000004E-7</v>
      </c>
      <c r="O701">
        <f t="shared" si="108"/>
        <v>9.3070949538034877E-4</v>
      </c>
      <c r="Q701" s="1">
        <v>7.9516200000000004E-7</v>
      </c>
      <c r="R701">
        <f t="shared" si="109"/>
        <v>4.0367692768259848E-2</v>
      </c>
      <c r="CH701" s="1">
        <v>7.3608400000000002E-7</v>
      </c>
      <c r="CI701">
        <v>17.8642</v>
      </c>
      <c r="CJ701">
        <f t="shared" si="110"/>
        <v>1388.3878488392245</v>
      </c>
      <c r="CL701" s="1">
        <v>7.3608400000000002E-7</v>
      </c>
      <c r="CM701">
        <v>3.7629999999999997E-2</v>
      </c>
      <c r="CN701">
        <f t="shared" si="111"/>
        <v>2.9245661575564545</v>
      </c>
    </row>
    <row r="702" spans="4:92" x14ac:dyDescent="0.35">
      <c r="D702" s="1">
        <v>8.0546000000000001E-7</v>
      </c>
      <c r="E702">
        <v>18.982600000000001</v>
      </c>
      <c r="F702">
        <v>0.19092600000000001</v>
      </c>
      <c r="G702">
        <v>12.539199999999999</v>
      </c>
      <c r="I702" s="1">
        <v>8.0546000000000001E-7</v>
      </c>
      <c r="J702">
        <f t="shared" si="107"/>
        <v>3.3691169536949506E-2</v>
      </c>
      <c r="K702">
        <v>1.0132901538210857E-3</v>
      </c>
      <c r="L702">
        <v>4.1224789115915129E-2</v>
      </c>
      <c r="N702" s="1">
        <v>8.0546000000000001E-7</v>
      </c>
      <c r="O702">
        <f t="shared" si="108"/>
        <v>1.0132901538210857E-3</v>
      </c>
      <c r="Q702" s="1">
        <v>8.0546000000000001E-7</v>
      </c>
      <c r="R702">
        <f t="shared" si="109"/>
        <v>4.1224789115915129E-2</v>
      </c>
      <c r="CH702" s="1">
        <v>7.4561700000000005E-7</v>
      </c>
      <c r="CI702">
        <v>17.235499999999998</v>
      </c>
      <c r="CJ702">
        <f t="shared" si="110"/>
        <v>1339.5259104056408</v>
      </c>
      <c r="CL702" s="1">
        <v>7.4561700000000005E-7</v>
      </c>
      <c r="CM702">
        <v>4.1189999999999997E-2</v>
      </c>
      <c r="CN702">
        <f t="shared" si="111"/>
        <v>3.2012458153003021</v>
      </c>
    </row>
    <row r="703" spans="4:92" x14ac:dyDescent="0.35">
      <c r="D703" s="1">
        <v>8.1589099999999996E-7</v>
      </c>
      <c r="E703">
        <v>18.6372</v>
      </c>
      <c r="F703">
        <v>0.201349</v>
      </c>
      <c r="G703">
        <v>12.4496</v>
      </c>
      <c r="I703" s="1">
        <v>8.1589099999999996E-7</v>
      </c>
      <c r="J703">
        <f t="shared" si="107"/>
        <v>3.3078138131448553E-2</v>
      </c>
      <c r="K703">
        <v>1.0686075190478078E-3</v>
      </c>
      <c r="L703">
        <v>4.0930213616299047E-2</v>
      </c>
      <c r="N703" s="1">
        <v>8.1589099999999996E-7</v>
      </c>
      <c r="O703">
        <f t="shared" si="108"/>
        <v>1.0686075190478078E-3</v>
      </c>
      <c r="Q703" s="1">
        <v>8.1589099999999996E-7</v>
      </c>
      <c r="R703">
        <f t="shared" si="109"/>
        <v>4.0930213616299047E-2</v>
      </c>
      <c r="CH703" s="1">
        <v>7.5527199999999996E-7</v>
      </c>
      <c r="CI703">
        <v>17.203800000000001</v>
      </c>
      <c r="CJ703">
        <f t="shared" si="110"/>
        <v>1337.0622179476411</v>
      </c>
      <c r="CL703" s="1">
        <v>7.5527199999999996E-7</v>
      </c>
      <c r="CM703">
        <v>3.8179999999999999E-2</v>
      </c>
      <c r="CN703">
        <f t="shared" si="111"/>
        <v>2.9673116102977795</v>
      </c>
    </row>
    <row r="704" spans="4:92" x14ac:dyDescent="0.35">
      <c r="D704" s="1">
        <v>8.26456E-7</v>
      </c>
      <c r="E704">
        <v>18.207899999999999</v>
      </c>
      <c r="F704">
        <v>0.19719999999999999</v>
      </c>
      <c r="G704">
        <v>12.0915</v>
      </c>
      <c r="I704" s="1">
        <v>8.26456E-7</v>
      </c>
      <c r="J704">
        <f t="shared" si="107"/>
        <v>3.23161972444145E-2</v>
      </c>
      <c r="K704">
        <v>1.0465877792103645E-3</v>
      </c>
      <c r="L704">
        <v>3.9752897919730745E-2</v>
      </c>
      <c r="N704" s="1">
        <v>8.26456E-7</v>
      </c>
      <c r="O704">
        <f t="shared" si="108"/>
        <v>1.0465877792103645E-3</v>
      </c>
      <c r="Q704" s="1">
        <v>8.26456E-7</v>
      </c>
      <c r="R704">
        <f t="shared" si="109"/>
        <v>3.9752897919730745E-2</v>
      </c>
      <c r="CH704" s="1">
        <v>7.6505299999999996E-7</v>
      </c>
      <c r="CI704">
        <v>16.4895</v>
      </c>
      <c r="CJ704">
        <f t="shared" si="110"/>
        <v>1281.5475326874077</v>
      </c>
      <c r="CL704" s="1">
        <v>7.6505299999999996E-7</v>
      </c>
      <c r="CM704">
        <v>3.6150000000000002E-2</v>
      </c>
      <c r="CN704">
        <f t="shared" si="111"/>
        <v>2.8095420301797991</v>
      </c>
    </row>
    <row r="705" spans="4:92" x14ac:dyDescent="0.35">
      <c r="D705" s="1">
        <v>8.3715900000000004E-7</v>
      </c>
      <c r="E705">
        <v>17.934100000000001</v>
      </c>
      <c r="F705">
        <v>0.18435199999999999</v>
      </c>
      <c r="G705">
        <v>11.957100000000001</v>
      </c>
      <c r="I705" s="1">
        <v>8.3715900000000004E-7</v>
      </c>
      <c r="J705">
        <f t="shared" si="107"/>
        <v>3.1830244728994241E-2</v>
      </c>
      <c r="K705">
        <v>9.7840035635390009E-4</v>
      </c>
      <c r="L705">
        <v>3.9311034670306624E-2</v>
      </c>
      <c r="N705" s="1">
        <v>8.3715900000000004E-7</v>
      </c>
      <c r="O705">
        <f t="shared" si="108"/>
        <v>9.7840035635390009E-4</v>
      </c>
      <c r="Q705" s="1">
        <v>8.3715900000000004E-7</v>
      </c>
      <c r="R705">
        <f t="shared" si="109"/>
        <v>3.9311034670306624E-2</v>
      </c>
      <c r="CH705" s="1">
        <v>7.7496099999999997E-7</v>
      </c>
      <c r="CI705">
        <v>16.8294</v>
      </c>
      <c r="CJ705">
        <f t="shared" si="110"/>
        <v>1307.9642224815466</v>
      </c>
      <c r="CL705" s="1">
        <v>7.7496099999999997E-7</v>
      </c>
      <c r="CM705">
        <v>3.3509999999999998E-2</v>
      </c>
      <c r="CN705">
        <f t="shared" si="111"/>
        <v>2.6043638570214402</v>
      </c>
    </row>
    <row r="706" spans="4:92" x14ac:dyDescent="0.35">
      <c r="D706" s="1">
        <v>8.4799999999999997E-7</v>
      </c>
      <c r="E706">
        <v>17.5852</v>
      </c>
      <c r="F706">
        <v>0.192826</v>
      </c>
      <c r="G706">
        <v>12.2668</v>
      </c>
      <c r="I706" s="1">
        <v>8.4799999999999997E-7</v>
      </c>
      <c r="J706">
        <f t="shared" si="107"/>
        <v>3.1211001366575935E-2</v>
      </c>
      <c r="K706">
        <v>1.0233739103144917E-3</v>
      </c>
      <c r="L706">
        <v>4.0329226994314446E-2</v>
      </c>
      <c r="N706" s="1">
        <v>8.4799999999999997E-7</v>
      </c>
      <c r="O706">
        <f t="shared" si="108"/>
        <v>1.0233739103144917E-3</v>
      </c>
      <c r="Q706" s="1">
        <v>8.4799999999999997E-7</v>
      </c>
      <c r="R706">
        <f t="shared" si="109"/>
        <v>4.0329226994314446E-2</v>
      </c>
      <c r="CH706" s="1">
        <v>7.8499700000000002E-7</v>
      </c>
      <c r="CI706">
        <v>17.524899999999999</v>
      </c>
      <c r="CJ706">
        <f t="shared" si="110"/>
        <v>1362.0177904480763</v>
      </c>
      <c r="CL706" s="1">
        <v>7.8499700000000002E-7</v>
      </c>
      <c r="CM706">
        <v>3.5459999999999998E-2</v>
      </c>
      <c r="CN706">
        <f t="shared" si="111"/>
        <v>2.7559159167406824</v>
      </c>
    </row>
    <row r="707" spans="4:92" x14ac:dyDescent="0.35">
      <c r="D707" s="1">
        <v>8.5898199999999998E-7</v>
      </c>
      <c r="E707">
        <v>17.598199999999999</v>
      </c>
      <c r="F707">
        <v>0.202519</v>
      </c>
      <c r="G707">
        <v>12.222</v>
      </c>
      <c r="I707" s="1">
        <v>8.5898199999999998E-7</v>
      </c>
      <c r="J707">
        <f t="shared" si="107"/>
        <v>3.1234074349411813E-2</v>
      </c>
      <c r="K707">
        <v>1.0748169901516422E-3</v>
      </c>
      <c r="L707">
        <v>4.0181939244506408E-2</v>
      </c>
      <c r="N707" s="1">
        <v>8.5898199999999998E-7</v>
      </c>
      <c r="O707">
        <f t="shared" si="108"/>
        <v>1.0748169901516422E-3</v>
      </c>
      <c r="Q707" s="1">
        <v>8.5898199999999998E-7</v>
      </c>
      <c r="R707">
        <f t="shared" si="109"/>
        <v>4.0181939244506408E-2</v>
      </c>
      <c r="CH707" s="1">
        <v>7.9516200000000004E-7</v>
      </c>
      <c r="CI707">
        <v>18.049800000000001</v>
      </c>
      <c r="CJ707">
        <f t="shared" si="110"/>
        <v>1402.812496164297</v>
      </c>
      <c r="CL707" s="1">
        <v>7.9516200000000004E-7</v>
      </c>
      <c r="CM707">
        <v>3.7690000000000001E-2</v>
      </c>
      <c r="CN707">
        <f t="shared" si="111"/>
        <v>2.9292292978555081</v>
      </c>
    </row>
    <row r="708" spans="4:92" x14ac:dyDescent="0.35">
      <c r="D708" s="1">
        <v>8.70106E-7</v>
      </c>
      <c r="E708">
        <v>17.2028</v>
      </c>
      <c r="F708">
        <v>0.24166499999999999</v>
      </c>
      <c r="G708">
        <v>11.9107</v>
      </c>
      <c r="I708" s="1">
        <v>8.70106E-7</v>
      </c>
      <c r="J708">
        <f t="shared" ref="J708:J771" si="112">E708/SUM($E$3:$E$2002)/$C$3</f>
        <v>3.0532300702234408E-2</v>
      </c>
      <c r="K708">
        <v>1.2825742173573668E-3</v>
      </c>
      <c r="L708">
        <v>3.915848664371973E-2</v>
      </c>
      <c r="N708" s="1">
        <v>8.70106E-7</v>
      </c>
      <c r="O708">
        <f t="shared" ref="O708:O771" si="113">F708/SUM($F$3:$F$2002)/$C$3</f>
        <v>1.2825742173573668E-3</v>
      </c>
      <c r="Q708" s="1">
        <v>8.70106E-7</v>
      </c>
      <c r="R708">
        <f t="shared" ref="R708:R771" si="114">G708/SUM($G$3:$G$2002)/$C$3</f>
        <v>3.915848664371973E-2</v>
      </c>
      <c r="CH708" s="1">
        <v>8.0546000000000001E-7</v>
      </c>
      <c r="CI708">
        <v>16.680299999999999</v>
      </c>
      <c r="CJ708">
        <f t="shared" si="110"/>
        <v>1296.3763188383982</v>
      </c>
      <c r="CL708" s="1">
        <v>8.0546000000000001E-7</v>
      </c>
      <c r="CM708">
        <v>4.3639999999999998E-2</v>
      </c>
      <c r="CN708">
        <f t="shared" si="111"/>
        <v>3.3916573775116574</v>
      </c>
    </row>
    <row r="709" spans="4:92" x14ac:dyDescent="0.35">
      <c r="D709" s="1">
        <v>8.8137399999999996E-7</v>
      </c>
      <c r="E709">
        <v>17.377500000000001</v>
      </c>
      <c r="F709">
        <v>0.20080500000000001</v>
      </c>
      <c r="G709">
        <v>11.9056</v>
      </c>
      <c r="I709" s="1">
        <v>8.8137399999999996E-7</v>
      </c>
      <c r="J709">
        <f t="shared" si="112"/>
        <v>3.0842366094651946E-2</v>
      </c>
      <c r="K709">
        <v>1.0657203803465379E-3</v>
      </c>
      <c r="L709">
        <v>3.9141719511487108E-2</v>
      </c>
      <c r="N709" s="1">
        <v>8.8137399999999996E-7</v>
      </c>
      <c r="O709">
        <f t="shared" si="113"/>
        <v>1.0657203803465379E-3</v>
      </c>
      <c r="Q709" s="1">
        <v>8.8137399999999996E-7</v>
      </c>
      <c r="R709">
        <f t="shared" si="114"/>
        <v>3.9141719511487108E-2</v>
      </c>
      <c r="CH709" s="1">
        <v>8.1589099999999996E-7</v>
      </c>
      <c r="CI709">
        <v>17.284099999999999</v>
      </c>
      <c r="CJ709">
        <f t="shared" si="110"/>
        <v>1343.3030540478744</v>
      </c>
      <c r="CL709" s="1">
        <v>8.1589099999999996E-7</v>
      </c>
      <c r="CM709">
        <v>3.3849999999999998E-2</v>
      </c>
      <c r="CN709">
        <f t="shared" si="111"/>
        <v>2.630788318716077</v>
      </c>
    </row>
    <row r="710" spans="4:92" x14ac:dyDescent="0.35">
      <c r="D710" s="1">
        <v>8.9278800000000004E-7</v>
      </c>
      <c r="E710">
        <v>17.087399999999999</v>
      </c>
      <c r="F710">
        <v>0.17146</v>
      </c>
      <c r="G710">
        <v>11.967499999999999</v>
      </c>
      <c r="I710" s="1">
        <v>8.9278800000000004E-7</v>
      </c>
      <c r="J710">
        <f t="shared" si="112"/>
        <v>3.0327483608445151E-2</v>
      </c>
      <c r="K710">
        <v>9.0997941492600967E-4</v>
      </c>
      <c r="L710">
        <v>3.93452264693692E-2</v>
      </c>
      <c r="N710" s="1">
        <v>8.9278800000000004E-7</v>
      </c>
      <c r="O710">
        <f t="shared" si="113"/>
        <v>9.0997941492600967E-4</v>
      </c>
      <c r="Q710" s="1">
        <v>8.9278800000000004E-7</v>
      </c>
      <c r="R710">
        <f t="shared" si="114"/>
        <v>3.93452264693692E-2</v>
      </c>
      <c r="CH710" s="1">
        <v>8.26456E-7</v>
      </c>
      <c r="CI710">
        <v>17.139500000000002</v>
      </c>
      <c r="CJ710">
        <f t="shared" si="110"/>
        <v>1332.0648859271555</v>
      </c>
      <c r="CL710" s="1">
        <v>8.26456E-7</v>
      </c>
      <c r="CM710">
        <v>3.2890000000000003E-2</v>
      </c>
      <c r="CN710">
        <f t="shared" si="111"/>
        <v>2.5561780739312199</v>
      </c>
    </row>
    <row r="711" spans="4:92" x14ac:dyDescent="0.35">
      <c r="D711" s="1">
        <v>9.0434999999999997E-7</v>
      </c>
      <c r="E711">
        <v>16.770800000000001</v>
      </c>
      <c r="F711">
        <v>0.213167</v>
      </c>
      <c r="G711">
        <v>11.6934</v>
      </c>
      <c r="I711" s="1">
        <v>9.0434999999999997E-7</v>
      </c>
      <c r="J711">
        <f t="shared" si="112"/>
        <v>2.9765567734149838E-2</v>
      </c>
      <c r="K711">
        <v>1.1313284844367941E-3</v>
      </c>
      <c r="L711">
        <v>3.8444075303690983E-2</v>
      </c>
      <c r="N711" s="1">
        <v>9.0434999999999997E-7</v>
      </c>
      <c r="O711">
        <f t="shared" si="113"/>
        <v>1.1313284844367941E-3</v>
      </c>
      <c r="Q711" s="1">
        <v>9.0434999999999997E-7</v>
      </c>
      <c r="R711">
        <f t="shared" si="114"/>
        <v>3.8444075303690983E-2</v>
      </c>
      <c r="CH711" s="1">
        <v>8.3715900000000004E-7</v>
      </c>
      <c r="CI711">
        <v>16.7651</v>
      </c>
      <c r="CJ711">
        <f t="shared" si="110"/>
        <v>1302.9668904610608</v>
      </c>
      <c r="CL711" s="1">
        <v>8.3715900000000004E-7</v>
      </c>
      <c r="CM711">
        <v>3.3640000000000003E-2</v>
      </c>
      <c r="CN711">
        <f t="shared" si="111"/>
        <v>2.6144673276693897</v>
      </c>
    </row>
    <row r="712" spans="4:92" x14ac:dyDescent="0.35">
      <c r="D712" s="1">
        <v>9.1606099999999999E-7</v>
      </c>
      <c r="E712">
        <v>16.348199999999999</v>
      </c>
      <c r="F712">
        <v>0.20097400000000001</v>
      </c>
      <c r="G712">
        <v>11.855700000000001</v>
      </c>
      <c r="I712" s="1">
        <v>9.1606099999999999E-7</v>
      </c>
      <c r="J712">
        <f t="shared" si="112"/>
        <v>2.9015518307500435E-2</v>
      </c>
      <c r="K712">
        <v>1.0666173039504251E-3</v>
      </c>
      <c r="L712">
        <v>3.8977664629446462E-2</v>
      </c>
      <c r="N712" s="1">
        <v>9.1606099999999999E-7</v>
      </c>
      <c r="O712">
        <f t="shared" si="113"/>
        <v>1.0666173039504251E-3</v>
      </c>
      <c r="Q712" s="1">
        <v>9.1606099999999999E-7</v>
      </c>
      <c r="R712">
        <f t="shared" si="114"/>
        <v>3.8977664629446462E-2</v>
      </c>
      <c r="CH712" s="1">
        <v>8.4799999999999997E-7</v>
      </c>
      <c r="CI712">
        <v>16.157399999999999</v>
      </c>
      <c r="CJ712">
        <f t="shared" si="110"/>
        <v>1255.737051132146</v>
      </c>
      <c r="CL712" s="1">
        <v>8.4799999999999997E-7</v>
      </c>
      <c r="CM712">
        <v>3.5139999999999998E-2</v>
      </c>
      <c r="CN712">
        <f t="shared" si="111"/>
        <v>2.7310458351457298</v>
      </c>
    </row>
    <row r="713" spans="4:92" x14ac:dyDescent="0.35">
      <c r="D713" s="1">
        <v>9.2792399999999997E-7</v>
      </c>
      <c r="E713">
        <v>16.5457</v>
      </c>
      <c r="F713">
        <v>0.18293300000000001</v>
      </c>
      <c r="G713">
        <v>11.6312</v>
      </c>
      <c r="I713" s="1">
        <v>9.2792399999999997E-7</v>
      </c>
      <c r="J713">
        <f t="shared" si="112"/>
        <v>2.9366050162122438E-2</v>
      </c>
      <c r="K713">
        <v>9.708693824254037E-4</v>
      </c>
      <c r="L713">
        <v>3.8239582043912854E-2</v>
      </c>
      <c r="N713" s="1">
        <v>9.2792399999999997E-7</v>
      </c>
      <c r="O713">
        <f t="shared" si="113"/>
        <v>9.708693824254037E-4</v>
      </c>
      <c r="Q713" s="1">
        <v>9.2792399999999997E-7</v>
      </c>
      <c r="R713">
        <f t="shared" si="114"/>
        <v>3.8239582043912854E-2</v>
      </c>
      <c r="CH713" s="1">
        <v>8.5898199999999998E-7</v>
      </c>
      <c r="CI713">
        <v>16.761500000000002</v>
      </c>
      <c r="CJ713">
        <f t="shared" si="110"/>
        <v>1302.6871020431176</v>
      </c>
      <c r="CL713" s="1">
        <v>8.5898199999999998E-7</v>
      </c>
      <c r="CM713">
        <v>3.1669999999999997E-2</v>
      </c>
      <c r="CN713">
        <f t="shared" si="111"/>
        <v>2.4613608878504625</v>
      </c>
    </row>
    <row r="714" spans="4:92" x14ac:dyDescent="0.35">
      <c r="D714" s="1">
        <v>9.3994099999999996E-7</v>
      </c>
      <c r="E714">
        <v>16.400400000000001</v>
      </c>
      <c r="F714">
        <v>0.238459</v>
      </c>
      <c r="G714">
        <v>11.770799999999999</v>
      </c>
      <c r="I714" s="1">
        <v>9.3994099999999996E-7</v>
      </c>
      <c r="J714">
        <f t="shared" si="112"/>
        <v>2.9108165207810663E-2</v>
      </c>
      <c r="K714">
        <v>1.265559205084809E-3</v>
      </c>
      <c r="L714">
        <v>3.8698541192868266E-2</v>
      </c>
      <c r="N714" s="1">
        <v>9.3994099999999996E-7</v>
      </c>
      <c r="O714">
        <f t="shared" si="113"/>
        <v>1.265559205084809E-3</v>
      </c>
      <c r="Q714" s="1">
        <v>9.3994099999999996E-7</v>
      </c>
      <c r="R714">
        <f t="shared" si="114"/>
        <v>3.8698541192868266E-2</v>
      </c>
      <c r="CH714" s="1">
        <v>8.70106E-7</v>
      </c>
      <c r="CI714">
        <v>16.572199999999999</v>
      </c>
      <c r="CJ714">
        <f t="shared" ref="CJ714:CJ777" si="115">CI714/$CG$9</f>
        <v>1287.9748943996033</v>
      </c>
      <c r="CL714" s="1">
        <v>8.70106E-7</v>
      </c>
      <c r="CM714">
        <v>3.7260000000000001E-2</v>
      </c>
      <c r="CN714">
        <f t="shared" ref="CN714:CN777" si="116">CM714/$CG$9</f>
        <v>2.8958101257122908</v>
      </c>
    </row>
    <row r="715" spans="4:92" x14ac:dyDescent="0.35">
      <c r="D715" s="1">
        <v>9.52113E-7</v>
      </c>
      <c r="E715">
        <v>16.428599999999999</v>
      </c>
      <c r="F715">
        <v>0.18063000000000001</v>
      </c>
      <c r="G715">
        <v>11.352499999999999</v>
      </c>
      <c r="I715" s="1">
        <v>9.52113E-7</v>
      </c>
      <c r="J715">
        <f t="shared" si="112"/>
        <v>2.9158215832116179E-2</v>
      </c>
      <c r="K715">
        <v>9.5864680810734369E-4</v>
      </c>
      <c r="L715">
        <v>3.7323307582495413E-2</v>
      </c>
      <c r="N715" s="1">
        <v>9.52113E-7</v>
      </c>
      <c r="O715">
        <f t="shared" si="113"/>
        <v>9.5864680810734369E-4</v>
      </c>
      <c r="Q715" s="1">
        <v>9.52113E-7</v>
      </c>
      <c r="R715">
        <f t="shared" si="114"/>
        <v>3.7323307582495413E-2</v>
      </c>
      <c r="CH715" s="1">
        <v>8.8137399999999996E-7</v>
      </c>
      <c r="CI715">
        <v>16.551400000000001</v>
      </c>
      <c r="CJ715">
        <f t="shared" si="115"/>
        <v>1286.3583390959316</v>
      </c>
      <c r="CL715" s="1">
        <v>8.8137399999999996E-7</v>
      </c>
      <c r="CM715">
        <v>4.0289999999999999E-2</v>
      </c>
      <c r="CN715">
        <f t="shared" si="116"/>
        <v>3.1312987108144981</v>
      </c>
    </row>
    <row r="716" spans="4:92" x14ac:dyDescent="0.35">
      <c r="D716" s="1">
        <v>9.6444299999999995E-7</v>
      </c>
      <c r="E716">
        <v>15.753399999999999</v>
      </c>
      <c r="F716">
        <v>0.222854</v>
      </c>
      <c r="G716">
        <v>11.2784</v>
      </c>
      <c r="I716" s="1">
        <v>9.6444299999999995E-7</v>
      </c>
      <c r="J716">
        <f t="shared" si="112"/>
        <v>2.795984060051733E-2</v>
      </c>
      <c r="K716">
        <v>1.1827397208323863E-3</v>
      </c>
      <c r="L716">
        <v>3.7079691014174528E-2</v>
      </c>
      <c r="N716" s="1">
        <v>9.6444299999999995E-7</v>
      </c>
      <c r="O716">
        <f t="shared" si="113"/>
        <v>1.1827397208323863E-3</v>
      </c>
      <c r="Q716" s="1">
        <v>9.6444299999999995E-7</v>
      </c>
      <c r="R716">
        <f t="shared" si="114"/>
        <v>3.7079691014174528E-2</v>
      </c>
      <c r="CH716" s="1">
        <v>8.9278800000000004E-7</v>
      </c>
      <c r="CI716">
        <v>16.1035</v>
      </c>
      <c r="CJ716">
        <f t="shared" si="115"/>
        <v>1251.5479967634963</v>
      </c>
      <c r="CL716" s="1">
        <v>8.9278800000000004E-7</v>
      </c>
      <c r="CM716">
        <v>4.471E-2</v>
      </c>
      <c r="CN716">
        <f t="shared" si="116"/>
        <v>3.4748167128447802</v>
      </c>
    </row>
    <row r="717" spans="4:92" x14ac:dyDescent="0.35">
      <c r="D717" s="1">
        <v>9.7693299999999998E-7</v>
      </c>
      <c r="E717">
        <v>15.8698</v>
      </c>
      <c r="F717">
        <v>0.21452399999999999</v>
      </c>
      <c r="G717">
        <v>11.531599999999999</v>
      </c>
      <c r="I717" s="1">
        <v>9.7693299999999998E-7</v>
      </c>
      <c r="J717">
        <f t="shared" si="112"/>
        <v>2.8166432539140116E-2</v>
      </c>
      <c r="K717">
        <v>1.1385304094691899E-3</v>
      </c>
      <c r="L717">
        <v>3.7912129814428902E-2</v>
      </c>
      <c r="N717" s="1">
        <v>9.7693299999999998E-7</v>
      </c>
      <c r="O717">
        <f t="shared" si="113"/>
        <v>1.1385304094691899E-3</v>
      </c>
      <c r="Q717" s="1">
        <v>9.7693299999999998E-7</v>
      </c>
      <c r="R717">
        <f t="shared" si="114"/>
        <v>3.7912129814428902E-2</v>
      </c>
      <c r="CH717" s="1">
        <v>9.0434999999999997E-7</v>
      </c>
      <c r="CI717">
        <v>16.7821</v>
      </c>
      <c r="CJ717">
        <f t="shared" si="115"/>
        <v>1304.2881135457926</v>
      </c>
      <c r="CL717" s="1">
        <v>9.0434999999999997E-7</v>
      </c>
      <c r="CM717">
        <v>3.6880000000000003E-2</v>
      </c>
      <c r="CN717">
        <f t="shared" si="116"/>
        <v>2.8662769038182847</v>
      </c>
    </row>
    <row r="718" spans="4:92" x14ac:dyDescent="0.35">
      <c r="D718" s="1">
        <v>9.89584E-7</v>
      </c>
      <c r="E718">
        <v>15.799200000000001</v>
      </c>
      <c r="F718">
        <v>0.22381499999999999</v>
      </c>
      <c r="G718">
        <v>11.6234</v>
      </c>
      <c r="I718" s="1">
        <v>9.89584E-7</v>
      </c>
      <c r="J718">
        <f t="shared" si="112"/>
        <v>2.8041128493892967E-2</v>
      </c>
      <c r="K718">
        <v>1.1878399787219459E-3</v>
      </c>
      <c r="L718">
        <v>3.8213938194615917E-2</v>
      </c>
      <c r="N718" s="1">
        <v>9.89584E-7</v>
      </c>
      <c r="O718">
        <f t="shared" si="113"/>
        <v>1.1878399787219459E-3</v>
      </c>
      <c r="Q718" s="1">
        <v>9.89584E-7</v>
      </c>
      <c r="R718">
        <f t="shared" si="114"/>
        <v>3.8213938194615917E-2</v>
      </c>
      <c r="CH718" s="1">
        <v>9.1606099999999999E-7</v>
      </c>
      <c r="CI718">
        <v>15.6897</v>
      </c>
      <c r="CJ718">
        <f t="shared" si="115"/>
        <v>1219.3878725010234</v>
      </c>
      <c r="CL718" s="1">
        <v>9.1606099999999999E-7</v>
      </c>
      <c r="CM718">
        <v>4.2049999999999997E-2</v>
      </c>
      <c r="CN718">
        <f t="shared" si="116"/>
        <v>3.2680841595867367</v>
      </c>
    </row>
    <row r="719" spans="4:92" x14ac:dyDescent="0.35">
      <c r="D719" s="1">
        <v>1.0023999999999999E-6</v>
      </c>
      <c r="E719">
        <v>15.804600000000001</v>
      </c>
      <c r="F719">
        <v>0.25581100000000001</v>
      </c>
      <c r="G719">
        <v>11.4125</v>
      </c>
      <c r="I719" s="1">
        <v>1.0023999999999999E-6</v>
      </c>
      <c r="J719">
        <f t="shared" si="112"/>
        <v>2.8050712655994021E-2</v>
      </c>
      <c r="K719">
        <v>1.3576504380709055E-3</v>
      </c>
      <c r="L719">
        <v>3.7520567961702618E-2</v>
      </c>
      <c r="N719" s="1">
        <v>1.0023999999999999E-6</v>
      </c>
      <c r="O719">
        <f t="shared" si="113"/>
        <v>1.3576504380709055E-3</v>
      </c>
      <c r="Q719" s="1">
        <v>1.0023999999999999E-6</v>
      </c>
      <c r="R719">
        <f t="shared" si="114"/>
        <v>3.7520567961702618E-2</v>
      </c>
      <c r="CH719" s="1">
        <v>9.2792399999999997E-7</v>
      </c>
      <c r="CI719">
        <v>16.543399999999998</v>
      </c>
      <c r="CJ719">
        <f t="shared" si="115"/>
        <v>1285.7365870560575</v>
      </c>
      <c r="CL719" s="1">
        <v>9.2792399999999997E-7</v>
      </c>
      <c r="CM719">
        <v>3.1489999999999997E-2</v>
      </c>
      <c r="CN719">
        <f t="shared" si="116"/>
        <v>2.4473714669533018</v>
      </c>
    </row>
    <row r="720" spans="4:92" x14ac:dyDescent="0.35">
      <c r="D720" s="1">
        <v>1.0153799999999999E-6</v>
      </c>
      <c r="E720">
        <v>15.6907</v>
      </c>
      <c r="F720">
        <v>0.23352700000000001</v>
      </c>
      <c r="G720">
        <v>11.257300000000001</v>
      </c>
      <c r="I720" s="1">
        <v>1.0153799999999999E-6</v>
      </c>
      <c r="J720">
        <f t="shared" si="112"/>
        <v>2.7848557829455056E-2</v>
      </c>
      <c r="K720">
        <v>1.2393838961240306E-3</v>
      </c>
      <c r="L720">
        <v>3.7010321114153331E-2</v>
      </c>
      <c r="N720" s="1">
        <v>1.0153799999999999E-6</v>
      </c>
      <c r="O720">
        <f t="shared" si="113"/>
        <v>1.2393838961240306E-3</v>
      </c>
      <c r="Q720" s="1">
        <v>1.0153799999999999E-6</v>
      </c>
      <c r="R720">
        <f t="shared" si="114"/>
        <v>3.7010321114153331E-2</v>
      </c>
      <c r="CH720" s="1">
        <v>9.3994099999999996E-7</v>
      </c>
      <c r="CI720">
        <v>16.3644</v>
      </c>
      <c r="CJ720">
        <f t="shared" si="115"/>
        <v>1271.8248851638812</v>
      </c>
      <c r="CL720" s="1">
        <v>9.3994099999999996E-7</v>
      </c>
      <c r="CM720">
        <v>3.388E-2</v>
      </c>
      <c r="CN720">
        <f t="shared" si="116"/>
        <v>2.633119888865604</v>
      </c>
    </row>
    <row r="721" spans="4:92" x14ac:dyDescent="0.35">
      <c r="D721" s="1">
        <v>1.02853E-6</v>
      </c>
      <c r="E721">
        <v>15.6394</v>
      </c>
      <c r="F721">
        <v>0.22709499999999999</v>
      </c>
      <c r="G721">
        <v>11.145899999999999</v>
      </c>
      <c r="I721" s="1">
        <v>1.02853E-6</v>
      </c>
      <c r="J721">
        <f t="shared" si="112"/>
        <v>2.7757508289495011E-2</v>
      </c>
      <c r="K721">
        <v>1.2052477267737206E-3</v>
      </c>
      <c r="L721">
        <v>3.6644074343425294E-2</v>
      </c>
      <c r="N721" s="1">
        <v>1.02853E-6</v>
      </c>
      <c r="O721">
        <f t="shared" si="113"/>
        <v>1.2052477267737206E-3</v>
      </c>
      <c r="Q721" s="1">
        <v>1.02853E-6</v>
      </c>
      <c r="R721">
        <f t="shared" si="114"/>
        <v>3.6644074343425294E-2</v>
      </c>
      <c r="CH721" s="1">
        <v>9.52113E-7</v>
      </c>
      <c r="CI721">
        <v>15.5413</v>
      </c>
      <c r="CJ721">
        <f t="shared" si="115"/>
        <v>1207.8543721613639</v>
      </c>
      <c r="CL721" s="1">
        <v>9.52113E-7</v>
      </c>
      <c r="CM721">
        <v>3.8850000000000003E-2</v>
      </c>
      <c r="CN721">
        <f t="shared" si="116"/>
        <v>3.0193833436372115</v>
      </c>
    </row>
    <row r="722" spans="4:92" x14ac:dyDescent="0.35">
      <c r="D722" s="1">
        <v>1.04185E-6</v>
      </c>
      <c r="E722">
        <v>15.6548</v>
      </c>
      <c r="F722">
        <v>0.20769899999999999</v>
      </c>
      <c r="G722">
        <v>11.0418</v>
      </c>
      <c r="I722" s="1">
        <v>1.04185E-6</v>
      </c>
      <c r="J722">
        <f t="shared" si="112"/>
        <v>2.778484089993136E-2</v>
      </c>
      <c r="K722">
        <v>1.102308494696823E-3</v>
      </c>
      <c r="L722">
        <v>3.6301827585500809E-2</v>
      </c>
      <c r="N722" s="1">
        <v>1.04185E-6</v>
      </c>
      <c r="O722">
        <f t="shared" si="113"/>
        <v>1.102308494696823E-3</v>
      </c>
      <c r="Q722" s="1">
        <v>1.04185E-6</v>
      </c>
      <c r="R722">
        <f t="shared" si="114"/>
        <v>3.6301827585500809E-2</v>
      </c>
      <c r="CH722" s="1">
        <v>9.6444299999999995E-7</v>
      </c>
      <c r="CI722">
        <v>16.369499999999999</v>
      </c>
      <c r="CJ722">
        <f t="shared" si="115"/>
        <v>1272.2212520893006</v>
      </c>
      <c r="CL722" s="1">
        <v>9.6444299999999995E-7</v>
      </c>
      <c r="CM722">
        <v>3.415E-2</v>
      </c>
      <c r="CN722">
        <f t="shared" si="116"/>
        <v>2.6541040202113453</v>
      </c>
    </row>
    <row r="723" spans="4:92" x14ac:dyDescent="0.35">
      <c r="D723" s="1">
        <v>1.0553399999999999E-6</v>
      </c>
      <c r="E723">
        <v>15.265700000000001</v>
      </c>
      <c r="F723">
        <v>0.23762900000000001</v>
      </c>
      <c r="G723">
        <v>10.9854</v>
      </c>
      <c r="I723" s="1">
        <v>1.0553399999999999E-6</v>
      </c>
      <c r="J723">
        <f t="shared" si="112"/>
        <v>2.709424877520519E-2</v>
      </c>
      <c r="K723">
        <v>1.2611541956692686E-3</v>
      </c>
      <c r="L723">
        <v>3.6116402829046039E-2</v>
      </c>
      <c r="N723" s="1">
        <v>1.0553399999999999E-6</v>
      </c>
      <c r="O723">
        <f t="shared" si="113"/>
        <v>1.2611541956692686E-3</v>
      </c>
      <c r="Q723" s="1">
        <v>1.0553399999999999E-6</v>
      </c>
      <c r="R723">
        <f t="shared" si="114"/>
        <v>3.6116402829046039E-2</v>
      </c>
      <c r="CH723" s="1">
        <v>9.7693299999999998E-7</v>
      </c>
      <c r="CI723">
        <v>16.182400000000001</v>
      </c>
      <c r="CJ723">
        <f t="shared" si="115"/>
        <v>1257.6800262567519</v>
      </c>
      <c r="CL723" s="1">
        <v>9.7693299999999998E-7</v>
      </c>
      <c r="CM723">
        <v>3.2000000000000001E-2</v>
      </c>
      <c r="CN723">
        <f t="shared" si="116"/>
        <v>2.4870081594952578</v>
      </c>
    </row>
    <row r="724" spans="4:92" x14ac:dyDescent="0.35">
      <c r="D724" s="1">
        <v>1.0690099999999999E-6</v>
      </c>
      <c r="E724">
        <v>15.5562</v>
      </c>
      <c r="F724">
        <v>0.231436</v>
      </c>
      <c r="G724">
        <v>10.9223</v>
      </c>
      <c r="I724" s="1">
        <v>1.0690099999999999E-6</v>
      </c>
      <c r="J724">
        <f t="shared" si="112"/>
        <v>2.760984119934539E-2</v>
      </c>
      <c r="K724">
        <v>1.228286456741024E-3</v>
      </c>
      <c r="L724">
        <v>3.5908950663579804E-2</v>
      </c>
      <c r="N724" s="1">
        <v>1.0690099999999999E-6</v>
      </c>
      <c r="O724">
        <f t="shared" si="113"/>
        <v>1.228286456741024E-3</v>
      </c>
      <c r="Q724" s="1">
        <v>1.0690099999999999E-6</v>
      </c>
      <c r="R724">
        <f t="shared" si="114"/>
        <v>3.5908950663579804E-2</v>
      </c>
      <c r="CH724" s="1">
        <v>9.89584E-7</v>
      </c>
      <c r="CI724">
        <v>16.085100000000001</v>
      </c>
      <c r="CJ724">
        <f t="shared" si="115"/>
        <v>1250.1179670717866</v>
      </c>
      <c r="CL724" s="1">
        <v>9.89584E-7</v>
      </c>
      <c r="CM724">
        <v>3.567E-2</v>
      </c>
      <c r="CN724">
        <f t="shared" si="116"/>
        <v>2.7722369077873701</v>
      </c>
    </row>
    <row r="725" spans="4:92" x14ac:dyDescent="0.35">
      <c r="D725" s="1">
        <v>1.0828499999999999E-6</v>
      </c>
      <c r="E725">
        <v>14.917</v>
      </c>
      <c r="F725">
        <v>0.28686200000000001</v>
      </c>
      <c r="G725">
        <v>10.8786</v>
      </c>
      <c r="I725" s="1">
        <v>1.0828499999999999E-6</v>
      </c>
      <c r="J725">
        <f t="shared" si="112"/>
        <v>2.6475360381753587E-2</v>
      </c>
      <c r="K725">
        <v>1.5224455553744603E-3</v>
      </c>
      <c r="L725">
        <v>3.5765279354057225E-2</v>
      </c>
      <c r="N725" s="1">
        <v>1.0828499999999999E-6</v>
      </c>
      <c r="O725">
        <f t="shared" si="113"/>
        <v>1.5224455553744603E-3</v>
      </c>
      <c r="Q725" s="1">
        <v>1.0828499999999999E-6</v>
      </c>
      <c r="R725">
        <f t="shared" si="114"/>
        <v>3.5765279354057225E-2</v>
      </c>
      <c r="CH725" s="1">
        <v>1.0023999999999999E-6</v>
      </c>
      <c r="CI725">
        <v>16.6693</v>
      </c>
      <c r="CJ725">
        <f t="shared" si="115"/>
        <v>1295.5214097835719</v>
      </c>
      <c r="CL725" s="1">
        <v>1.0023999999999999E-6</v>
      </c>
      <c r="CM725">
        <v>3.7199999999999997E-2</v>
      </c>
      <c r="CN725">
        <f t="shared" si="116"/>
        <v>2.8911469854132368</v>
      </c>
    </row>
    <row r="726" spans="4:92" x14ac:dyDescent="0.35">
      <c r="D726" s="1">
        <v>1.0968700000000001E-6</v>
      </c>
      <c r="E726">
        <v>15.385300000000001</v>
      </c>
      <c r="F726">
        <v>0.25819700000000001</v>
      </c>
      <c r="G726">
        <v>10.8536</v>
      </c>
      <c r="I726" s="1">
        <v>1.0968700000000001E-6</v>
      </c>
      <c r="J726">
        <f t="shared" si="112"/>
        <v>2.7306520217295269E-2</v>
      </c>
      <c r="K726">
        <v>1.3703135133305198E-3</v>
      </c>
      <c r="L726">
        <v>3.5683087529387557E-2</v>
      </c>
      <c r="N726" s="1">
        <v>1.0968700000000001E-6</v>
      </c>
      <c r="O726">
        <f t="shared" si="113"/>
        <v>1.3703135133305198E-3</v>
      </c>
      <c r="Q726" s="1">
        <v>1.0968700000000001E-6</v>
      </c>
      <c r="R726">
        <f t="shared" si="114"/>
        <v>3.5683087529387557E-2</v>
      </c>
      <c r="CH726" s="1">
        <v>1.0153799999999999E-6</v>
      </c>
      <c r="CI726">
        <v>17.158300000000001</v>
      </c>
      <c r="CJ726">
        <f t="shared" si="115"/>
        <v>1333.5260032208589</v>
      </c>
      <c r="CL726" s="1">
        <v>1.0153799999999999E-6</v>
      </c>
      <c r="CM726">
        <v>3.7490000000000002E-2</v>
      </c>
      <c r="CN726">
        <f t="shared" si="116"/>
        <v>2.9136854968586632</v>
      </c>
    </row>
    <row r="727" spans="4:92" x14ac:dyDescent="0.35">
      <c r="D727" s="1">
        <v>1.1110799999999999E-6</v>
      </c>
      <c r="E727">
        <v>15.084199999999999</v>
      </c>
      <c r="F727">
        <v>0.26654899999999998</v>
      </c>
      <c r="G727">
        <v>11.0406</v>
      </c>
      <c r="I727" s="1">
        <v>1.1110799999999999E-6</v>
      </c>
      <c r="J727">
        <f t="shared" si="112"/>
        <v>2.6772114437919655E-2</v>
      </c>
      <c r="K727">
        <v>1.4146395839794291E-3</v>
      </c>
      <c r="L727">
        <v>3.629788237791666E-2</v>
      </c>
      <c r="N727" s="1">
        <v>1.1110799999999999E-6</v>
      </c>
      <c r="O727">
        <f t="shared" si="113"/>
        <v>1.4146395839794291E-3</v>
      </c>
      <c r="Q727" s="1">
        <v>1.1110799999999999E-6</v>
      </c>
      <c r="R727">
        <f t="shared" si="114"/>
        <v>3.629788237791666E-2</v>
      </c>
      <c r="CH727" s="1">
        <v>1.02853E-6</v>
      </c>
      <c r="CI727">
        <v>15.681699999999999</v>
      </c>
      <c r="CJ727">
        <f t="shared" si="115"/>
        <v>1218.7661204611495</v>
      </c>
      <c r="CL727" s="1">
        <v>1.02853E-6</v>
      </c>
      <c r="CM727">
        <v>3.4590000000000003E-2</v>
      </c>
      <c r="CN727">
        <f t="shared" si="116"/>
        <v>2.6883003824044054</v>
      </c>
    </row>
    <row r="728" spans="4:92" x14ac:dyDescent="0.35">
      <c r="D728" s="1">
        <v>1.1254700000000001E-6</v>
      </c>
      <c r="E728">
        <v>14.7653</v>
      </c>
      <c r="F728">
        <v>0.231708</v>
      </c>
      <c r="G728">
        <v>10.7158</v>
      </c>
      <c r="I728" s="1">
        <v>1.1254700000000001E-6</v>
      </c>
      <c r="J728">
        <f t="shared" si="112"/>
        <v>2.6206116420507224E-2</v>
      </c>
      <c r="K728">
        <v>1.2297300260916588E-3</v>
      </c>
      <c r="L728">
        <v>3.5230046191808355E-2</v>
      </c>
      <c r="N728" s="1">
        <v>1.1254700000000001E-6</v>
      </c>
      <c r="O728">
        <f t="shared" si="113"/>
        <v>1.2297300260916588E-3</v>
      </c>
      <c r="Q728" s="1">
        <v>1.1254700000000001E-6</v>
      </c>
      <c r="R728">
        <f t="shared" si="114"/>
        <v>3.5230046191808355E-2</v>
      </c>
      <c r="CH728" s="1">
        <v>1.04185E-6</v>
      </c>
      <c r="CI728">
        <v>15.917</v>
      </c>
      <c r="CJ728">
        <f t="shared" si="115"/>
        <v>1237.053402333938</v>
      </c>
      <c r="CL728" s="1">
        <v>1.04185E-6</v>
      </c>
      <c r="CM728">
        <v>3.6299999999999999E-2</v>
      </c>
      <c r="CN728">
        <f t="shared" si="116"/>
        <v>2.8211998809274328</v>
      </c>
    </row>
    <row r="729" spans="4:92" x14ac:dyDescent="0.35">
      <c r="D729" s="1">
        <v>1.1400399999999999E-6</v>
      </c>
      <c r="E729">
        <v>15.319800000000001</v>
      </c>
      <c r="F729">
        <v>0.264233</v>
      </c>
      <c r="G729">
        <v>10.806900000000001</v>
      </c>
      <c r="I729" s="1">
        <v>1.1400399999999999E-6</v>
      </c>
      <c r="J729">
        <f t="shared" si="112"/>
        <v>2.7190267880699111E-2</v>
      </c>
      <c r="K729">
        <v>1.4023480155379933E-3</v>
      </c>
      <c r="L729">
        <v>3.5529553200904625E-2</v>
      </c>
      <c r="N729" s="1">
        <v>1.1400399999999999E-6</v>
      </c>
      <c r="O729">
        <f t="shared" si="113"/>
        <v>1.4023480155379933E-3</v>
      </c>
      <c r="Q729" s="1">
        <v>1.1400399999999999E-6</v>
      </c>
      <c r="R729">
        <f t="shared" si="114"/>
        <v>3.5529553200904625E-2</v>
      </c>
      <c r="CH729" s="1">
        <v>1.0553399999999999E-6</v>
      </c>
      <c r="CI729">
        <v>15.545199999999999</v>
      </c>
      <c r="CJ729">
        <f t="shared" si="115"/>
        <v>1208.1574762808025</v>
      </c>
      <c r="CL729" s="1">
        <v>1.0553399999999999E-6</v>
      </c>
      <c r="CM729">
        <v>3.3369999999999997E-2</v>
      </c>
      <c r="CN729">
        <f t="shared" si="116"/>
        <v>2.593483196323648</v>
      </c>
    </row>
    <row r="730" spans="4:92" x14ac:dyDescent="0.35">
      <c r="D730" s="1">
        <v>1.15481E-6</v>
      </c>
      <c r="E730">
        <v>14.871600000000001</v>
      </c>
      <c r="F730">
        <v>0.207589</v>
      </c>
      <c r="G730">
        <v>10.9819</v>
      </c>
      <c r="I730" s="1">
        <v>1.15481E-6</v>
      </c>
      <c r="J730">
        <f t="shared" si="112"/>
        <v>2.639478242631137E-2</v>
      </c>
      <c r="K730">
        <v>1.1017246982682576E-3</v>
      </c>
      <c r="L730">
        <v>3.6104895973592288E-2</v>
      </c>
      <c r="N730" s="1">
        <v>1.15481E-6</v>
      </c>
      <c r="O730">
        <f t="shared" si="113"/>
        <v>1.1017246982682576E-3</v>
      </c>
      <c r="Q730" s="1">
        <v>1.15481E-6</v>
      </c>
      <c r="R730">
        <f t="shared" si="114"/>
        <v>3.6104895973592288E-2</v>
      </c>
      <c r="CH730" s="1">
        <v>1.0690099999999999E-6</v>
      </c>
      <c r="CI730">
        <v>15.697900000000001</v>
      </c>
      <c r="CJ730">
        <f t="shared" si="115"/>
        <v>1220.025168341894</v>
      </c>
      <c r="CL730" s="1">
        <v>1.0690099999999999E-6</v>
      </c>
      <c r="CM730">
        <v>3.465E-2</v>
      </c>
      <c r="CN730">
        <f t="shared" si="116"/>
        <v>2.692963522703459</v>
      </c>
    </row>
    <row r="731" spans="4:92" x14ac:dyDescent="0.35">
      <c r="D731" s="1">
        <v>1.16976E-6</v>
      </c>
      <c r="E731">
        <v>15.127000000000001</v>
      </c>
      <c r="F731">
        <v>0.26611899999999999</v>
      </c>
      <c r="G731">
        <v>11.2286</v>
      </c>
      <c r="I731" s="1">
        <v>1.16976E-6</v>
      </c>
      <c r="J731">
        <f t="shared" si="112"/>
        <v>2.6848077796794701E-2</v>
      </c>
      <c r="K731">
        <v>1.4123574706677638E-3</v>
      </c>
      <c r="L731">
        <v>3.6915964899432552E-2</v>
      </c>
      <c r="N731" s="1">
        <v>1.16976E-6</v>
      </c>
      <c r="O731">
        <f t="shared" si="113"/>
        <v>1.4123574706677638E-3</v>
      </c>
      <c r="Q731" s="1">
        <v>1.16976E-6</v>
      </c>
      <c r="R731">
        <f t="shared" si="114"/>
        <v>3.6915964899432552E-2</v>
      </c>
      <c r="CH731" s="1">
        <v>1.0828499999999999E-6</v>
      </c>
      <c r="CI731">
        <v>14.7095</v>
      </c>
      <c r="CJ731">
        <f t="shared" si="115"/>
        <v>1143.2077038154841</v>
      </c>
      <c r="CL731" s="1">
        <v>1.0828499999999999E-6</v>
      </c>
      <c r="CM731">
        <v>3.5630000000000002E-2</v>
      </c>
      <c r="CN731">
        <f t="shared" si="116"/>
        <v>2.7691281475880012</v>
      </c>
    </row>
    <row r="732" spans="4:92" x14ac:dyDescent="0.35">
      <c r="D732" s="1">
        <v>1.1849099999999999E-6</v>
      </c>
      <c r="E732">
        <v>14.959899999999999</v>
      </c>
      <c r="F732">
        <v>0.21986700000000001</v>
      </c>
      <c r="G732">
        <v>11.027799999999999</v>
      </c>
      <c r="I732" s="1">
        <v>1.1849099999999999E-6</v>
      </c>
      <c r="J732">
        <f t="shared" si="112"/>
        <v>2.655150122511199E-2</v>
      </c>
      <c r="K732">
        <v>1.1668869941767E-3</v>
      </c>
      <c r="L732">
        <v>3.6255800163685792E-2</v>
      </c>
      <c r="N732" s="1">
        <v>1.1849099999999999E-6</v>
      </c>
      <c r="O732">
        <f t="shared" si="113"/>
        <v>1.1668869941767E-3</v>
      </c>
      <c r="Q732" s="1">
        <v>1.1849099999999999E-6</v>
      </c>
      <c r="R732">
        <f t="shared" si="114"/>
        <v>3.6255800163685792E-2</v>
      </c>
      <c r="CH732" s="1">
        <v>1.0968700000000001E-6</v>
      </c>
      <c r="CI732">
        <v>16.4496</v>
      </c>
      <c r="CJ732">
        <f t="shared" si="115"/>
        <v>1278.4465443885372</v>
      </c>
      <c r="CL732" s="1">
        <v>1.0968700000000001E-6</v>
      </c>
      <c r="CM732">
        <v>3.678E-2</v>
      </c>
      <c r="CN732">
        <f t="shared" si="116"/>
        <v>2.8585050033198618</v>
      </c>
    </row>
    <row r="733" spans="4:92" x14ac:dyDescent="0.35">
      <c r="D733" s="1">
        <v>1.2002500000000001E-6</v>
      </c>
      <c r="E733">
        <v>15.0358</v>
      </c>
      <c r="F733">
        <v>0.23402500000000001</v>
      </c>
      <c r="G733">
        <v>11.0252</v>
      </c>
      <c r="I733" s="1">
        <v>1.2002500000000001E-6</v>
      </c>
      <c r="J733">
        <f t="shared" si="112"/>
        <v>2.6686211947976848E-2</v>
      </c>
      <c r="K733">
        <v>1.2420269017733548E-3</v>
      </c>
      <c r="L733">
        <v>3.6247252213920146E-2</v>
      </c>
      <c r="N733" s="1">
        <v>1.2002500000000001E-6</v>
      </c>
      <c r="O733">
        <f t="shared" si="113"/>
        <v>1.2420269017733548E-3</v>
      </c>
      <c r="Q733" s="1">
        <v>1.2002500000000001E-6</v>
      </c>
      <c r="R733">
        <f t="shared" si="114"/>
        <v>3.6247252213920146E-2</v>
      </c>
      <c r="CH733" s="1">
        <v>1.1110799999999999E-6</v>
      </c>
      <c r="CI733">
        <v>14.833500000000001</v>
      </c>
      <c r="CJ733">
        <f t="shared" si="115"/>
        <v>1152.8448604335283</v>
      </c>
      <c r="CL733" s="1">
        <v>1.1110799999999999E-6</v>
      </c>
      <c r="CM733">
        <v>3.9620000000000002E-2</v>
      </c>
      <c r="CN733">
        <f t="shared" si="116"/>
        <v>3.079226977475066</v>
      </c>
    </row>
    <row r="734" spans="4:92" x14ac:dyDescent="0.35">
      <c r="D734" s="1">
        <v>1.2158000000000001E-6</v>
      </c>
      <c r="E734">
        <v>14.855</v>
      </c>
      <c r="F734">
        <v>0.25945299999999999</v>
      </c>
      <c r="G734">
        <v>10.8239</v>
      </c>
      <c r="I734" s="1">
        <v>1.2158000000000001E-6</v>
      </c>
      <c r="J734">
        <f t="shared" si="112"/>
        <v>2.6365320002074786E-2</v>
      </c>
      <c r="K734">
        <v>1.3769794070966873E-3</v>
      </c>
      <c r="L734">
        <v>3.5585443641679995E-2</v>
      </c>
      <c r="N734" s="1">
        <v>1.2158000000000001E-6</v>
      </c>
      <c r="O734">
        <f t="shared" si="113"/>
        <v>1.3769794070966873E-3</v>
      </c>
      <c r="Q734" s="1">
        <v>1.2158000000000001E-6</v>
      </c>
      <c r="R734">
        <f t="shared" si="114"/>
        <v>3.5585443641679995E-2</v>
      </c>
      <c r="CH734" s="1">
        <v>1.1254700000000001E-6</v>
      </c>
      <c r="CI734">
        <v>15.985799999999999</v>
      </c>
      <c r="CJ734">
        <f t="shared" si="115"/>
        <v>1242.4004698768529</v>
      </c>
      <c r="CL734" s="1">
        <v>1.1254700000000001E-6</v>
      </c>
      <c r="CM734">
        <v>3.4880000000000001E-2</v>
      </c>
      <c r="CN734">
        <f t="shared" si="116"/>
        <v>2.7108388938498309</v>
      </c>
    </row>
    <row r="735" spans="4:92" x14ac:dyDescent="0.35">
      <c r="D735" s="1">
        <v>1.23154E-6</v>
      </c>
      <c r="E735">
        <v>14.917299999999999</v>
      </c>
      <c r="F735">
        <v>0.28124700000000002</v>
      </c>
      <c r="G735">
        <v>10.768000000000001</v>
      </c>
      <c r="I735" s="1">
        <v>1.23154E-6</v>
      </c>
      <c r="J735">
        <f t="shared" si="112"/>
        <v>2.647589283520365E-2</v>
      </c>
      <c r="K735">
        <v>1.4926454013163154E-3</v>
      </c>
      <c r="L735">
        <v>3.540166272171863E-2</v>
      </c>
      <c r="N735" s="1">
        <v>1.23154E-6</v>
      </c>
      <c r="O735">
        <f t="shared" si="113"/>
        <v>1.4926454013163154E-3</v>
      </c>
      <c r="Q735" s="1">
        <v>1.23154E-6</v>
      </c>
      <c r="R735">
        <f t="shared" si="114"/>
        <v>3.540166272171863E-2</v>
      </c>
      <c r="CH735" s="1">
        <v>1.1400399999999999E-6</v>
      </c>
      <c r="CI735">
        <v>15.335699999999999</v>
      </c>
      <c r="CJ735">
        <f t="shared" si="115"/>
        <v>1191.8753447366068</v>
      </c>
      <c r="CL735" s="1">
        <v>1.1400399999999999E-6</v>
      </c>
      <c r="CM735">
        <v>3.567E-2</v>
      </c>
      <c r="CN735">
        <f t="shared" si="116"/>
        <v>2.7722369077873701</v>
      </c>
    </row>
    <row r="736" spans="4:92" x14ac:dyDescent="0.35">
      <c r="D736" s="1">
        <v>1.2474900000000001E-6</v>
      </c>
      <c r="E736">
        <v>14.575799999999999</v>
      </c>
      <c r="F736">
        <v>0.258102</v>
      </c>
      <c r="G736">
        <v>10.790100000000001</v>
      </c>
      <c r="I736" s="1">
        <v>1.2474900000000001E-6</v>
      </c>
      <c r="J736">
        <f t="shared" si="112"/>
        <v>2.5869783324553461E-2</v>
      </c>
      <c r="K736">
        <v>1.3698093255058493E-3</v>
      </c>
      <c r="L736">
        <v>3.5474320294726608E-2</v>
      </c>
      <c r="N736" s="1">
        <v>1.2474900000000001E-6</v>
      </c>
      <c r="O736">
        <f t="shared" si="113"/>
        <v>1.3698093255058493E-3</v>
      </c>
      <c r="Q736" s="1">
        <v>1.2474900000000001E-6</v>
      </c>
      <c r="R736">
        <f t="shared" si="114"/>
        <v>3.5474320294726608E-2</v>
      </c>
      <c r="CH736" s="1">
        <v>1.15481E-6</v>
      </c>
      <c r="CI736">
        <v>15.659800000000001</v>
      </c>
      <c r="CJ736">
        <f t="shared" si="115"/>
        <v>1217.064074251995</v>
      </c>
      <c r="CL736" s="1">
        <v>1.15481E-6</v>
      </c>
      <c r="CM736">
        <v>3.6179999999999997E-2</v>
      </c>
      <c r="CN736">
        <f t="shared" si="116"/>
        <v>2.8118736003293257</v>
      </c>
    </row>
    <row r="737" spans="4:92" x14ac:dyDescent="0.35">
      <c r="D737" s="1">
        <v>1.26365E-6</v>
      </c>
      <c r="E737">
        <v>14.8635</v>
      </c>
      <c r="F737">
        <v>0.25947399999999998</v>
      </c>
      <c r="G737">
        <v>10.806699999999999</v>
      </c>
      <c r="I737" s="1">
        <v>1.26365E-6</v>
      </c>
      <c r="J737">
        <f t="shared" si="112"/>
        <v>2.6380406183159785E-2</v>
      </c>
      <c r="K737">
        <v>1.3770908591421408E-3</v>
      </c>
      <c r="L737">
        <v>3.5528895666307264E-2</v>
      </c>
      <c r="N737" s="1">
        <v>1.26365E-6</v>
      </c>
      <c r="O737">
        <f t="shared" si="113"/>
        <v>1.3770908591421408E-3</v>
      </c>
      <c r="Q737" s="1">
        <v>1.26365E-6</v>
      </c>
      <c r="R737">
        <f t="shared" si="114"/>
        <v>3.5528895666307264E-2</v>
      </c>
      <c r="CH737" s="1">
        <v>1.16976E-6</v>
      </c>
      <c r="CI737">
        <v>15.669600000000001</v>
      </c>
      <c r="CJ737">
        <f t="shared" si="115"/>
        <v>1217.8257205008404</v>
      </c>
      <c r="CL737" s="1">
        <v>1.16976E-6</v>
      </c>
      <c r="CM737">
        <v>3.3989999999999999E-2</v>
      </c>
      <c r="CN737">
        <f t="shared" si="116"/>
        <v>2.6416689794138688</v>
      </c>
    </row>
    <row r="738" spans="4:92" x14ac:dyDescent="0.35">
      <c r="D738" s="1">
        <v>1.2800100000000001E-6</v>
      </c>
      <c r="E738">
        <v>14.7242</v>
      </c>
      <c r="F738">
        <v>0.31347900000000001</v>
      </c>
      <c r="G738">
        <v>10.768000000000001</v>
      </c>
      <c r="I738" s="1">
        <v>1.2800100000000001E-6</v>
      </c>
      <c r="J738">
        <f t="shared" si="112"/>
        <v>2.613317029784918E-2</v>
      </c>
      <c r="K738">
        <v>1.6637083693665613E-3</v>
      </c>
      <c r="L738">
        <v>3.540166272171863E-2</v>
      </c>
      <c r="N738" s="1">
        <v>1.2800100000000001E-6</v>
      </c>
      <c r="O738">
        <f t="shared" si="113"/>
        <v>1.6637083693665613E-3</v>
      </c>
      <c r="Q738" s="1">
        <v>1.2800100000000001E-6</v>
      </c>
      <c r="R738">
        <f t="shared" si="114"/>
        <v>3.540166272171863E-2</v>
      </c>
      <c r="CH738" s="1">
        <v>1.1849099999999999E-6</v>
      </c>
      <c r="CI738">
        <v>15.394</v>
      </c>
      <c r="CJ738">
        <f t="shared" si="115"/>
        <v>1196.4063627271873</v>
      </c>
      <c r="CL738" s="1">
        <v>1.1849099999999999E-6</v>
      </c>
      <c r="CM738">
        <v>3.9489999999999997E-2</v>
      </c>
      <c r="CN738">
        <f t="shared" si="116"/>
        <v>3.0691235068271161</v>
      </c>
    </row>
    <row r="739" spans="4:92" x14ac:dyDescent="0.35">
      <c r="D739" s="1">
        <v>1.2965899999999999E-6</v>
      </c>
      <c r="E739">
        <v>14.623100000000001</v>
      </c>
      <c r="F739">
        <v>0.287495</v>
      </c>
      <c r="G739">
        <v>10.6273</v>
      </c>
      <c r="I739" s="1">
        <v>1.2965899999999999E-6</v>
      </c>
      <c r="J739">
        <f t="shared" si="112"/>
        <v>2.5953733485179389E-2</v>
      </c>
      <c r="K739">
        <v>1.5258050384588425E-3</v>
      </c>
      <c r="L739">
        <v>3.4939087132477738E-2</v>
      </c>
      <c r="N739" s="1">
        <v>1.2965899999999999E-6</v>
      </c>
      <c r="O739">
        <f t="shared" si="113"/>
        <v>1.5258050384588425E-3</v>
      </c>
      <c r="Q739" s="1">
        <v>1.2965899999999999E-6</v>
      </c>
      <c r="R739">
        <f t="shared" si="114"/>
        <v>3.4939087132477738E-2</v>
      </c>
      <c r="CH739" s="1">
        <v>1.2002500000000001E-6</v>
      </c>
      <c r="CI739">
        <v>16.636099999999999</v>
      </c>
      <c r="CJ739">
        <f t="shared" si="115"/>
        <v>1292.9411388180954</v>
      </c>
      <c r="CL739" s="1">
        <v>1.2002500000000001E-6</v>
      </c>
      <c r="CM739">
        <v>3.354E-2</v>
      </c>
      <c r="CN739">
        <f t="shared" si="116"/>
        <v>2.6066954271709668</v>
      </c>
    </row>
    <row r="740" spans="4:92" x14ac:dyDescent="0.35">
      <c r="D740" s="1">
        <v>1.3133800000000001E-6</v>
      </c>
      <c r="E740">
        <v>14.601100000000001</v>
      </c>
      <c r="F740">
        <v>0.30648500000000001</v>
      </c>
      <c r="G740">
        <v>10.831300000000001</v>
      </c>
      <c r="I740" s="1">
        <v>1.3133800000000001E-6</v>
      </c>
      <c r="J740">
        <f t="shared" si="112"/>
        <v>2.591468689884175E-2</v>
      </c>
      <c r="K740">
        <v>1.6265895309903074E-3</v>
      </c>
      <c r="L740">
        <v>3.5609772421782218E-2</v>
      </c>
      <c r="N740" s="1">
        <v>1.3133800000000001E-6</v>
      </c>
      <c r="O740">
        <f t="shared" si="113"/>
        <v>1.6265895309903074E-3</v>
      </c>
      <c r="Q740" s="1">
        <v>1.3133800000000001E-6</v>
      </c>
      <c r="R740">
        <f t="shared" si="114"/>
        <v>3.5609772421782218E-2</v>
      </c>
      <c r="CH740" s="1">
        <v>1.2158000000000001E-6</v>
      </c>
      <c r="CI740">
        <v>16.171099999999999</v>
      </c>
      <c r="CJ740">
        <f t="shared" si="115"/>
        <v>1256.80180150043</v>
      </c>
      <c r="CL740" s="1">
        <v>1.2158000000000001E-6</v>
      </c>
      <c r="CM740">
        <v>3.9739999999999998E-2</v>
      </c>
      <c r="CN740">
        <f t="shared" si="116"/>
        <v>3.0885532580731732</v>
      </c>
    </row>
    <row r="741" spans="4:92" x14ac:dyDescent="0.35">
      <c r="D741" s="1">
        <v>1.3303899999999999E-6</v>
      </c>
      <c r="E741">
        <v>14.494300000000001</v>
      </c>
      <c r="F741">
        <v>0.26256099999999999</v>
      </c>
      <c r="G741">
        <v>10.6235</v>
      </c>
      <c r="I741" s="1">
        <v>1.3303899999999999E-6</v>
      </c>
      <c r="J741">
        <f t="shared" si="112"/>
        <v>2.5725133470620838E-2</v>
      </c>
      <c r="K741">
        <v>1.3934743098237958E-3</v>
      </c>
      <c r="L741">
        <v>3.4926593975127949E-2</v>
      </c>
      <c r="N741" s="1">
        <v>1.3303899999999999E-6</v>
      </c>
      <c r="O741">
        <f t="shared" si="113"/>
        <v>1.3934743098237958E-3</v>
      </c>
      <c r="Q741" s="1">
        <v>1.3303899999999999E-6</v>
      </c>
      <c r="R741">
        <f t="shared" si="114"/>
        <v>3.4926593975127949E-2</v>
      </c>
      <c r="CH741" s="1">
        <v>1.23154E-6</v>
      </c>
      <c r="CI741">
        <v>15.7112</v>
      </c>
      <c r="CJ741">
        <f t="shared" si="115"/>
        <v>1221.0588311081842</v>
      </c>
      <c r="CL741" s="1">
        <v>1.23154E-6</v>
      </c>
      <c r="CM741">
        <v>4.1660000000000003E-2</v>
      </c>
      <c r="CN741">
        <f t="shared" si="116"/>
        <v>3.2377737476428887</v>
      </c>
    </row>
    <row r="742" spans="4:92" x14ac:dyDescent="0.35">
      <c r="D742" s="1">
        <v>1.3476100000000001E-6</v>
      </c>
      <c r="E742">
        <v>14.171900000000001</v>
      </c>
      <c r="F742">
        <v>0.220747</v>
      </c>
      <c r="G742">
        <v>10.7903</v>
      </c>
      <c r="I742" s="1">
        <v>1.3476100000000001E-6</v>
      </c>
      <c r="J742">
        <f t="shared" si="112"/>
        <v>2.5152923496291058E-2</v>
      </c>
      <c r="K742">
        <v>1.1715573656052249E-3</v>
      </c>
      <c r="L742">
        <v>3.5474977829323968E-2</v>
      </c>
      <c r="N742" s="1">
        <v>1.3476100000000001E-6</v>
      </c>
      <c r="O742">
        <f t="shared" si="113"/>
        <v>1.1715573656052249E-3</v>
      </c>
      <c r="Q742" s="1">
        <v>1.3476100000000001E-6</v>
      </c>
      <c r="R742">
        <f t="shared" si="114"/>
        <v>3.5474977829323968E-2</v>
      </c>
      <c r="CH742" s="1">
        <v>1.2474900000000001E-6</v>
      </c>
      <c r="CI742">
        <v>16.243099999999998</v>
      </c>
      <c r="CJ742">
        <f t="shared" si="115"/>
        <v>1262.3975698592942</v>
      </c>
      <c r="CL742" s="1">
        <v>1.2474900000000001E-6</v>
      </c>
      <c r="CM742">
        <v>3.6990000000000002E-2</v>
      </c>
      <c r="CN742">
        <f t="shared" si="116"/>
        <v>2.8748259943665495</v>
      </c>
    </row>
    <row r="743" spans="4:92" x14ac:dyDescent="0.35">
      <c r="D743" s="1">
        <v>1.3650700000000001E-6</v>
      </c>
      <c r="E743">
        <v>14.2723</v>
      </c>
      <c r="F743">
        <v>0.33898400000000001</v>
      </c>
      <c r="G743">
        <v>10.6646</v>
      </c>
      <c r="I743" s="1">
        <v>1.3650700000000001E-6</v>
      </c>
      <c r="J743">
        <f t="shared" si="112"/>
        <v>2.5331117917577382E-2</v>
      </c>
      <c r="K743">
        <v>1.7990695321898897E-3</v>
      </c>
      <c r="L743">
        <v>3.5061717334884883E-2</v>
      </c>
      <c r="N743" s="1">
        <v>1.3650700000000001E-6</v>
      </c>
      <c r="O743">
        <f t="shared" si="113"/>
        <v>1.7990695321898897E-3</v>
      </c>
      <c r="Q743" s="1">
        <v>1.3650700000000001E-6</v>
      </c>
      <c r="R743">
        <f t="shared" si="114"/>
        <v>3.5061717334884883E-2</v>
      </c>
      <c r="CH743" s="1">
        <v>1.26365E-6</v>
      </c>
      <c r="CI743">
        <v>15.681699999999999</v>
      </c>
      <c r="CJ743">
        <f t="shared" si="115"/>
        <v>1218.7661204611495</v>
      </c>
      <c r="CL743" s="1">
        <v>1.26365E-6</v>
      </c>
      <c r="CM743">
        <v>3.832E-2</v>
      </c>
      <c r="CN743">
        <f t="shared" si="116"/>
        <v>2.9781922709955713</v>
      </c>
    </row>
    <row r="744" spans="4:92" x14ac:dyDescent="0.35">
      <c r="D744" s="1">
        <v>1.38274E-6</v>
      </c>
      <c r="E744">
        <v>14.4373</v>
      </c>
      <c r="F744">
        <v>0.26388200000000001</v>
      </c>
      <c r="G744">
        <v>10.625999999999999</v>
      </c>
      <c r="I744" s="1">
        <v>1.38274E-6</v>
      </c>
      <c r="J744">
        <f t="shared" si="112"/>
        <v>2.5623967315109682E-2</v>
      </c>
      <c r="K744">
        <v>1.4004851742068429E-3</v>
      </c>
      <c r="L744">
        <v>3.4934813157594918E-2</v>
      </c>
      <c r="N744" s="1">
        <v>1.38274E-6</v>
      </c>
      <c r="O744">
        <f t="shared" si="113"/>
        <v>1.4004851742068429E-3</v>
      </c>
      <c r="Q744" s="1">
        <v>1.38274E-6</v>
      </c>
      <c r="R744">
        <f t="shared" si="114"/>
        <v>3.4934813157594918E-2</v>
      </c>
      <c r="CH744" s="1">
        <v>1.2800100000000001E-6</v>
      </c>
      <c r="CI744">
        <v>15.765700000000001</v>
      </c>
      <c r="CJ744">
        <f t="shared" si="115"/>
        <v>1225.2945168798246</v>
      </c>
      <c r="CL744" s="1">
        <v>1.2800100000000001E-6</v>
      </c>
      <c r="CM744">
        <v>3.4299999999999997E-2</v>
      </c>
      <c r="CN744">
        <f t="shared" si="116"/>
        <v>2.665761870958979</v>
      </c>
    </row>
    <row r="745" spans="4:92" x14ac:dyDescent="0.35">
      <c r="D745" s="1">
        <v>1.4006500000000001E-6</v>
      </c>
      <c r="E745">
        <v>14.514200000000001</v>
      </c>
      <c r="F745">
        <v>0.36824200000000001</v>
      </c>
      <c r="G745">
        <v>10.318300000000001</v>
      </c>
      <c r="I745" s="1">
        <v>1.4006500000000001E-6</v>
      </c>
      <c r="J745">
        <f t="shared" si="112"/>
        <v>2.5760452882808069E-2</v>
      </c>
      <c r="K745">
        <v>1.9543487677078251E-3</v>
      </c>
      <c r="L745">
        <v>3.3923196179560668E-2</v>
      </c>
      <c r="N745" s="1">
        <v>1.4006500000000001E-6</v>
      </c>
      <c r="O745">
        <f t="shared" si="113"/>
        <v>1.9543487677078251E-3</v>
      </c>
      <c r="Q745" s="1">
        <v>1.4006500000000001E-6</v>
      </c>
      <c r="R745">
        <f t="shared" si="114"/>
        <v>3.3923196179560668E-2</v>
      </c>
      <c r="CH745" s="1">
        <v>1.2965899999999999E-6</v>
      </c>
      <c r="CI745">
        <v>15.7409</v>
      </c>
      <c r="CJ745">
        <f t="shared" si="115"/>
        <v>1223.3670855562157</v>
      </c>
      <c r="CL745" s="1">
        <v>1.2965899999999999E-6</v>
      </c>
      <c r="CM745">
        <v>3.5479999999999998E-2</v>
      </c>
      <c r="CN745">
        <f t="shared" si="116"/>
        <v>2.7574702968403666</v>
      </c>
    </row>
    <row r="746" spans="4:92" x14ac:dyDescent="0.35">
      <c r="D746" s="1">
        <v>1.41879E-6</v>
      </c>
      <c r="E746">
        <v>13.9641</v>
      </c>
      <c r="F746">
        <v>0.36710100000000001</v>
      </c>
      <c r="G746">
        <v>10.5921</v>
      </c>
      <c r="I746" s="1">
        <v>1.41879E-6</v>
      </c>
      <c r="J746">
        <f t="shared" si="112"/>
        <v>2.4784110739883708E-2</v>
      </c>
      <c r="K746">
        <v>1.9482932065715216E-3</v>
      </c>
      <c r="L746">
        <v>3.4823361043342854E-2</v>
      </c>
      <c r="N746" s="1">
        <v>1.41879E-6</v>
      </c>
      <c r="O746">
        <f t="shared" si="113"/>
        <v>1.9482932065715216E-3</v>
      </c>
      <c r="Q746" s="1">
        <v>1.41879E-6</v>
      </c>
      <c r="R746">
        <f t="shared" si="114"/>
        <v>3.4823361043342854E-2</v>
      </c>
      <c r="CH746" s="1">
        <v>1.3133800000000001E-6</v>
      </c>
      <c r="CI746">
        <v>15.9186</v>
      </c>
      <c r="CJ746">
        <f t="shared" si="115"/>
        <v>1237.1777527419129</v>
      </c>
      <c r="CL746" s="1">
        <v>1.3133800000000001E-6</v>
      </c>
      <c r="CM746">
        <v>4.0259999999999997E-2</v>
      </c>
      <c r="CN746">
        <f t="shared" si="116"/>
        <v>3.1289671406649711</v>
      </c>
    </row>
    <row r="747" spans="4:92" x14ac:dyDescent="0.35">
      <c r="D747" s="1">
        <v>1.4371599999999999E-6</v>
      </c>
      <c r="E747">
        <v>14.399800000000001</v>
      </c>
      <c r="F747">
        <v>0.24976200000000001</v>
      </c>
      <c r="G747">
        <v>10.455500000000001</v>
      </c>
      <c r="I747" s="1">
        <v>1.4371599999999999E-6</v>
      </c>
      <c r="J747">
        <f t="shared" si="112"/>
        <v>2.5557410633852341E-2</v>
      </c>
      <c r="K747">
        <v>1.3255469417400561E-3</v>
      </c>
      <c r="L747">
        <v>3.4374264913347795E-2</v>
      </c>
      <c r="N747" s="1">
        <v>1.4371599999999999E-6</v>
      </c>
      <c r="O747">
        <f t="shared" si="113"/>
        <v>1.3255469417400561E-3</v>
      </c>
      <c r="Q747" s="1">
        <v>1.4371599999999999E-6</v>
      </c>
      <c r="R747">
        <f t="shared" si="114"/>
        <v>3.4374264913347795E-2</v>
      </c>
      <c r="CH747" s="1">
        <v>1.3303899999999999E-6</v>
      </c>
      <c r="CI747">
        <v>15.925700000000001</v>
      </c>
      <c r="CJ747">
        <f t="shared" si="115"/>
        <v>1237.7295576773008</v>
      </c>
      <c r="CL747" s="1">
        <v>1.3303899999999999E-6</v>
      </c>
      <c r="CM747">
        <v>3.805E-2</v>
      </c>
      <c r="CN747">
        <f t="shared" si="116"/>
        <v>2.95720813964983</v>
      </c>
    </row>
    <row r="748" spans="4:92" x14ac:dyDescent="0.35">
      <c r="D748" s="1">
        <v>1.4557699999999999E-6</v>
      </c>
      <c r="E748">
        <v>14.266299999999999</v>
      </c>
      <c r="F748">
        <v>0.26433800000000002</v>
      </c>
      <c r="G748">
        <v>10.228199999999999</v>
      </c>
      <c r="I748" s="1">
        <v>1.4557699999999999E-6</v>
      </c>
      <c r="J748">
        <f t="shared" si="112"/>
        <v>2.5320468848576205E-2</v>
      </c>
      <c r="K748">
        <v>1.4029052757652603E-3</v>
      </c>
      <c r="L748">
        <v>3.3626976843451187E-2</v>
      </c>
      <c r="N748" s="1">
        <v>1.4557699999999999E-6</v>
      </c>
      <c r="O748">
        <f t="shared" si="113"/>
        <v>1.4029052757652603E-3</v>
      </c>
      <c r="Q748" s="1">
        <v>1.4557699999999999E-6</v>
      </c>
      <c r="R748">
        <f t="shared" si="114"/>
        <v>3.3626976843451187E-2</v>
      </c>
      <c r="CH748" s="1">
        <v>1.3476100000000001E-6</v>
      </c>
      <c r="CI748">
        <v>15.914199999999999</v>
      </c>
      <c r="CJ748">
        <f t="shared" si="115"/>
        <v>1236.8357891199821</v>
      </c>
      <c r="CL748" s="1">
        <v>1.3476100000000001E-6</v>
      </c>
      <c r="CM748">
        <v>3.4680000000000002E-2</v>
      </c>
      <c r="CN748">
        <f t="shared" si="116"/>
        <v>2.695295092852986</v>
      </c>
    </row>
    <row r="749" spans="4:92" x14ac:dyDescent="0.35">
      <c r="D749" s="1">
        <v>1.47463E-6</v>
      </c>
      <c r="E749">
        <v>14.2464</v>
      </c>
      <c r="F749">
        <v>0.28574899999999998</v>
      </c>
      <c r="G749">
        <v>10.680899999999999</v>
      </c>
      <c r="I749" s="1">
        <v>1.47463E-6</v>
      </c>
      <c r="J749">
        <f t="shared" si="112"/>
        <v>2.5285149436388973E-2</v>
      </c>
      <c r="K749">
        <v>1.5165385969654283E-3</v>
      </c>
      <c r="L749">
        <v>3.5115306404569502E-2</v>
      </c>
      <c r="N749" s="1">
        <v>1.47463E-6</v>
      </c>
      <c r="O749">
        <f t="shared" si="113"/>
        <v>1.5165385969654283E-3</v>
      </c>
      <c r="Q749" s="1">
        <v>1.47463E-6</v>
      </c>
      <c r="R749">
        <f t="shared" si="114"/>
        <v>3.5115306404569502E-2</v>
      </c>
      <c r="CH749" s="1">
        <v>1.3650700000000001E-6</v>
      </c>
      <c r="CI749">
        <v>15.432399999999999</v>
      </c>
      <c r="CJ749">
        <f t="shared" si="115"/>
        <v>1199.3907725185816</v>
      </c>
      <c r="CL749" s="1">
        <v>1.3650700000000001E-6</v>
      </c>
      <c r="CM749">
        <v>3.6639999999999999E-2</v>
      </c>
      <c r="CN749">
        <f t="shared" si="116"/>
        <v>2.84762434262207</v>
      </c>
    </row>
    <row r="750" spans="4:92" x14ac:dyDescent="0.35">
      <c r="D750" s="1">
        <v>1.4937199999999999E-6</v>
      </c>
      <c r="E750">
        <v>14.1837</v>
      </c>
      <c r="F750">
        <v>0.31522099999999997</v>
      </c>
      <c r="G750">
        <v>10.527200000000001</v>
      </c>
      <c r="I750" s="1">
        <v>1.4937199999999999E-6</v>
      </c>
      <c r="J750">
        <f t="shared" si="112"/>
        <v>2.5173866665326703E-2</v>
      </c>
      <c r="K750">
        <v>1.6729535818989366E-3</v>
      </c>
      <c r="L750">
        <v>3.4609991066500395E-2</v>
      </c>
      <c r="N750" s="1">
        <v>1.4937199999999999E-6</v>
      </c>
      <c r="O750">
        <f t="shared" si="113"/>
        <v>1.6729535818989366E-3</v>
      </c>
      <c r="Q750" s="1">
        <v>1.4937199999999999E-6</v>
      </c>
      <c r="R750">
        <f t="shared" si="114"/>
        <v>3.4609991066500395E-2</v>
      </c>
      <c r="CH750" s="1">
        <v>1.38274E-6</v>
      </c>
      <c r="CI750">
        <v>16.483799999999999</v>
      </c>
      <c r="CJ750">
        <f t="shared" si="115"/>
        <v>1281.1045343589976</v>
      </c>
      <c r="CL750" s="1">
        <v>1.38274E-6</v>
      </c>
      <c r="CM750">
        <v>3.0179999999999998E-2</v>
      </c>
      <c r="CN750">
        <f t="shared" si="116"/>
        <v>2.3455595704239647</v>
      </c>
    </row>
    <row r="751" spans="4:92" x14ac:dyDescent="0.35">
      <c r="D751" s="1">
        <v>1.51307E-6</v>
      </c>
      <c r="E751">
        <v>14.288399999999999</v>
      </c>
      <c r="F751">
        <v>0.29102600000000001</v>
      </c>
      <c r="G751">
        <v>10.6113</v>
      </c>
      <c r="I751" s="1">
        <v>1.51307E-6</v>
      </c>
      <c r="J751">
        <f t="shared" si="112"/>
        <v>2.5359692919397197E-2</v>
      </c>
      <c r="K751">
        <v>1.544544903815799E-3</v>
      </c>
      <c r="L751">
        <v>3.4886484364689156E-2</v>
      </c>
      <c r="N751" s="1">
        <v>1.51307E-6</v>
      </c>
      <c r="O751">
        <f t="shared" si="113"/>
        <v>1.544544903815799E-3</v>
      </c>
      <c r="Q751" s="1">
        <v>1.51307E-6</v>
      </c>
      <c r="R751">
        <f t="shared" si="114"/>
        <v>3.4886484364689156E-2</v>
      </c>
      <c r="CH751" s="1">
        <v>1.4006500000000001E-6</v>
      </c>
      <c r="CI751">
        <v>15.1868</v>
      </c>
      <c r="CJ751">
        <f t="shared" si="115"/>
        <v>1180.3029848944557</v>
      </c>
      <c r="CL751" s="1">
        <v>1.4006500000000001E-6</v>
      </c>
      <c r="CM751">
        <v>3.2870000000000003E-2</v>
      </c>
      <c r="CN751">
        <f t="shared" si="116"/>
        <v>2.5546236938315352</v>
      </c>
    </row>
    <row r="752" spans="4:92" x14ac:dyDescent="0.35">
      <c r="D752" s="1">
        <v>1.5326599999999999E-6</v>
      </c>
      <c r="E752">
        <v>14.1142</v>
      </c>
      <c r="F752">
        <v>0.296352</v>
      </c>
      <c r="G752">
        <v>10.355399999999999</v>
      </c>
      <c r="I752" s="1">
        <v>1.5326599999999999E-6</v>
      </c>
      <c r="J752">
        <f t="shared" si="112"/>
        <v>2.5050514949396429E-2</v>
      </c>
      <c r="K752">
        <v>1.5728112654388943E-3</v>
      </c>
      <c r="L752">
        <v>3.4045168847370452E-2</v>
      </c>
      <c r="N752" s="1">
        <v>1.5326599999999999E-6</v>
      </c>
      <c r="O752">
        <f t="shared" si="113"/>
        <v>1.5728112654388943E-3</v>
      </c>
      <c r="Q752" s="1">
        <v>1.5326599999999999E-6</v>
      </c>
      <c r="R752">
        <f t="shared" si="114"/>
        <v>3.4045168847370452E-2</v>
      </c>
      <c r="CH752" s="1">
        <v>1.41879E-6</v>
      </c>
      <c r="CI752">
        <v>15.085699999999999</v>
      </c>
      <c r="CJ752">
        <f t="shared" si="115"/>
        <v>1172.4455934905502</v>
      </c>
      <c r="CL752" s="1">
        <v>1.41879E-6</v>
      </c>
      <c r="CM752">
        <v>3.6220000000000002E-2</v>
      </c>
      <c r="CN752">
        <f t="shared" si="116"/>
        <v>2.814982360528695</v>
      </c>
    </row>
    <row r="753" spans="4:92" x14ac:dyDescent="0.35">
      <c r="D753" s="1">
        <v>1.55251E-6</v>
      </c>
      <c r="E753">
        <v>14.3893</v>
      </c>
      <c r="F753">
        <v>0.258052</v>
      </c>
      <c r="G753">
        <v>10.780799999999999</v>
      </c>
      <c r="I753" s="1">
        <v>1.55251E-6</v>
      </c>
      <c r="J753">
        <f t="shared" si="112"/>
        <v>2.5538774763100288E-2</v>
      </c>
      <c r="K753">
        <v>1.3695439634928651E-3</v>
      </c>
      <c r="L753">
        <v>3.5443744935949484E-2</v>
      </c>
      <c r="N753" s="1">
        <v>1.55251E-6</v>
      </c>
      <c r="O753">
        <f t="shared" si="113"/>
        <v>1.3695439634928651E-3</v>
      </c>
      <c r="Q753" s="1">
        <v>1.55251E-6</v>
      </c>
      <c r="R753">
        <f t="shared" si="114"/>
        <v>3.5443744935949484E-2</v>
      </c>
      <c r="CH753" s="1">
        <v>1.4371599999999999E-6</v>
      </c>
      <c r="CI753">
        <v>16.020600000000002</v>
      </c>
      <c r="CJ753">
        <f t="shared" si="115"/>
        <v>1245.105091250304</v>
      </c>
      <c r="CL753" s="1">
        <v>1.4371599999999999E-6</v>
      </c>
      <c r="CM753">
        <v>4.4429999999999997E-2</v>
      </c>
      <c r="CN753">
        <f t="shared" si="116"/>
        <v>3.4530553914491966</v>
      </c>
    </row>
    <row r="754" spans="4:92" x14ac:dyDescent="0.35">
      <c r="D754" s="1">
        <v>1.5726100000000001E-6</v>
      </c>
      <c r="E754">
        <v>14.168900000000001</v>
      </c>
      <c r="F754">
        <v>0.29958000000000001</v>
      </c>
      <c r="G754">
        <v>10.5168</v>
      </c>
      <c r="I754" s="1">
        <v>1.5726100000000001E-6</v>
      </c>
      <c r="J754">
        <f t="shared" si="112"/>
        <v>2.514759896179047E-2</v>
      </c>
      <c r="K754">
        <v>1.5899430369971654E-3</v>
      </c>
      <c r="L754">
        <v>3.4575799267437812E-2</v>
      </c>
      <c r="N754" s="1">
        <v>1.5726100000000001E-6</v>
      </c>
      <c r="O754">
        <f t="shared" si="113"/>
        <v>1.5899430369971654E-3</v>
      </c>
      <c r="Q754" s="1">
        <v>1.5726100000000001E-6</v>
      </c>
      <c r="R754">
        <f t="shared" si="114"/>
        <v>3.4575799267437812E-2</v>
      </c>
      <c r="CH754" s="1">
        <v>1.4557699999999999E-6</v>
      </c>
      <c r="CI754">
        <v>15.648300000000001</v>
      </c>
      <c r="CJ754">
        <f t="shared" si="115"/>
        <v>1216.1703056946762</v>
      </c>
      <c r="CL754" s="1">
        <v>1.4557699999999999E-6</v>
      </c>
      <c r="CM754">
        <v>3.7620000000000001E-2</v>
      </c>
      <c r="CN754">
        <f t="shared" si="116"/>
        <v>2.9237889675066122</v>
      </c>
    </row>
    <row r="755" spans="4:92" x14ac:dyDescent="0.35">
      <c r="D755" s="1">
        <v>1.5929799999999999E-6</v>
      </c>
      <c r="E755">
        <v>14.2469</v>
      </c>
      <c r="F755">
        <v>0.30405399999999999</v>
      </c>
      <c r="G755">
        <v>10.5413</v>
      </c>
      <c r="I755" s="1">
        <v>1.5929799999999999E-6</v>
      </c>
      <c r="J755">
        <f t="shared" si="112"/>
        <v>2.5286036858805743E-2</v>
      </c>
      <c r="K755">
        <v>1.6136876299190071E-3</v>
      </c>
      <c r="L755">
        <v>3.4656347255614089E-2</v>
      </c>
      <c r="N755" s="1">
        <v>1.5929799999999999E-6</v>
      </c>
      <c r="O755">
        <f t="shared" si="113"/>
        <v>1.6136876299190071E-3</v>
      </c>
      <c r="Q755" s="1">
        <v>1.5929799999999999E-6</v>
      </c>
      <c r="R755">
        <f t="shared" si="114"/>
        <v>3.4656347255614089E-2</v>
      </c>
      <c r="CH755" s="1">
        <v>1.47463E-6</v>
      </c>
      <c r="CI755">
        <v>15.7691</v>
      </c>
      <c r="CJ755">
        <f t="shared" si="115"/>
        <v>1225.5587614967708</v>
      </c>
      <c r="CL755" s="1">
        <v>1.47463E-6</v>
      </c>
      <c r="CM755">
        <v>3.1719999999999998E-2</v>
      </c>
      <c r="CN755">
        <f t="shared" si="116"/>
        <v>2.4652468380996742</v>
      </c>
    </row>
    <row r="756" spans="4:92" x14ac:dyDescent="0.35">
      <c r="D756" s="1">
        <v>1.61361E-6</v>
      </c>
      <c r="E756">
        <v>13.868</v>
      </c>
      <c r="F756">
        <v>0.26016499999999998</v>
      </c>
      <c r="G756">
        <v>10.5283</v>
      </c>
      <c r="I756" s="1">
        <v>1.61361E-6</v>
      </c>
      <c r="J756">
        <f t="shared" si="112"/>
        <v>2.4613548151381566E-2</v>
      </c>
      <c r="K756">
        <v>1.3807581621615847E-3</v>
      </c>
      <c r="L756">
        <v>3.4613607506785861E-2</v>
      </c>
      <c r="N756" s="1">
        <v>1.61361E-6</v>
      </c>
      <c r="O756">
        <f t="shared" si="113"/>
        <v>1.3807581621615847E-3</v>
      </c>
      <c r="Q756" s="1">
        <v>1.61361E-6</v>
      </c>
      <c r="R756">
        <f t="shared" si="114"/>
        <v>3.4613607506785861E-2</v>
      </c>
      <c r="CH756" s="1">
        <v>1.4937199999999999E-6</v>
      </c>
      <c r="CI756">
        <v>15.6191</v>
      </c>
      <c r="CJ756">
        <f t="shared" si="115"/>
        <v>1213.9009107491368</v>
      </c>
      <c r="CL756" s="1">
        <v>1.4937199999999999E-6</v>
      </c>
      <c r="CM756">
        <v>3.8300000000000001E-2</v>
      </c>
      <c r="CN756">
        <f t="shared" si="116"/>
        <v>2.9766378908958866</v>
      </c>
    </row>
    <row r="757" spans="4:92" x14ac:dyDescent="0.35">
      <c r="D757" s="1">
        <v>1.63451E-6</v>
      </c>
      <c r="E757">
        <v>14.0664</v>
      </c>
      <c r="F757">
        <v>0.27764299999999997</v>
      </c>
      <c r="G757">
        <v>10.005599999999999</v>
      </c>
      <c r="I757" s="1">
        <v>1.63451E-6</v>
      </c>
      <c r="J757">
        <f t="shared" si="112"/>
        <v>2.4965677366353738E-2</v>
      </c>
      <c r="K757">
        <v>1.4735181074204018E-3</v>
      </c>
      <c r="L757">
        <v>3.2895140836592479E-2</v>
      </c>
      <c r="N757" s="1">
        <v>1.63451E-6</v>
      </c>
      <c r="O757">
        <f t="shared" si="113"/>
        <v>1.4735181074204018E-3</v>
      </c>
      <c r="Q757" s="1">
        <v>1.63451E-6</v>
      </c>
      <c r="R757">
        <f t="shared" si="114"/>
        <v>3.2895140836592479E-2</v>
      </c>
      <c r="CH757" s="1">
        <v>1.51307E-6</v>
      </c>
      <c r="CI757">
        <v>15.5343</v>
      </c>
      <c r="CJ757">
        <f t="shared" si="115"/>
        <v>1207.3103391264744</v>
      </c>
      <c r="CL757" s="1">
        <v>1.51307E-6</v>
      </c>
      <c r="CM757">
        <v>3.4950000000000002E-2</v>
      </c>
      <c r="CN757">
        <f t="shared" si="116"/>
        <v>2.7162792241987268</v>
      </c>
    </row>
    <row r="758" spans="4:92" x14ac:dyDescent="0.35">
      <c r="D758" s="1">
        <v>1.6556699999999999E-6</v>
      </c>
      <c r="E758">
        <v>14.2454</v>
      </c>
      <c r="F758">
        <v>0.30072300000000002</v>
      </c>
      <c r="G758">
        <v>10.516</v>
      </c>
      <c r="I758" s="1">
        <v>1.6556699999999999E-6</v>
      </c>
      <c r="J758">
        <f t="shared" si="112"/>
        <v>2.5283374591555448E-2</v>
      </c>
      <c r="K758">
        <v>1.5960092126139883E-3</v>
      </c>
      <c r="L758">
        <v>3.4573169129048391E-2</v>
      </c>
      <c r="N758" s="1">
        <v>1.6556699999999999E-6</v>
      </c>
      <c r="O758">
        <f t="shared" si="113"/>
        <v>1.5960092126139883E-3</v>
      </c>
      <c r="Q758" s="1">
        <v>1.6556699999999999E-6</v>
      </c>
      <c r="R758">
        <f t="shared" si="114"/>
        <v>3.4573169129048391E-2</v>
      </c>
      <c r="CH758" s="1">
        <v>1.5326599999999999E-6</v>
      </c>
      <c r="CI758">
        <v>15.799200000000001</v>
      </c>
      <c r="CJ758">
        <f t="shared" si="115"/>
        <v>1227.8981035467962</v>
      </c>
      <c r="CL758" s="1">
        <v>1.5326599999999999E-6</v>
      </c>
      <c r="CM758">
        <v>3.143E-2</v>
      </c>
      <c r="CN758">
        <f t="shared" si="116"/>
        <v>2.4427083266542482</v>
      </c>
    </row>
    <row r="759" spans="4:92" x14ac:dyDescent="0.35">
      <c r="D759" s="1">
        <v>1.6771100000000001E-6</v>
      </c>
      <c r="E759">
        <v>14.105</v>
      </c>
      <c r="F759">
        <v>0.27998099999999998</v>
      </c>
      <c r="G759">
        <v>10.4185</v>
      </c>
      <c r="I759" s="1">
        <v>1.6771100000000001E-6</v>
      </c>
      <c r="J759">
        <f t="shared" si="112"/>
        <v>2.5034186376927961E-2</v>
      </c>
      <c r="K759">
        <v>1.4859264351475508E-3</v>
      </c>
      <c r="L759">
        <v>3.4252621012836687E-2</v>
      </c>
      <c r="N759" s="1">
        <v>1.6771100000000001E-6</v>
      </c>
      <c r="O759">
        <f t="shared" si="113"/>
        <v>1.4859264351475508E-3</v>
      </c>
      <c r="Q759" s="1">
        <v>1.6771100000000001E-6</v>
      </c>
      <c r="R759">
        <f t="shared" si="114"/>
        <v>3.4252621012836687E-2</v>
      </c>
      <c r="CH759" s="1">
        <v>1.55251E-6</v>
      </c>
      <c r="CI759">
        <v>15.4594</v>
      </c>
      <c r="CJ759">
        <f t="shared" si="115"/>
        <v>1201.4891856531558</v>
      </c>
      <c r="CL759" s="1">
        <v>1.55251E-6</v>
      </c>
      <c r="CM759">
        <v>3.7190000000000001E-2</v>
      </c>
      <c r="CN759">
        <f t="shared" si="116"/>
        <v>2.8903697953633949</v>
      </c>
    </row>
    <row r="760" spans="4:92" x14ac:dyDescent="0.35">
      <c r="D760" s="1">
        <v>1.6988299999999999E-6</v>
      </c>
      <c r="E760">
        <v>14.266400000000001</v>
      </c>
      <c r="F760">
        <v>0.28248600000000001</v>
      </c>
      <c r="G760">
        <v>10.377800000000001</v>
      </c>
      <c r="I760" s="1">
        <v>1.6988299999999999E-6</v>
      </c>
      <c r="J760">
        <f t="shared" si="112"/>
        <v>2.5320646333059558E-2</v>
      </c>
      <c r="K760">
        <v>1.4992210719980683E-3</v>
      </c>
      <c r="L760">
        <v>3.4118812722274475E-2</v>
      </c>
      <c r="N760" s="1">
        <v>1.6988299999999999E-6</v>
      </c>
      <c r="O760">
        <f t="shared" si="113"/>
        <v>1.4992210719980683E-3</v>
      </c>
      <c r="Q760" s="1">
        <v>1.6988299999999999E-6</v>
      </c>
      <c r="R760">
        <f t="shared" si="114"/>
        <v>3.4118812722274475E-2</v>
      </c>
      <c r="CH760" s="1">
        <v>1.5726100000000001E-6</v>
      </c>
      <c r="CI760">
        <v>15.4339</v>
      </c>
      <c r="CJ760">
        <f t="shared" si="115"/>
        <v>1199.5073510260581</v>
      </c>
      <c r="CL760" s="1">
        <v>1.5726100000000001E-6</v>
      </c>
      <c r="CM760">
        <v>3.4750000000000003E-2</v>
      </c>
      <c r="CN760">
        <f t="shared" si="116"/>
        <v>2.7007354232018819</v>
      </c>
    </row>
    <row r="761" spans="4:92" x14ac:dyDescent="0.35">
      <c r="D761" s="1">
        <v>1.7208300000000001E-6</v>
      </c>
      <c r="E761">
        <v>14.1386</v>
      </c>
      <c r="F761">
        <v>0.27599499999999999</v>
      </c>
      <c r="G761">
        <v>10.263299999999999</v>
      </c>
      <c r="I761" s="1">
        <v>1.7208300000000001E-6</v>
      </c>
      <c r="J761">
        <f t="shared" si="112"/>
        <v>2.5093821163334543E-2</v>
      </c>
      <c r="K761">
        <v>1.464771775472437E-3</v>
      </c>
      <c r="L761">
        <v>3.37423741652874E-2</v>
      </c>
      <c r="N761" s="1">
        <v>1.7208300000000001E-6</v>
      </c>
      <c r="O761">
        <f t="shared" si="113"/>
        <v>1.464771775472437E-3</v>
      </c>
      <c r="Q761" s="1">
        <v>1.7208300000000001E-6</v>
      </c>
      <c r="R761">
        <f t="shared" si="114"/>
        <v>3.37423741652874E-2</v>
      </c>
      <c r="CH761" s="1">
        <v>1.5929799999999999E-6</v>
      </c>
      <c r="CI761">
        <v>15.666</v>
      </c>
      <c r="CJ761">
        <f t="shared" si="115"/>
        <v>1217.545932082897</v>
      </c>
      <c r="CL761" s="1">
        <v>1.5929799999999999E-6</v>
      </c>
      <c r="CM761">
        <v>4.308E-2</v>
      </c>
      <c r="CN761">
        <f t="shared" si="116"/>
        <v>3.3481347347204906</v>
      </c>
    </row>
    <row r="762" spans="4:92" x14ac:dyDescent="0.35">
      <c r="D762" s="1">
        <v>1.74312E-6</v>
      </c>
      <c r="E762">
        <v>14.1549</v>
      </c>
      <c r="F762">
        <v>0.26078800000000002</v>
      </c>
      <c r="G762">
        <v>10.222</v>
      </c>
      <c r="I762" s="1">
        <v>1.74312E-6</v>
      </c>
      <c r="J762">
        <f t="shared" si="112"/>
        <v>2.5122751134121064E-2</v>
      </c>
      <c r="K762">
        <v>1.3840645728433701E-3</v>
      </c>
      <c r="L762">
        <v>3.3606593270933113E-2</v>
      </c>
      <c r="N762" s="1">
        <v>1.74312E-6</v>
      </c>
      <c r="O762">
        <f t="shared" si="113"/>
        <v>1.3840645728433701E-3</v>
      </c>
      <c r="Q762" s="1">
        <v>1.74312E-6</v>
      </c>
      <c r="R762">
        <f t="shared" si="114"/>
        <v>3.3606593270933113E-2</v>
      </c>
      <c r="CH762" s="1">
        <v>1.61361E-6</v>
      </c>
      <c r="CI762">
        <v>16.052399999999999</v>
      </c>
      <c r="CJ762">
        <f t="shared" si="115"/>
        <v>1247.5765556088022</v>
      </c>
      <c r="CL762" s="1">
        <v>1.61361E-6</v>
      </c>
      <c r="CM762">
        <v>4.3159999999999997E-2</v>
      </c>
      <c r="CN762">
        <f t="shared" si="116"/>
        <v>3.3543522551192284</v>
      </c>
    </row>
    <row r="763" spans="4:92" x14ac:dyDescent="0.35">
      <c r="D763" s="1">
        <v>1.76569E-6</v>
      </c>
      <c r="E763">
        <v>13.664199999999999</v>
      </c>
      <c r="F763">
        <v>0.25379800000000002</v>
      </c>
      <c r="G763">
        <v>10.1494</v>
      </c>
      <c r="I763" s="1">
        <v>1.76569E-6</v>
      </c>
      <c r="J763">
        <f t="shared" si="112"/>
        <v>2.4251834774308333E-2</v>
      </c>
      <c r="K763">
        <v>1.346966963428155E-3</v>
      </c>
      <c r="L763">
        <v>3.3367908212092401E-2</v>
      </c>
      <c r="N763" s="1">
        <v>1.76569E-6</v>
      </c>
      <c r="O763">
        <f t="shared" si="113"/>
        <v>1.346966963428155E-3</v>
      </c>
      <c r="Q763" s="1">
        <v>1.76569E-6</v>
      </c>
      <c r="R763">
        <f t="shared" si="114"/>
        <v>3.3367908212092401E-2</v>
      </c>
      <c r="CH763" s="1">
        <v>1.63451E-6</v>
      </c>
      <c r="CI763">
        <v>15.5563</v>
      </c>
      <c r="CJ763">
        <f t="shared" si="115"/>
        <v>1209.0201572361275</v>
      </c>
      <c r="CL763" s="1">
        <v>1.63451E-6</v>
      </c>
      <c r="CM763">
        <v>4.061E-2</v>
      </c>
      <c r="CN763">
        <f t="shared" si="116"/>
        <v>3.1561687924094506</v>
      </c>
    </row>
    <row r="764" spans="4:92" x14ac:dyDescent="0.35">
      <c r="D764" s="1">
        <v>1.7885600000000001E-6</v>
      </c>
      <c r="E764">
        <v>13.816700000000001</v>
      </c>
      <c r="F764">
        <v>0.31047599999999997</v>
      </c>
      <c r="G764">
        <v>10.419700000000001</v>
      </c>
      <c r="I764" s="1">
        <v>1.7885600000000001E-6</v>
      </c>
      <c r="J764">
        <f t="shared" si="112"/>
        <v>2.4522498611421525E-2</v>
      </c>
      <c r="K764">
        <v>1.6477707268667196E-3</v>
      </c>
      <c r="L764">
        <v>3.4256566220420837E-2</v>
      </c>
      <c r="N764" s="1">
        <v>1.7885600000000001E-6</v>
      </c>
      <c r="O764">
        <f t="shared" si="113"/>
        <v>1.6477707268667196E-3</v>
      </c>
      <c r="Q764" s="1">
        <v>1.7885600000000001E-6</v>
      </c>
      <c r="R764">
        <f t="shared" si="114"/>
        <v>3.4256566220420837E-2</v>
      </c>
      <c r="CH764" s="1">
        <v>1.6556699999999999E-6</v>
      </c>
      <c r="CI764">
        <v>15.586499999999999</v>
      </c>
      <c r="CJ764">
        <f t="shared" si="115"/>
        <v>1211.3672711866509</v>
      </c>
      <c r="CL764" s="1">
        <v>1.6556699999999999E-6</v>
      </c>
      <c r="CM764">
        <v>3.764E-2</v>
      </c>
      <c r="CN764">
        <f t="shared" si="116"/>
        <v>2.9253433476062969</v>
      </c>
    </row>
    <row r="765" spans="4:92" x14ac:dyDescent="0.35">
      <c r="D765" s="1">
        <v>1.8117200000000001E-6</v>
      </c>
      <c r="E765">
        <v>14.0311</v>
      </c>
      <c r="F765">
        <v>0.31948599999999999</v>
      </c>
      <c r="G765">
        <v>10.289</v>
      </c>
      <c r="I765" s="1">
        <v>1.8117200000000001E-6</v>
      </c>
      <c r="J765">
        <f t="shared" si="112"/>
        <v>2.4903025343730161E-2</v>
      </c>
      <c r="K765">
        <v>1.6955889616065037E-3</v>
      </c>
      <c r="L765">
        <v>3.382686736104782E-2</v>
      </c>
      <c r="N765" s="1">
        <v>1.8117200000000001E-6</v>
      </c>
      <c r="O765">
        <f t="shared" si="113"/>
        <v>1.6955889616065037E-3</v>
      </c>
      <c r="Q765" s="1">
        <v>1.8117200000000001E-6</v>
      </c>
      <c r="R765">
        <f t="shared" si="114"/>
        <v>3.382686736104782E-2</v>
      </c>
      <c r="CH765" s="1">
        <v>1.6771100000000001E-6</v>
      </c>
      <c r="CI765">
        <v>15.7258</v>
      </c>
      <c r="CJ765">
        <f t="shared" si="115"/>
        <v>1222.1935285809539</v>
      </c>
      <c r="CL765" s="1">
        <v>1.6771100000000001E-6</v>
      </c>
      <c r="CM765">
        <v>3.789E-2</v>
      </c>
      <c r="CN765">
        <f t="shared" si="116"/>
        <v>2.9447730988523535</v>
      </c>
    </row>
    <row r="766" spans="4:92" x14ac:dyDescent="0.35">
      <c r="D766" s="1">
        <v>1.8351800000000001E-6</v>
      </c>
      <c r="E766">
        <v>13.8782</v>
      </c>
      <c r="F766">
        <v>0.25972000000000001</v>
      </c>
      <c r="G766">
        <v>10.273400000000001</v>
      </c>
      <c r="I766" s="1">
        <v>1.8351800000000001E-6</v>
      </c>
      <c r="J766">
        <f t="shared" si="112"/>
        <v>2.4631651568683563E-2</v>
      </c>
      <c r="K766">
        <v>1.3783964402460237E-3</v>
      </c>
      <c r="L766">
        <v>3.3775579662453953E-2</v>
      </c>
      <c r="N766" s="1">
        <v>1.8351800000000001E-6</v>
      </c>
      <c r="O766">
        <f t="shared" si="113"/>
        <v>1.3783964402460237E-3</v>
      </c>
      <c r="Q766" s="1">
        <v>1.8351800000000001E-6</v>
      </c>
      <c r="R766">
        <f t="shared" si="114"/>
        <v>3.3775579662453953E-2</v>
      </c>
      <c r="CH766" s="1">
        <v>1.6988299999999999E-6</v>
      </c>
      <c r="CI766">
        <v>15.635400000000001</v>
      </c>
      <c r="CJ766">
        <f t="shared" si="115"/>
        <v>1215.1677305303799</v>
      </c>
      <c r="CL766" s="1">
        <v>1.6988299999999999E-6</v>
      </c>
      <c r="CM766">
        <v>3.6569999999999998E-2</v>
      </c>
      <c r="CN766">
        <f t="shared" si="116"/>
        <v>2.8421840122731741</v>
      </c>
    </row>
    <row r="767" spans="4:92" x14ac:dyDescent="0.35">
      <c r="D767" s="1">
        <v>1.85895E-6</v>
      </c>
      <c r="E767">
        <v>13.7217</v>
      </c>
      <c r="F767">
        <v>0.253581</v>
      </c>
      <c r="G767">
        <v>10.3118</v>
      </c>
      <c r="I767" s="1">
        <v>1.85895E-6</v>
      </c>
      <c r="J767">
        <f t="shared" si="112"/>
        <v>2.4353888352236258E-2</v>
      </c>
      <c r="K767">
        <v>1.3458152922918025E-3</v>
      </c>
      <c r="L767">
        <v>3.390182630514655E-2</v>
      </c>
      <c r="N767" s="1">
        <v>1.85895E-6</v>
      </c>
      <c r="O767">
        <f t="shared" si="113"/>
        <v>1.3458152922918025E-3</v>
      </c>
      <c r="Q767" s="1">
        <v>1.85895E-6</v>
      </c>
      <c r="R767">
        <f t="shared" si="114"/>
        <v>3.390182630514655E-2</v>
      </c>
      <c r="CH767" s="1">
        <v>1.7208300000000001E-6</v>
      </c>
      <c r="CI767">
        <v>16.364000000000001</v>
      </c>
      <c r="CJ767">
        <f t="shared" si="115"/>
        <v>1271.7937975618875</v>
      </c>
      <c r="CL767" s="1">
        <v>1.7208300000000001E-6</v>
      </c>
      <c r="CM767">
        <v>3.61E-2</v>
      </c>
      <c r="CN767">
        <f t="shared" si="116"/>
        <v>2.8056560799305874</v>
      </c>
    </row>
    <row r="768" spans="4:92" x14ac:dyDescent="0.35">
      <c r="D768" s="1">
        <v>1.8830199999999999E-6</v>
      </c>
      <c r="E768">
        <v>13.788399999999999</v>
      </c>
      <c r="F768">
        <v>0.33988200000000002</v>
      </c>
      <c r="G768">
        <v>10.286899999999999</v>
      </c>
      <c r="I768" s="1">
        <v>1.8830199999999999E-6</v>
      </c>
      <c r="J768">
        <f t="shared" si="112"/>
        <v>2.4472270502632648E-2</v>
      </c>
      <c r="K768">
        <v>1.8038354339430889E-3</v>
      </c>
      <c r="L768">
        <v>3.3819963247775565E-2</v>
      </c>
      <c r="N768" s="1">
        <v>1.8830199999999999E-6</v>
      </c>
      <c r="O768">
        <f t="shared" si="113"/>
        <v>1.8038354339430889E-3</v>
      </c>
      <c r="Q768" s="1">
        <v>1.8830199999999999E-6</v>
      </c>
      <c r="R768">
        <f t="shared" si="114"/>
        <v>3.3819963247775565E-2</v>
      </c>
      <c r="CH768" s="1">
        <v>1.74312E-6</v>
      </c>
      <c r="CI768">
        <v>15.078099999999999</v>
      </c>
      <c r="CJ768">
        <f t="shared" si="115"/>
        <v>1171.8549290526701</v>
      </c>
      <c r="CL768" s="1">
        <v>1.74312E-6</v>
      </c>
      <c r="CM768">
        <v>3.2629999999999999E-2</v>
      </c>
      <c r="CN768">
        <f t="shared" si="116"/>
        <v>2.5359711326353205</v>
      </c>
    </row>
    <row r="769" spans="4:92" x14ac:dyDescent="0.35">
      <c r="D769" s="1">
        <v>1.90741E-6</v>
      </c>
      <c r="E769">
        <v>13.9672</v>
      </c>
      <c r="F769">
        <v>0.26810299999999998</v>
      </c>
      <c r="G769">
        <v>10.1831</v>
      </c>
      <c r="I769" s="1">
        <v>1.90741E-6</v>
      </c>
      <c r="J769">
        <f t="shared" si="112"/>
        <v>2.4789612758867652E-2</v>
      </c>
      <c r="K769">
        <v>1.4228870353429834E-3</v>
      </c>
      <c r="L769">
        <v>3.3478702791747111E-2</v>
      </c>
      <c r="N769" s="1">
        <v>1.90741E-6</v>
      </c>
      <c r="O769">
        <f t="shared" si="113"/>
        <v>1.4228870353429834E-3</v>
      </c>
      <c r="Q769" s="1">
        <v>1.90741E-6</v>
      </c>
      <c r="R769">
        <f t="shared" si="114"/>
        <v>3.3478702791747111E-2</v>
      </c>
      <c r="CH769" s="1">
        <v>1.76569E-6</v>
      </c>
      <c r="CI769">
        <v>15.626799999999999</v>
      </c>
      <c r="CJ769">
        <f t="shared" si="115"/>
        <v>1214.4993470875154</v>
      </c>
      <c r="CL769" s="1">
        <v>1.76569E-6</v>
      </c>
      <c r="CM769">
        <v>3.3140000000000003E-2</v>
      </c>
      <c r="CN769">
        <f t="shared" si="116"/>
        <v>2.5756078251772765</v>
      </c>
    </row>
    <row r="770" spans="4:92" x14ac:dyDescent="0.35">
      <c r="D770" s="1">
        <v>1.93211E-6</v>
      </c>
      <c r="E770">
        <v>13.9169</v>
      </c>
      <c r="F770">
        <v>0.30041099999999998</v>
      </c>
      <c r="G770">
        <v>9.8843899999999998</v>
      </c>
      <c r="I770" s="1">
        <v>1.93211E-6</v>
      </c>
      <c r="J770">
        <f t="shared" si="112"/>
        <v>2.470033806374114E-2</v>
      </c>
      <c r="K770">
        <v>1.5943533536529656E-3</v>
      </c>
      <c r="L770">
        <v>3.2496641993864067E-2</v>
      </c>
      <c r="N770" s="1">
        <v>1.93211E-6</v>
      </c>
      <c r="O770">
        <f t="shared" si="113"/>
        <v>1.5943533536529656E-3</v>
      </c>
      <c r="Q770" s="1">
        <v>1.93211E-6</v>
      </c>
      <c r="R770">
        <f t="shared" si="114"/>
        <v>3.2496641993864067E-2</v>
      </c>
      <c r="CH770" s="1">
        <v>1.7885600000000001E-6</v>
      </c>
      <c r="CI770">
        <v>15.293100000000001</v>
      </c>
      <c r="CJ770">
        <f t="shared" si="115"/>
        <v>1188.5645151242791</v>
      </c>
      <c r="CL770" s="1">
        <v>1.7885600000000001E-6</v>
      </c>
      <c r="CM770">
        <v>3.8440000000000002E-2</v>
      </c>
      <c r="CN770">
        <f t="shared" si="116"/>
        <v>2.9875185515936784</v>
      </c>
    </row>
    <row r="771" spans="4:92" x14ac:dyDescent="0.35">
      <c r="D771" s="1">
        <v>1.9571299999999998E-6</v>
      </c>
      <c r="E771">
        <v>13.753500000000001</v>
      </c>
      <c r="F771">
        <v>0.31605800000000001</v>
      </c>
      <c r="G771">
        <v>10.0449</v>
      </c>
      <c r="I771" s="1">
        <v>1.9571299999999998E-6</v>
      </c>
      <c r="J771">
        <f t="shared" si="112"/>
        <v>2.4410328417942485E-2</v>
      </c>
      <c r="K771">
        <v>1.6773957419962951E-3</v>
      </c>
      <c r="L771">
        <v>3.3024346384973195E-2</v>
      </c>
      <c r="N771" s="1">
        <v>1.9571299999999998E-6</v>
      </c>
      <c r="O771">
        <f t="shared" si="113"/>
        <v>1.6773957419962951E-3</v>
      </c>
      <c r="Q771" s="1">
        <v>1.9571299999999998E-6</v>
      </c>
      <c r="R771">
        <f t="shared" si="114"/>
        <v>3.3024346384973195E-2</v>
      </c>
      <c r="CH771" s="1">
        <v>1.8117200000000001E-6</v>
      </c>
      <c r="CI771">
        <v>15.8995</v>
      </c>
      <c r="CJ771">
        <f t="shared" si="115"/>
        <v>1235.693319746714</v>
      </c>
      <c r="CL771" s="1">
        <v>1.8117200000000001E-6</v>
      </c>
      <c r="CM771">
        <v>3.492E-2</v>
      </c>
      <c r="CN771">
        <f t="shared" si="116"/>
        <v>2.7139476540491998</v>
      </c>
    </row>
    <row r="772" spans="4:92" x14ac:dyDescent="0.35">
      <c r="D772" s="1">
        <v>1.9824700000000001E-6</v>
      </c>
      <c r="E772">
        <v>13.8765</v>
      </c>
      <c r="F772">
        <v>0.24689800000000001</v>
      </c>
      <c r="G772">
        <v>10.213900000000001</v>
      </c>
      <c r="I772" s="1">
        <v>1.9824700000000001E-6</v>
      </c>
      <c r="J772">
        <f t="shared" ref="J772:J835" si="117">E772/SUM($E$3:$E$2002)/$C$3</f>
        <v>2.4628634332466561E-2</v>
      </c>
      <c r="K772">
        <v>1.3103470056363114E-3</v>
      </c>
      <c r="L772">
        <v>3.3579963119740139E-2</v>
      </c>
      <c r="N772" s="1">
        <v>1.9824700000000001E-6</v>
      </c>
      <c r="O772">
        <f t="shared" ref="O772:O835" si="118">F772/SUM($F$3:$F$2002)/$C$3</f>
        <v>1.3103470056363114E-3</v>
      </c>
      <c r="Q772" s="1">
        <v>1.9824700000000001E-6</v>
      </c>
      <c r="R772">
        <f t="shared" ref="R772:R835" si="119">G772/SUM($G$3:$G$2002)/$C$3</f>
        <v>3.3579963119740139E-2</v>
      </c>
      <c r="CH772" s="1">
        <v>1.8351800000000001E-6</v>
      </c>
      <c r="CI772">
        <v>15.785</v>
      </c>
      <c r="CJ772">
        <f t="shared" si="115"/>
        <v>1226.79449367602</v>
      </c>
      <c r="CL772" s="1">
        <v>1.8351800000000001E-6</v>
      </c>
      <c r="CM772">
        <v>3.2719999999999999E-2</v>
      </c>
      <c r="CN772">
        <f t="shared" si="116"/>
        <v>2.5429658430839011</v>
      </c>
    </row>
    <row r="773" spans="4:92" x14ac:dyDescent="0.35">
      <c r="D773" s="1">
        <v>2.00815E-6</v>
      </c>
      <c r="E773">
        <v>13.911899999999999</v>
      </c>
      <c r="F773">
        <v>0.331953</v>
      </c>
      <c r="G773">
        <v>10.3725</v>
      </c>
      <c r="I773" s="1">
        <v>2.00815E-6</v>
      </c>
      <c r="J773">
        <f t="shared" si="117"/>
        <v>2.4691463839573491E-2</v>
      </c>
      <c r="K773">
        <v>1.7617543259240271E-3</v>
      </c>
      <c r="L773">
        <v>3.4101388055444506E-2</v>
      </c>
      <c r="N773" s="1">
        <v>2.00815E-6</v>
      </c>
      <c r="O773">
        <f t="shared" si="118"/>
        <v>1.7617543259240271E-3</v>
      </c>
      <c r="Q773" s="1">
        <v>2.00815E-6</v>
      </c>
      <c r="R773">
        <f t="shared" si="119"/>
        <v>3.4101388055444506E-2</v>
      </c>
      <c r="CH773" s="1">
        <v>1.85895E-6</v>
      </c>
      <c r="CI773">
        <v>15.0937</v>
      </c>
      <c r="CJ773">
        <f t="shared" si="115"/>
        <v>1173.0673455304241</v>
      </c>
      <c r="CL773" s="1">
        <v>1.85895E-6</v>
      </c>
      <c r="CM773">
        <v>3.5439999999999999E-2</v>
      </c>
      <c r="CN773">
        <f t="shared" si="116"/>
        <v>2.7543615366409977</v>
      </c>
    </row>
    <row r="774" spans="4:92" x14ac:dyDescent="0.35">
      <c r="D774" s="1">
        <v>2.0341499999999998E-6</v>
      </c>
      <c r="E774">
        <v>13.5229</v>
      </c>
      <c r="F774">
        <v>0.25950200000000001</v>
      </c>
      <c r="G774">
        <v>10.3148</v>
      </c>
      <c r="I774" s="1">
        <v>2.0341499999999998E-6</v>
      </c>
      <c r="J774">
        <f t="shared" si="117"/>
        <v>2.4001049199330673E-2</v>
      </c>
      <c r="K774">
        <v>1.377239461869412E-3</v>
      </c>
      <c r="L774">
        <v>3.3911689324106917E-2</v>
      </c>
      <c r="N774" s="1">
        <v>2.0341499999999998E-6</v>
      </c>
      <c r="O774">
        <f t="shared" si="118"/>
        <v>1.377239461869412E-3</v>
      </c>
      <c r="Q774" s="1">
        <v>2.0341499999999998E-6</v>
      </c>
      <c r="R774">
        <f t="shared" si="119"/>
        <v>3.3911689324106917E-2</v>
      </c>
      <c r="CH774" s="1">
        <v>1.8830199999999999E-6</v>
      </c>
      <c r="CI774">
        <v>14.683400000000001</v>
      </c>
      <c r="CJ774">
        <f t="shared" si="115"/>
        <v>1141.1792377853958</v>
      </c>
      <c r="CL774" s="1">
        <v>1.8830199999999999E-6</v>
      </c>
      <c r="CM774">
        <v>3.2149999999999998E-2</v>
      </c>
      <c r="CN774">
        <f t="shared" si="116"/>
        <v>2.4986660102428915</v>
      </c>
    </row>
    <row r="775" spans="4:92" x14ac:dyDescent="0.35">
      <c r="D775" s="1">
        <v>2.0604900000000002E-6</v>
      </c>
      <c r="E775">
        <v>13.511900000000001</v>
      </c>
      <c r="F775">
        <v>0.28930499999999998</v>
      </c>
      <c r="G775">
        <v>10.378299999999999</v>
      </c>
      <c r="I775" s="1">
        <v>2.0604900000000002E-6</v>
      </c>
      <c r="J775">
        <f t="shared" si="117"/>
        <v>2.398152590616185E-2</v>
      </c>
      <c r="K775">
        <v>1.5354111433288767E-3</v>
      </c>
      <c r="L775">
        <v>3.4120456558767866E-2</v>
      </c>
      <c r="N775" s="1">
        <v>2.0604900000000002E-6</v>
      </c>
      <c r="O775">
        <f t="shared" si="118"/>
        <v>1.5354111433288767E-3</v>
      </c>
      <c r="Q775" s="1">
        <v>2.0604900000000002E-6</v>
      </c>
      <c r="R775">
        <f t="shared" si="119"/>
        <v>3.4120456558767866E-2</v>
      </c>
      <c r="CH775" s="1">
        <v>1.90741E-6</v>
      </c>
      <c r="CI775">
        <v>15.737</v>
      </c>
      <c r="CJ775">
        <f t="shared" si="115"/>
        <v>1223.0639814367771</v>
      </c>
      <c r="CL775" s="1">
        <v>1.90741E-6</v>
      </c>
      <c r="CM775">
        <v>3.125E-2</v>
      </c>
      <c r="CN775">
        <f t="shared" si="116"/>
        <v>2.4287189057570875</v>
      </c>
    </row>
    <row r="776" spans="4:92" x14ac:dyDescent="0.35">
      <c r="D776" s="1">
        <v>2.08718E-6</v>
      </c>
      <c r="E776">
        <v>13.4329</v>
      </c>
      <c r="F776">
        <v>0.27324500000000002</v>
      </c>
      <c r="G776">
        <v>10.114000000000001</v>
      </c>
      <c r="I776" s="1">
        <v>2.08718E-6</v>
      </c>
      <c r="J776">
        <f t="shared" si="117"/>
        <v>2.3841313164313052E-2</v>
      </c>
      <c r="K776">
        <v>1.4501768647582965E-3</v>
      </c>
      <c r="L776">
        <v>3.3251524588360157E-2</v>
      </c>
      <c r="N776" s="1">
        <v>2.08718E-6</v>
      </c>
      <c r="O776">
        <f t="shared" si="118"/>
        <v>1.4501768647582965E-3</v>
      </c>
      <c r="Q776" s="1">
        <v>2.08718E-6</v>
      </c>
      <c r="R776">
        <f t="shared" si="119"/>
        <v>3.3251524588360157E-2</v>
      </c>
      <c r="CH776" s="1">
        <v>1.93211E-6</v>
      </c>
      <c r="CI776">
        <v>15.7486</v>
      </c>
      <c r="CJ776">
        <f t="shared" si="115"/>
        <v>1223.9655218945943</v>
      </c>
      <c r="CL776" s="1">
        <v>1.93211E-6</v>
      </c>
      <c r="CM776">
        <v>2.92E-2</v>
      </c>
      <c r="CN776">
        <f t="shared" si="116"/>
        <v>2.2693949455394229</v>
      </c>
    </row>
    <row r="777" spans="4:92" x14ac:dyDescent="0.35">
      <c r="D777" s="1">
        <v>2.1142099999999999E-6</v>
      </c>
      <c r="E777">
        <v>13.6371</v>
      </c>
      <c r="F777">
        <v>0.30682300000000001</v>
      </c>
      <c r="G777">
        <v>10.018700000000001</v>
      </c>
      <c r="I777" s="1">
        <v>2.1142099999999999E-6</v>
      </c>
      <c r="J777">
        <f t="shared" si="117"/>
        <v>2.4203736479319695E-2</v>
      </c>
      <c r="K777">
        <v>1.6283833781980815E-3</v>
      </c>
      <c r="L777">
        <v>3.2938209352719391E-2</v>
      </c>
      <c r="N777" s="1">
        <v>2.1142099999999999E-6</v>
      </c>
      <c r="O777">
        <f t="shared" si="118"/>
        <v>1.6283833781980815E-3</v>
      </c>
      <c r="Q777" s="1">
        <v>2.1142099999999999E-6</v>
      </c>
      <c r="R777">
        <f t="shared" si="119"/>
        <v>3.2938209352719391E-2</v>
      </c>
      <c r="CH777" s="1">
        <v>1.9571299999999998E-6</v>
      </c>
      <c r="CI777">
        <v>14.6861</v>
      </c>
      <c r="CJ777">
        <f t="shared" si="115"/>
        <v>1141.3890790988532</v>
      </c>
      <c r="CL777" s="1">
        <v>1.9571299999999998E-6</v>
      </c>
      <c r="CM777">
        <v>4.7280000000000003E-2</v>
      </c>
      <c r="CN777">
        <f t="shared" si="116"/>
        <v>3.6745545556542436</v>
      </c>
    </row>
    <row r="778" spans="4:92" x14ac:dyDescent="0.35">
      <c r="D778" s="1">
        <v>2.1415900000000001E-6</v>
      </c>
      <c r="E778">
        <v>13.7676</v>
      </c>
      <c r="F778">
        <v>0.22928399999999999</v>
      </c>
      <c r="G778">
        <v>10.0032</v>
      </c>
      <c r="I778" s="1">
        <v>2.1415900000000001E-6</v>
      </c>
      <c r="J778">
        <f t="shared" si="117"/>
        <v>2.4435353730095245E-2</v>
      </c>
      <c r="K778">
        <v>1.2168652757021765E-3</v>
      </c>
      <c r="L778">
        <v>3.2887250421424194E-2</v>
      </c>
      <c r="N778" s="1">
        <v>2.1415900000000001E-6</v>
      </c>
      <c r="O778">
        <f t="shared" si="118"/>
        <v>1.2168652757021765E-3</v>
      </c>
      <c r="Q778" s="1">
        <v>2.1415900000000001E-6</v>
      </c>
      <c r="R778">
        <f t="shared" si="119"/>
        <v>3.2887250421424194E-2</v>
      </c>
      <c r="CH778" s="1">
        <v>1.9824700000000001E-6</v>
      </c>
      <c r="CI778">
        <v>14.545299999999999</v>
      </c>
      <c r="CJ778">
        <f t="shared" ref="CJ778:CJ841" si="120">CI778/$CG$9</f>
        <v>1130.4462431970742</v>
      </c>
      <c r="CL778" s="1">
        <v>1.9824700000000001E-6</v>
      </c>
      <c r="CM778">
        <v>7.7280000000000001E-2</v>
      </c>
      <c r="CN778">
        <f t="shared" ref="CN778:CN841" si="121">CM778/$CG$9</f>
        <v>6.0061247051810476</v>
      </c>
    </row>
    <row r="779" spans="4:92" x14ac:dyDescent="0.35">
      <c r="D779" s="1">
        <v>2.1693199999999998E-6</v>
      </c>
      <c r="E779">
        <v>13.637499999999999</v>
      </c>
      <c r="F779">
        <v>0.27463100000000001</v>
      </c>
      <c r="G779">
        <v>10.1347</v>
      </c>
      <c r="I779" s="1">
        <v>2.1693199999999998E-6</v>
      </c>
      <c r="J779">
        <f t="shared" si="117"/>
        <v>2.4204446417253105E-2</v>
      </c>
      <c r="K779">
        <v>1.4575326997582235E-3</v>
      </c>
      <c r="L779">
        <v>3.3319579419186639E-2</v>
      </c>
      <c r="N779" s="1">
        <v>2.1693199999999998E-6</v>
      </c>
      <c r="O779">
        <f t="shared" si="118"/>
        <v>1.4575326997582235E-3</v>
      </c>
      <c r="Q779" s="1">
        <v>2.1693199999999998E-6</v>
      </c>
      <c r="R779">
        <f t="shared" si="119"/>
        <v>3.3319579419186639E-2</v>
      </c>
      <c r="CH779" s="1">
        <v>2.00815E-6</v>
      </c>
      <c r="CI779">
        <v>15.4565</v>
      </c>
      <c r="CJ779">
        <f t="shared" si="120"/>
        <v>1201.2638005387016</v>
      </c>
      <c r="CL779" s="1">
        <v>2.00815E-6</v>
      </c>
      <c r="CM779">
        <v>3.9109999999999999E-2</v>
      </c>
      <c r="CN779">
        <f t="shared" si="121"/>
        <v>3.03959028493311</v>
      </c>
    </row>
    <row r="780" spans="4:92" x14ac:dyDescent="0.35">
      <c r="D780" s="1">
        <v>2.1974100000000002E-6</v>
      </c>
      <c r="E780">
        <v>13.6357</v>
      </c>
      <c r="F780">
        <v>0.23455100000000001</v>
      </c>
      <c r="G780">
        <v>10.3523</v>
      </c>
      <c r="I780" s="1">
        <v>2.1974100000000002E-6</v>
      </c>
      <c r="J780">
        <f t="shared" si="117"/>
        <v>2.4201251696552756E-2</v>
      </c>
      <c r="K780">
        <v>1.2448185101499505E-3</v>
      </c>
      <c r="L780">
        <v>3.4034977061111416E-2</v>
      </c>
      <c r="N780" s="1">
        <v>2.1974100000000002E-6</v>
      </c>
      <c r="O780">
        <f t="shared" si="118"/>
        <v>1.2448185101499505E-3</v>
      </c>
      <c r="Q780" s="1">
        <v>2.1974100000000002E-6</v>
      </c>
      <c r="R780">
        <f t="shared" si="119"/>
        <v>3.4034977061111416E-2</v>
      </c>
      <c r="CH780" s="1">
        <v>2.0341499999999998E-6</v>
      </c>
      <c r="CI780">
        <v>15.1595</v>
      </c>
      <c r="CJ780">
        <f t="shared" si="120"/>
        <v>1178.1812560583862</v>
      </c>
      <c r="CL780" s="1">
        <v>2.0341499999999998E-6</v>
      </c>
      <c r="CM780">
        <v>3.4299999999999997E-2</v>
      </c>
      <c r="CN780">
        <f t="shared" si="121"/>
        <v>2.665761870958979</v>
      </c>
    </row>
    <row r="781" spans="4:92" x14ac:dyDescent="0.35">
      <c r="D781" s="1">
        <v>2.2258700000000002E-6</v>
      </c>
      <c r="E781">
        <v>13.436</v>
      </c>
      <c r="F781">
        <v>0.34417900000000001</v>
      </c>
      <c r="G781">
        <v>10.2576</v>
      </c>
      <c r="I781" s="1">
        <v>2.2258700000000002E-6</v>
      </c>
      <c r="J781">
        <f t="shared" si="117"/>
        <v>2.3846815183296993E-2</v>
      </c>
      <c r="K781">
        <v>1.8266406453389659E-3</v>
      </c>
      <c r="L781">
        <v>3.3723634429262718E-2</v>
      </c>
      <c r="N781" s="1">
        <v>2.2258700000000002E-6</v>
      </c>
      <c r="O781">
        <f t="shared" si="118"/>
        <v>1.8266406453389659E-3</v>
      </c>
      <c r="Q781" s="1">
        <v>2.2258700000000002E-6</v>
      </c>
      <c r="R781">
        <f t="shared" si="119"/>
        <v>3.3723634429262718E-2</v>
      </c>
      <c r="CH781" s="1">
        <v>2.0604900000000002E-6</v>
      </c>
      <c r="CI781">
        <v>14.819100000000001</v>
      </c>
      <c r="CJ781">
        <f t="shared" si="120"/>
        <v>1151.7257067617554</v>
      </c>
      <c r="CL781" s="1">
        <v>2.0604900000000002E-6</v>
      </c>
      <c r="CM781">
        <v>3.3649999999999999E-2</v>
      </c>
      <c r="CN781">
        <f t="shared" si="121"/>
        <v>2.6152445177192321</v>
      </c>
    </row>
    <row r="782" spans="4:92" x14ac:dyDescent="0.35">
      <c r="D782" s="1">
        <v>2.2546899999999999E-6</v>
      </c>
      <c r="E782">
        <v>13.530099999999999</v>
      </c>
      <c r="F782">
        <v>0.332569</v>
      </c>
      <c r="G782">
        <v>10.178599999999999</v>
      </c>
      <c r="I782" s="1">
        <v>2.2546899999999999E-6</v>
      </c>
      <c r="J782">
        <f t="shared" si="117"/>
        <v>2.4013828082132076E-2</v>
      </c>
      <c r="K782">
        <v>1.7650235859239948E-3</v>
      </c>
      <c r="L782">
        <v>3.3463908263306572E-2</v>
      </c>
      <c r="N782" s="1">
        <v>2.2546899999999999E-6</v>
      </c>
      <c r="O782">
        <f t="shared" si="118"/>
        <v>1.7650235859239948E-3</v>
      </c>
      <c r="Q782" s="1">
        <v>2.2546899999999999E-6</v>
      </c>
      <c r="R782">
        <f t="shared" si="119"/>
        <v>3.3463908263306572E-2</v>
      </c>
      <c r="CH782" s="1">
        <v>2.08718E-6</v>
      </c>
      <c r="CI782">
        <v>14.961</v>
      </c>
      <c r="CJ782">
        <f t="shared" si="120"/>
        <v>1162.7540335690173</v>
      </c>
      <c r="CL782" s="1">
        <v>2.08718E-6</v>
      </c>
      <c r="CM782">
        <v>3.5209999999999998E-2</v>
      </c>
      <c r="CN782">
        <f t="shared" si="121"/>
        <v>2.7364861654946258</v>
      </c>
    </row>
    <row r="783" spans="4:92" x14ac:dyDescent="0.35">
      <c r="D783" s="1">
        <v>2.28389E-6</v>
      </c>
      <c r="E783">
        <v>13.7934</v>
      </c>
      <c r="F783">
        <v>0.28186699999999998</v>
      </c>
      <c r="G783">
        <v>10.1762</v>
      </c>
      <c r="I783" s="1">
        <v>2.28389E-6</v>
      </c>
      <c r="J783">
        <f t="shared" si="117"/>
        <v>2.4481144726800293E-2</v>
      </c>
      <c r="K783">
        <v>1.4959358902773214E-3</v>
      </c>
      <c r="L783">
        <v>3.3456017848138279E-2</v>
      </c>
      <c r="N783" s="1">
        <v>2.28389E-6</v>
      </c>
      <c r="O783">
        <f t="shared" si="118"/>
        <v>1.4959358902773214E-3</v>
      </c>
      <c r="Q783" s="1">
        <v>2.28389E-6</v>
      </c>
      <c r="R783">
        <f t="shared" si="119"/>
        <v>3.3456017848138279E-2</v>
      </c>
      <c r="CH783" s="1">
        <v>2.1142099999999999E-6</v>
      </c>
      <c r="CI783">
        <v>14.610200000000001</v>
      </c>
      <c r="CJ783">
        <f t="shared" si="120"/>
        <v>1135.4902066205505</v>
      </c>
      <c r="CL783" s="1">
        <v>2.1142099999999999E-6</v>
      </c>
      <c r="CM783">
        <v>4.5199999999999997E-2</v>
      </c>
      <c r="CN783">
        <f t="shared" si="121"/>
        <v>3.5128990252870511</v>
      </c>
    </row>
    <row r="784" spans="4:92" x14ac:dyDescent="0.35">
      <c r="D784" s="1">
        <v>2.31347E-6</v>
      </c>
      <c r="E784">
        <v>13.5219</v>
      </c>
      <c r="F784">
        <v>0.29398299999999999</v>
      </c>
      <c r="G784">
        <v>10.166</v>
      </c>
      <c r="I784" s="1">
        <v>2.31347E-6</v>
      </c>
      <c r="J784">
        <f t="shared" si="117"/>
        <v>2.3999274354497144E-2</v>
      </c>
      <c r="K784">
        <v>1.5602384132636948E-3</v>
      </c>
      <c r="L784">
        <v>3.3422483583673064E-2</v>
      </c>
      <c r="N784" s="1">
        <v>2.31347E-6</v>
      </c>
      <c r="O784">
        <f t="shared" si="118"/>
        <v>1.5602384132636948E-3</v>
      </c>
      <c r="Q784" s="1">
        <v>2.31347E-6</v>
      </c>
      <c r="R784">
        <f t="shared" si="119"/>
        <v>3.3422483583673064E-2</v>
      </c>
      <c r="CH784" s="1">
        <v>2.1415900000000001E-6</v>
      </c>
      <c r="CI784">
        <v>14.9979</v>
      </c>
      <c r="CJ784">
        <f t="shared" si="120"/>
        <v>1165.6218648529352</v>
      </c>
      <c r="CL784" s="1">
        <v>2.1415900000000001E-6</v>
      </c>
      <c r="CM784">
        <v>3.7920000000000002E-2</v>
      </c>
      <c r="CN784">
        <f t="shared" si="121"/>
        <v>2.9471046690018805</v>
      </c>
    </row>
    <row r="785" spans="4:92" x14ac:dyDescent="0.35">
      <c r="D785" s="1">
        <v>2.3434299999999999E-6</v>
      </c>
      <c r="E785">
        <v>13.7461</v>
      </c>
      <c r="F785">
        <v>0.32197100000000001</v>
      </c>
      <c r="G785">
        <v>10.049300000000001</v>
      </c>
      <c r="I785" s="1">
        <v>2.3434299999999999E-6</v>
      </c>
      <c r="J785">
        <f t="shared" si="117"/>
        <v>2.4397194566174368E-2</v>
      </c>
      <c r="K785">
        <v>1.7087774536518271E-3</v>
      </c>
      <c r="L785">
        <v>3.3038812146115058E-2</v>
      </c>
      <c r="N785" s="1">
        <v>2.3434299999999999E-6</v>
      </c>
      <c r="O785">
        <f t="shared" si="118"/>
        <v>1.7087774536518271E-3</v>
      </c>
      <c r="Q785" s="1">
        <v>2.3434299999999999E-6</v>
      </c>
      <c r="R785">
        <f t="shared" si="119"/>
        <v>3.3038812146115058E-2</v>
      </c>
      <c r="CH785" s="1">
        <v>2.1693199999999998E-6</v>
      </c>
      <c r="CI785">
        <v>15.296099999999999</v>
      </c>
      <c r="CJ785">
        <f t="shared" si="120"/>
        <v>1188.7976721392315</v>
      </c>
      <c r="CL785" s="1">
        <v>2.1693199999999998E-6</v>
      </c>
      <c r="CM785">
        <v>3.7420000000000002E-2</v>
      </c>
      <c r="CN785">
        <f t="shared" si="121"/>
        <v>2.9082451665097673</v>
      </c>
    </row>
    <row r="786" spans="4:92" x14ac:dyDescent="0.35">
      <c r="D786" s="1">
        <v>2.3737799999999999E-6</v>
      </c>
      <c r="E786">
        <v>13.4153</v>
      </c>
      <c r="F786">
        <v>0.309643</v>
      </c>
      <c r="G786">
        <v>9.78904</v>
      </c>
      <c r="I786" s="1">
        <v>2.3737799999999999E-6</v>
      </c>
      <c r="J786">
        <f t="shared" si="117"/>
        <v>2.3810075895242939E-2</v>
      </c>
      <c r="K786">
        <v>1.6433497957304001E-3</v>
      </c>
      <c r="L786">
        <v>3.2183162374573963E-2</v>
      </c>
      <c r="N786" s="1">
        <v>2.3737799999999999E-6</v>
      </c>
      <c r="O786">
        <f t="shared" si="118"/>
        <v>1.6433497957304001E-3</v>
      </c>
      <c r="Q786" s="1">
        <v>2.3737799999999999E-6</v>
      </c>
      <c r="R786">
        <f t="shared" si="119"/>
        <v>3.2183162374573963E-2</v>
      </c>
      <c r="CH786" s="1">
        <v>2.1974100000000002E-6</v>
      </c>
      <c r="CI786">
        <v>15.494300000000001</v>
      </c>
      <c r="CJ786">
        <f t="shared" si="120"/>
        <v>1204.2015789271054</v>
      </c>
      <c r="CL786" s="1">
        <v>2.1974100000000002E-6</v>
      </c>
      <c r="CM786">
        <v>3.1559999999999998E-2</v>
      </c>
      <c r="CN786">
        <f t="shared" si="121"/>
        <v>2.4528117973021977</v>
      </c>
    </row>
    <row r="787" spans="4:92" x14ac:dyDescent="0.35">
      <c r="D787" s="1">
        <v>2.4045200000000001E-6</v>
      </c>
      <c r="E787">
        <v>13.9953</v>
      </c>
      <c r="F787">
        <v>0.32463399999999998</v>
      </c>
      <c r="G787">
        <v>10.2029</v>
      </c>
      <c r="I787" s="1">
        <v>2.4045200000000001E-6</v>
      </c>
      <c r="J787">
        <f t="shared" si="117"/>
        <v>2.4839485898689818E-2</v>
      </c>
      <c r="K787">
        <v>1.7229106344633747E-3</v>
      </c>
      <c r="L787">
        <v>3.3543798716885488E-2</v>
      </c>
      <c r="N787" s="1">
        <v>2.4045200000000001E-6</v>
      </c>
      <c r="O787">
        <f t="shared" si="118"/>
        <v>1.7229106344633747E-3</v>
      </c>
      <c r="Q787" s="1">
        <v>2.4045200000000001E-6</v>
      </c>
      <c r="R787">
        <f t="shared" si="119"/>
        <v>3.3543798716885488E-2</v>
      </c>
      <c r="CH787" s="1">
        <v>2.2258700000000002E-6</v>
      </c>
      <c r="CI787">
        <v>15.47</v>
      </c>
      <c r="CJ787">
        <f t="shared" si="120"/>
        <v>1202.3130071059886</v>
      </c>
      <c r="CL787" s="1">
        <v>2.2258700000000002E-6</v>
      </c>
      <c r="CM787">
        <v>3.492E-2</v>
      </c>
      <c r="CN787">
        <f t="shared" si="121"/>
        <v>2.7139476540491998</v>
      </c>
    </row>
    <row r="788" spans="4:92" x14ac:dyDescent="0.35">
      <c r="D788" s="1">
        <v>2.43566E-6</v>
      </c>
      <c r="E788">
        <v>13.664300000000001</v>
      </c>
      <c r="F788">
        <v>0.33655499999999999</v>
      </c>
      <c r="G788">
        <v>9.9878300000000007</v>
      </c>
      <c r="I788" s="1">
        <v>2.43566E-6</v>
      </c>
      <c r="J788">
        <f t="shared" si="117"/>
        <v>2.4252012258791686E-2</v>
      </c>
      <c r="K788">
        <v>1.7861782455991088E-3</v>
      </c>
      <c r="L788">
        <v>3.2836718887617286E-2</v>
      </c>
      <c r="N788" s="1">
        <v>2.43566E-6</v>
      </c>
      <c r="O788">
        <f t="shared" si="118"/>
        <v>1.7861782455991088E-3</v>
      </c>
      <c r="Q788" s="1">
        <v>2.43566E-6</v>
      </c>
      <c r="R788">
        <f t="shared" si="119"/>
        <v>3.2836718887617286E-2</v>
      </c>
      <c r="CH788" s="1">
        <v>2.2546899999999999E-6</v>
      </c>
      <c r="CI788">
        <v>14.184699999999999</v>
      </c>
      <c r="CJ788">
        <f t="shared" si="120"/>
        <v>1102.4207699997619</v>
      </c>
      <c r="CL788" s="1">
        <v>2.2546899999999999E-6</v>
      </c>
      <c r="CM788">
        <v>3.6569999999999998E-2</v>
      </c>
      <c r="CN788">
        <f t="shared" si="121"/>
        <v>2.8421840122731741</v>
      </c>
    </row>
    <row r="789" spans="4:92" x14ac:dyDescent="0.35">
      <c r="D789" s="1">
        <v>2.4671999999999999E-6</v>
      </c>
      <c r="E789">
        <v>13.532299999999999</v>
      </c>
      <c r="F789">
        <v>0.296574</v>
      </c>
      <c r="G789">
        <v>10.0221</v>
      </c>
      <c r="I789" s="1">
        <v>2.4671999999999999E-6</v>
      </c>
      <c r="J789">
        <f t="shared" si="117"/>
        <v>2.4017732740765844E-2</v>
      </c>
      <c r="K789">
        <v>1.5739894727765449E-3</v>
      </c>
      <c r="L789">
        <v>3.2949387440874466E-2</v>
      </c>
      <c r="N789" s="1">
        <v>2.4671999999999999E-6</v>
      </c>
      <c r="O789">
        <f t="shared" si="118"/>
        <v>1.5739894727765449E-3</v>
      </c>
      <c r="Q789" s="1">
        <v>2.4671999999999999E-6</v>
      </c>
      <c r="R789">
        <f t="shared" si="119"/>
        <v>3.2949387440874466E-2</v>
      </c>
      <c r="CH789" s="1">
        <v>2.28389E-6</v>
      </c>
      <c r="CI789">
        <v>15.2666</v>
      </c>
      <c r="CJ789">
        <f t="shared" si="120"/>
        <v>1186.504961492197</v>
      </c>
      <c r="CL789" s="1">
        <v>2.28389E-6</v>
      </c>
      <c r="CM789">
        <v>3.4750000000000003E-2</v>
      </c>
      <c r="CN789">
        <f t="shared" si="121"/>
        <v>2.7007354232018819</v>
      </c>
    </row>
    <row r="790" spans="4:92" x14ac:dyDescent="0.35">
      <c r="D790" s="1">
        <v>2.49915E-6</v>
      </c>
      <c r="E790">
        <v>13.4618</v>
      </c>
      <c r="F790">
        <v>0.29974099999999998</v>
      </c>
      <c r="G790">
        <v>9.9189100000000003</v>
      </c>
      <c r="I790" s="1">
        <v>2.49915E-6</v>
      </c>
      <c r="J790">
        <f t="shared" si="117"/>
        <v>2.3892606180002041E-2</v>
      </c>
      <c r="K790">
        <v>1.590797502678975E-3</v>
      </c>
      <c r="L790">
        <v>3.2610132465367946E-2</v>
      </c>
      <c r="N790" s="1">
        <v>2.49915E-6</v>
      </c>
      <c r="O790">
        <f t="shared" si="118"/>
        <v>1.590797502678975E-3</v>
      </c>
      <c r="Q790" s="1">
        <v>2.49915E-6</v>
      </c>
      <c r="R790">
        <f t="shared" si="119"/>
        <v>3.2610132465367946E-2</v>
      </c>
      <c r="CH790" s="1">
        <v>2.31347E-6</v>
      </c>
      <c r="CI790">
        <v>15.390499999999999</v>
      </c>
      <c r="CJ790">
        <f t="shared" si="120"/>
        <v>1196.1343462097425</v>
      </c>
      <c r="CL790" s="1">
        <v>2.31347E-6</v>
      </c>
      <c r="CM790">
        <v>3.3099999999999997E-2</v>
      </c>
      <c r="CN790">
        <f t="shared" si="121"/>
        <v>2.5724990649779071</v>
      </c>
    </row>
    <row r="791" spans="4:92" x14ac:dyDescent="0.35">
      <c r="D791" s="1">
        <v>2.5315100000000001E-6</v>
      </c>
      <c r="E791">
        <v>13.603</v>
      </c>
      <c r="F791">
        <v>0.29405900000000001</v>
      </c>
      <c r="G791">
        <v>9.82334</v>
      </c>
      <c r="I791" s="1">
        <v>2.5315100000000001E-6</v>
      </c>
      <c r="J791">
        <f t="shared" si="117"/>
        <v>2.4143214270496351E-2</v>
      </c>
      <c r="K791">
        <v>1.5606417635234311E-3</v>
      </c>
      <c r="L791">
        <v>3.2295929558020749E-2</v>
      </c>
      <c r="N791" s="1">
        <v>2.5315100000000001E-6</v>
      </c>
      <c r="O791">
        <f t="shared" si="118"/>
        <v>1.5606417635234311E-3</v>
      </c>
      <c r="Q791" s="1">
        <v>2.5315100000000001E-6</v>
      </c>
      <c r="R791">
        <f t="shared" si="119"/>
        <v>3.2295929558020749E-2</v>
      </c>
      <c r="CH791" s="1">
        <v>2.3434299999999999E-6</v>
      </c>
      <c r="CI791">
        <v>15.5189</v>
      </c>
      <c r="CJ791">
        <f t="shared" si="120"/>
        <v>1206.1134664497174</v>
      </c>
      <c r="CL791" s="1">
        <v>2.3434299999999999E-6</v>
      </c>
      <c r="CM791">
        <v>3.8240000000000003E-2</v>
      </c>
      <c r="CN791">
        <f t="shared" si="121"/>
        <v>2.971974750596833</v>
      </c>
    </row>
    <row r="792" spans="4:92" x14ac:dyDescent="0.35">
      <c r="D792" s="1">
        <v>2.5643000000000002E-6</v>
      </c>
      <c r="E792">
        <v>13.387600000000001</v>
      </c>
      <c r="F792">
        <v>0.30217899999999998</v>
      </c>
      <c r="G792">
        <v>9.8811900000000001</v>
      </c>
      <c r="I792" s="1">
        <v>2.5643000000000002E-6</v>
      </c>
      <c r="J792">
        <f t="shared" si="117"/>
        <v>2.3760912693354189E-2</v>
      </c>
      <c r="K792">
        <v>1.6037365544320928E-3</v>
      </c>
      <c r="L792">
        <v>3.2486121440306354E-2</v>
      </c>
      <c r="N792" s="1">
        <v>2.5643000000000002E-6</v>
      </c>
      <c r="O792">
        <f t="shared" si="118"/>
        <v>1.6037365544320928E-3</v>
      </c>
      <c r="Q792" s="1">
        <v>2.5643000000000002E-6</v>
      </c>
      <c r="R792">
        <f t="shared" si="119"/>
        <v>3.2486121440306354E-2</v>
      </c>
      <c r="CH792" s="1">
        <v>2.3737799999999999E-6</v>
      </c>
      <c r="CI792">
        <v>14.704499999999999</v>
      </c>
      <c r="CJ792">
        <f t="shared" si="120"/>
        <v>1142.819108790563</v>
      </c>
      <c r="CL792" s="1">
        <v>2.3737799999999999E-6</v>
      </c>
      <c r="CM792">
        <v>4.3549999999999998E-2</v>
      </c>
      <c r="CN792">
        <f t="shared" si="121"/>
        <v>3.3846626670630773</v>
      </c>
    </row>
    <row r="793" spans="4:92" x14ac:dyDescent="0.35">
      <c r="D793" s="1">
        <v>2.5975000000000001E-6</v>
      </c>
      <c r="E793">
        <v>13.571199999999999</v>
      </c>
      <c r="F793">
        <v>0.32932499999999998</v>
      </c>
      <c r="G793">
        <v>9.9488199999999996</v>
      </c>
      <c r="I793" s="1">
        <v>2.5975000000000001E-6</v>
      </c>
      <c r="J793">
        <f t="shared" si="117"/>
        <v>2.4086774204790128E-2</v>
      </c>
      <c r="K793">
        <v>1.7478068985215685E-3</v>
      </c>
      <c r="L793">
        <v>3.2708466764402734E-2</v>
      </c>
      <c r="N793" s="1">
        <v>2.5975000000000001E-6</v>
      </c>
      <c r="O793">
        <f t="shared" si="118"/>
        <v>1.7478068985215685E-3</v>
      </c>
      <c r="Q793" s="1">
        <v>2.5975000000000001E-6</v>
      </c>
      <c r="R793">
        <f t="shared" si="119"/>
        <v>3.2708466764402734E-2</v>
      </c>
      <c r="CH793" s="1">
        <v>2.4045200000000001E-6</v>
      </c>
      <c r="CI793">
        <v>15.560499999999999</v>
      </c>
      <c r="CJ793">
        <f t="shared" si="120"/>
        <v>1209.346577057061</v>
      </c>
      <c r="CL793" s="1">
        <v>2.4045200000000001E-6</v>
      </c>
      <c r="CM793">
        <v>3.363E-2</v>
      </c>
      <c r="CN793">
        <f t="shared" si="121"/>
        <v>2.6136901376195474</v>
      </c>
    </row>
    <row r="794" spans="4:92" x14ac:dyDescent="0.35">
      <c r="D794" s="1">
        <v>2.6311399999999999E-6</v>
      </c>
      <c r="E794">
        <v>13.2689</v>
      </c>
      <c r="F794">
        <v>0.32340099999999999</v>
      </c>
      <c r="G794">
        <v>10.101000000000001</v>
      </c>
      <c r="I794" s="1">
        <v>2.6311399999999999E-6</v>
      </c>
      <c r="J794">
        <f t="shared" si="117"/>
        <v>2.3550238611614281E-2</v>
      </c>
      <c r="K794">
        <v>1.71636680722318E-3</v>
      </c>
      <c r="L794">
        <v>3.3208784839531928E-2</v>
      </c>
      <c r="N794" s="1">
        <v>2.6311399999999999E-6</v>
      </c>
      <c r="O794">
        <f t="shared" si="118"/>
        <v>1.71636680722318E-3</v>
      </c>
      <c r="Q794" s="1">
        <v>2.6311399999999999E-6</v>
      </c>
      <c r="R794">
        <f t="shared" si="119"/>
        <v>3.3208784839531928E-2</v>
      </c>
      <c r="CH794" s="1">
        <v>2.43566E-6</v>
      </c>
      <c r="CI794">
        <v>14.955500000000001</v>
      </c>
      <c r="CJ794">
        <f t="shared" si="120"/>
        <v>1162.326579041604</v>
      </c>
      <c r="CL794" s="1">
        <v>2.43566E-6</v>
      </c>
      <c r="CM794">
        <v>3.2259999999999997E-2</v>
      </c>
      <c r="CN794">
        <f t="shared" si="121"/>
        <v>2.5072151007911563</v>
      </c>
    </row>
    <row r="795" spans="4:92" x14ac:dyDescent="0.35">
      <c r="D795" s="1">
        <v>2.6652100000000002E-6</v>
      </c>
      <c r="E795">
        <v>13.545</v>
      </c>
      <c r="F795">
        <v>0.25936700000000001</v>
      </c>
      <c r="G795">
        <v>9.8667700000000007</v>
      </c>
      <c r="I795" s="1">
        <v>2.6652100000000002E-6</v>
      </c>
      <c r="J795">
        <f t="shared" si="117"/>
        <v>2.4040273270151666E-2</v>
      </c>
      <c r="K795">
        <v>1.3765229844343542E-3</v>
      </c>
      <c r="L795">
        <v>3.2438713195836896E-2</v>
      </c>
      <c r="N795" s="1">
        <v>2.6652100000000002E-6</v>
      </c>
      <c r="O795">
        <f t="shared" si="118"/>
        <v>1.3765229844343542E-3</v>
      </c>
      <c r="Q795" s="1">
        <v>2.6652100000000002E-6</v>
      </c>
      <c r="R795">
        <f t="shared" si="119"/>
        <v>3.2438713195836896E-2</v>
      </c>
      <c r="CH795" s="1">
        <v>2.4671999999999999E-6</v>
      </c>
      <c r="CI795">
        <v>14.715</v>
      </c>
      <c r="CJ795">
        <f t="shared" si="120"/>
        <v>1143.6351583428975</v>
      </c>
      <c r="CL795" s="1">
        <v>2.4671999999999999E-6</v>
      </c>
      <c r="CM795">
        <v>3.8170000000000003E-2</v>
      </c>
      <c r="CN795">
        <f t="shared" si="121"/>
        <v>2.9665344202479371</v>
      </c>
    </row>
    <row r="796" spans="4:92" x14ac:dyDescent="0.35">
      <c r="D796" s="1">
        <v>2.6997300000000002E-6</v>
      </c>
      <c r="E796">
        <v>13.5745</v>
      </c>
      <c r="F796">
        <v>0.27626099999999998</v>
      </c>
      <c r="G796">
        <v>9.9307999999999996</v>
      </c>
      <c r="I796" s="1">
        <v>2.6997300000000002E-6</v>
      </c>
      <c r="J796">
        <f t="shared" si="117"/>
        <v>2.4092631192740774E-2</v>
      </c>
      <c r="K796">
        <v>1.4661835013815138E-3</v>
      </c>
      <c r="L796">
        <v>3.2649222897180842E-2</v>
      </c>
      <c r="N796" s="1">
        <v>2.6997300000000002E-6</v>
      </c>
      <c r="O796">
        <f t="shared" si="118"/>
        <v>1.4661835013815138E-3</v>
      </c>
      <c r="Q796" s="1">
        <v>2.6997300000000002E-6</v>
      </c>
      <c r="R796">
        <f t="shared" si="119"/>
        <v>3.2649222897180842E-2</v>
      </c>
      <c r="CH796" s="1">
        <v>2.49915E-6</v>
      </c>
      <c r="CI796">
        <v>14.5107</v>
      </c>
      <c r="CJ796">
        <f t="shared" si="120"/>
        <v>1127.7571656246198</v>
      </c>
      <c r="CL796" s="1">
        <v>2.49915E-6</v>
      </c>
      <c r="CM796">
        <v>3.3099999999999997E-2</v>
      </c>
      <c r="CN796">
        <f t="shared" si="121"/>
        <v>2.5724990649779071</v>
      </c>
    </row>
    <row r="797" spans="4:92" x14ac:dyDescent="0.35">
      <c r="D797" s="1">
        <v>2.73469E-6</v>
      </c>
      <c r="E797">
        <v>13.337999999999999</v>
      </c>
      <c r="F797">
        <v>0.31012499999999998</v>
      </c>
      <c r="G797">
        <v>9.9847199999999994</v>
      </c>
      <c r="I797" s="1">
        <v>2.73469E-6</v>
      </c>
      <c r="J797">
        <f t="shared" si="117"/>
        <v>2.3672880389611139E-2</v>
      </c>
      <c r="K797">
        <v>1.6459078855355694E-3</v>
      </c>
      <c r="L797">
        <v>3.2826494224628376E-2</v>
      </c>
      <c r="N797" s="1">
        <v>2.73469E-6</v>
      </c>
      <c r="O797">
        <f t="shared" si="118"/>
        <v>1.6459078855355694E-3</v>
      </c>
      <c r="Q797" s="1">
        <v>2.73469E-6</v>
      </c>
      <c r="R797">
        <f t="shared" si="119"/>
        <v>3.2826494224628376E-2</v>
      </c>
      <c r="CH797" s="1">
        <v>2.5315100000000001E-6</v>
      </c>
      <c r="CI797">
        <v>15.061199999999999</v>
      </c>
      <c r="CJ797">
        <f t="shared" si="120"/>
        <v>1170.5414778684367</v>
      </c>
      <c r="CL797" s="1">
        <v>2.5315100000000001E-6</v>
      </c>
      <c r="CM797">
        <v>3.2030000000000003E-2</v>
      </c>
      <c r="CN797">
        <f t="shared" si="121"/>
        <v>2.4893397296447848</v>
      </c>
    </row>
    <row r="798" spans="4:92" x14ac:dyDescent="0.35">
      <c r="D798" s="1">
        <v>2.7701099999999998E-6</v>
      </c>
      <c r="E798">
        <v>13.125299999999999</v>
      </c>
      <c r="F798">
        <v>0.33025700000000002</v>
      </c>
      <c r="G798">
        <v>10.314</v>
      </c>
      <c r="I798" s="1">
        <v>2.7701099999999998E-6</v>
      </c>
      <c r="J798">
        <f t="shared" si="117"/>
        <v>2.3295370893519501E-2</v>
      </c>
      <c r="K798">
        <v>1.7527532464435974E-3</v>
      </c>
      <c r="L798">
        <v>3.3909059185717481E-2</v>
      </c>
      <c r="N798" s="1">
        <v>2.7701099999999998E-6</v>
      </c>
      <c r="O798">
        <f t="shared" si="118"/>
        <v>1.7527532464435974E-3</v>
      </c>
      <c r="Q798" s="1">
        <v>2.7701099999999998E-6</v>
      </c>
      <c r="R798">
        <f t="shared" si="119"/>
        <v>3.3909059185717481E-2</v>
      </c>
      <c r="CH798" s="1">
        <v>2.5643000000000002E-6</v>
      </c>
      <c r="CI798">
        <v>14.948600000000001</v>
      </c>
      <c r="CJ798">
        <f t="shared" si="120"/>
        <v>1161.790317907213</v>
      </c>
      <c r="CL798" s="1">
        <v>2.5643000000000002E-6</v>
      </c>
      <c r="CM798">
        <v>3.7580000000000002E-2</v>
      </c>
      <c r="CN798">
        <f t="shared" si="121"/>
        <v>2.9206802073072433</v>
      </c>
    </row>
    <row r="799" spans="4:92" x14ac:dyDescent="0.35">
      <c r="D799" s="1">
        <v>2.8059800000000002E-6</v>
      </c>
      <c r="E799">
        <v>13.118</v>
      </c>
      <c r="F799">
        <v>0.30576199999999998</v>
      </c>
      <c r="G799">
        <v>9.9832900000000002</v>
      </c>
      <c r="I799" s="1">
        <v>2.8059800000000002E-6</v>
      </c>
      <c r="J799">
        <f t="shared" si="117"/>
        <v>2.3282414526234741E-2</v>
      </c>
      <c r="K799">
        <v>1.6227523962825531E-3</v>
      </c>
      <c r="L799">
        <v>3.2821792852257274E-2</v>
      </c>
      <c r="N799" s="1">
        <v>2.8059800000000002E-6</v>
      </c>
      <c r="O799">
        <f t="shared" si="118"/>
        <v>1.6227523962825531E-3</v>
      </c>
      <c r="Q799" s="1">
        <v>2.8059800000000002E-6</v>
      </c>
      <c r="R799">
        <f t="shared" si="119"/>
        <v>3.2821792852257274E-2</v>
      </c>
      <c r="CH799" s="1">
        <v>2.5975000000000001E-6</v>
      </c>
      <c r="CI799">
        <v>15.3216</v>
      </c>
      <c r="CJ799">
        <f t="shared" si="120"/>
        <v>1190.7795067663294</v>
      </c>
      <c r="CL799" s="1">
        <v>2.5975000000000001E-6</v>
      </c>
      <c r="CM799">
        <v>3.551E-2</v>
      </c>
      <c r="CN799">
        <f t="shared" si="121"/>
        <v>2.7598018669898936</v>
      </c>
    </row>
    <row r="800" spans="4:92" x14ac:dyDescent="0.35">
      <c r="D800" s="1">
        <v>2.84232E-6</v>
      </c>
      <c r="E800">
        <v>13.1836</v>
      </c>
      <c r="F800">
        <v>0.31612699999999999</v>
      </c>
      <c r="G800">
        <v>9.77637</v>
      </c>
      <c r="I800" s="1">
        <v>2.84232E-6</v>
      </c>
      <c r="J800">
        <f t="shared" si="117"/>
        <v>2.3398844347314249E-2</v>
      </c>
      <c r="K800">
        <v>1.6777619415742136E-3</v>
      </c>
      <c r="L800">
        <v>3.2141507557831378E-2</v>
      </c>
      <c r="N800" s="1">
        <v>2.84232E-6</v>
      </c>
      <c r="O800">
        <f t="shared" si="118"/>
        <v>1.6777619415742136E-3</v>
      </c>
      <c r="Q800" s="1">
        <v>2.84232E-6</v>
      </c>
      <c r="R800">
        <f t="shared" si="119"/>
        <v>3.2141507557831378E-2</v>
      </c>
      <c r="CH800" s="1">
        <v>2.6311399999999999E-6</v>
      </c>
      <c r="CI800">
        <v>14.8119</v>
      </c>
      <c r="CJ800">
        <f t="shared" si="120"/>
        <v>1151.166129925869</v>
      </c>
      <c r="CL800" s="1">
        <v>2.6311399999999999E-6</v>
      </c>
      <c r="CM800">
        <v>3.4369999999999998E-2</v>
      </c>
      <c r="CN800">
        <f t="shared" si="121"/>
        <v>2.6712022013078749</v>
      </c>
    </row>
    <row r="801" spans="4:92" x14ac:dyDescent="0.35">
      <c r="D801" s="1">
        <v>2.8791199999999998E-6</v>
      </c>
      <c r="E801">
        <v>13.4306</v>
      </c>
      <c r="F801">
        <v>0.32009199999999999</v>
      </c>
      <c r="G801">
        <v>10.069100000000001</v>
      </c>
      <c r="I801" s="1">
        <v>2.8791199999999998E-6</v>
      </c>
      <c r="J801">
        <f t="shared" si="117"/>
        <v>2.3837231021195934E-2</v>
      </c>
      <c r="K801">
        <v>1.6988051492038744E-3</v>
      </c>
      <c r="L801">
        <v>3.3103908071253435E-2</v>
      </c>
      <c r="N801" s="1">
        <v>2.8791199999999998E-6</v>
      </c>
      <c r="O801">
        <f t="shared" si="118"/>
        <v>1.6988051492038744E-3</v>
      </c>
      <c r="Q801" s="1">
        <v>2.8791199999999998E-6</v>
      </c>
      <c r="R801">
        <f t="shared" si="119"/>
        <v>3.3103908071253435E-2</v>
      </c>
      <c r="CH801" s="1">
        <v>2.6652100000000002E-6</v>
      </c>
      <c r="CI801">
        <v>15.350899999999999</v>
      </c>
      <c r="CJ801">
        <f t="shared" si="120"/>
        <v>1193.0566736123671</v>
      </c>
      <c r="CL801" s="1">
        <v>2.6652100000000002E-6</v>
      </c>
      <c r="CM801">
        <v>3.4040000000000001E-2</v>
      </c>
      <c r="CN801">
        <f t="shared" si="121"/>
        <v>2.6455549296630805</v>
      </c>
    </row>
    <row r="802" spans="4:92" x14ac:dyDescent="0.35">
      <c r="D802" s="1">
        <v>2.91641E-6</v>
      </c>
      <c r="E802">
        <v>13.3744</v>
      </c>
      <c r="F802">
        <v>0.28520800000000002</v>
      </c>
      <c r="G802">
        <v>9.8727199999999993</v>
      </c>
      <c r="I802" s="1">
        <v>2.91641E-6</v>
      </c>
      <c r="J802">
        <f t="shared" si="117"/>
        <v>2.3737484741551598E-2</v>
      </c>
      <c r="K802">
        <v>1.5136673799849376E-3</v>
      </c>
      <c r="L802">
        <v>3.2458274850108271E-2</v>
      </c>
      <c r="N802" s="1">
        <v>2.91641E-6</v>
      </c>
      <c r="O802">
        <f t="shared" si="118"/>
        <v>1.5136673799849376E-3</v>
      </c>
      <c r="Q802" s="1">
        <v>2.91641E-6</v>
      </c>
      <c r="R802">
        <f t="shared" si="119"/>
        <v>3.2458274850108271E-2</v>
      </c>
      <c r="CH802" s="1">
        <v>2.6997300000000002E-6</v>
      </c>
      <c r="CI802">
        <v>14.7684</v>
      </c>
      <c r="CJ802">
        <f t="shared" si="120"/>
        <v>1147.7853532090551</v>
      </c>
      <c r="CL802" s="1">
        <v>2.6997300000000002E-6</v>
      </c>
      <c r="CM802">
        <v>3.7039999999999997E-2</v>
      </c>
      <c r="CN802">
        <f t="shared" si="121"/>
        <v>2.8787119446157607</v>
      </c>
    </row>
    <row r="803" spans="4:92" x14ac:dyDescent="0.35">
      <c r="D803" s="1">
        <v>2.9541799999999999E-6</v>
      </c>
      <c r="E803">
        <v>13.2196</v>
      </c>
      <c r="F803">
        <v>0.30158099999999999</v>
      </c>
      <c r="G803">
        <v>10.275</v>
      </c>
      <c r="I803" s="1">
        <v>2.9541799999999999E-6</v>
      </c>
      <c r="J803">
        <f t="shared" si="117"/>
        <v>2.3462738761321295E-2</v>
      </c>
      <c r="K803">
        <v>1.6005628247568E-3</v>
      </c>
      <c r="L803">
        <v>3.3780839939232803E-2</v>
      </c>
      <c r="N803" s="1">
        <v>2.9541799999999999E-6</v>
      </c>
      <c r="O803">
        <f t="shared" si="118"/>
        <v>1.6005628247568E-3</v>
      </c>
      <c r="Q803" s="1">
        <v>2.9541799999999999E-6</v>
      </c>
      <c r="R803">
        <f t="shared" si="119"/>
        <v>3.3780839939232803E-2</v>
      </c>
      <c r="CH803" s="1">
        <v>2.73469E-6</v>
      </c>
      <c r="CI803">
        <v>15.6998</v>
      </c>
      <c r="CJ803">
        <f t="shared" si="120"/>
        <v>1220.172834451364</v>
      </c>
      <c r="CL803" s="1">
        <v>2.73469E-6</v>
      </c>
      <c r="CM803">
        <v>3.0689999999999999E-2</v>
      </c>
      <c r="CN803">
        <f t="shared" si="121"/>
        <v>2.3851962629659207</v>
      </c>
    </row>
    <row r="804" spans="4:92" x14ac:dyDescent="0.35">
      <c r="D804" s="1">
        <v>2.9924299999999999E-6</v>
      </c>
      <c r="E804">
        <v>13.219099999999999</v>
      </c>
      <c r="F804">
        <v>0.32554</v>
      </c>
      <c r="G804">
        <v>9.6985399999999995</v>
      </c>
      <c r="I804" s="1">
        <v>2.9924299999999999E-6</v>
      </c>
      <c r="J804">
        <f t="shared" si="117"/>
        <v>2.3461851338904528E-2</v>
      </c>
      <c r="K804">
        <v>1.7277189941386514E-3</v>
      </c>
      <c r="L804">
        <v>3.1885627969269768E-2</v>
      </c>
      <c r="N804" s="1">
        <v>2.9924299999999999E-6</v>
      </c>
      <c r="O804">
        <f t="shared" si="118"/>
        <v>1.7277189941386514E-3</v>
      </c>
      <c r="Q804" s="1">
        <v>2.9924299999999999E-6</v>
      </c>
      <c r="R804">
        <f t="shared" si="119"/>
        <v>3.1885627969269768E-2</v>
      </c>
      <c r="CH804" s="1">
        <v>2.7701099999999998E-6</v>
      </c>
      <c r="CI804">
        <v>15.2316</v>
      </c>
      <c r="CJ804">
        <f t="shared" si="120"/>
        <v>1183.7847963177489</v>
      </c>
      <c r="CL804" s="1">
        <v>2.7701099999999998E-6</v>
      </c>
      <c r="CM804">
        <v>3.4759999999999999E-2</v>
      </c>
      <c r="CN804">
        <f t="shared" si="121"/>
        <v>2.7015126132517238</v>
      </c>
    </row>
    <row r="805" spans="4:92" x14ac:dyDescent="0.35">
      <c r="D805" s="1">
        <v>3.03119E-6</v>
      </c>
      <c r="E805">
        <v>13.751799999999999</v>
      </c>
      <c r="F805">
        <v>0.30441200000000002</v>
      </c>
      <c r="G805">
        <v>9.9470799999999997</v>
      </c>
      <c r="I805" s="1">
        <v>3.03119E-6</v>
      </c>
      <c r="J805">
        <f t="shared" si="117"/>
        <v>2.4407311181725483E-2</v>
      </c>
      <c r="K805">
        <v>1.615587621931975E-3</v>
      </c>
      <c r="L805">
        <v>3.2702746213405721E-2</v>
      </c>
      <c r="N805" s="1">
        <v>3.03119E-6</v>
      </c>
      <c r="O805">
        <f t="shared" si="118"/>
        <v>1.615587621931975E-3</v>
      </c>
      <c r="Q805" s="1">
        <v>3.03119E-6</v>
      </c>
      <c r="R805">
        <f t="shared" si="119"/>
        <v>3.2702746213405721E-2</v>
      </c>
      <c r="CH805" s="1">
        <v>2.8059800000000002E-6</v>
      </c>
      <c r="CI805">
        <v>14.9543</v>
      </c>
      <c r="CJ805">
        <f t="shared" si="120"/>
        <v>1162.2333162356229</v>
      </c>
      <c r="CL805" s="1">
        <v>2.8059800000000002E-6</v>
      </c>
      <c r="CM805">
        <v>3.7289999999999997E-2</v>
      </c>
      <c r="CN805">
        <f t="shared" si="121"/>
        <v>2.8981416958618174</v>
      </c>
    </row>
    <row r="806" spans="4:92" x14ac:dyDescent="0.35">
      <c r="D806" s="1">
        <v>3.0704400000000001E-6</v>
      </c>
      <c r="E806">
        <v>13.2432</v>
      </c>
      <c r="F806">
        <v>0.27208700000000002</v>
      </c>
      <c r="G806">
        <v>9.6945800000000002</v>
      </c>
      <c r="I806" s="1">
        <v>3.0704400000000001E-6</v>
      </c>
      <c r="J806">
        <f t="shared" si="117"/>
        <v>2.3504625099392582E-2</v>
      </c>
      <c r="K806">
        <v>1.4440310805375787E-3</v>
      </c>
      <c r="L806">
        <v>3.1872608784242099E-2</v>
      </c>
      <c r="N806" s="1">
        <v>3.0704400000000001E-6</v>
      </c>
      <c r="O806">
        <f t="shared" si="118"/>
        <v>1.4440310805375787E-3</v>
      </c>
      <c r="Q806" s="1">
        <v>3.0704400000000001E-6</v>
      </c>
      <c r="R806">
        <f t="shared" si="119"/>
        <v>3.1872608784242099E-2</v>
      </c>
      <c r="CH806" s="1">
        <v>2.84232E-6</v>
      </c>
      <c r="CI806">
        <v>15.074400000000001</v>
      </c>
      <c r="CJ806">
        <f t="shared" si="120"/>
        <v>1171.5673687342287</v>
      </c>
      <c r="CL806" s="1">
        <v>2.84232E-6</v>
      </c>
      <c r="CM806">
        <v>3.7440000000000001E-2</v>
      </c>
      <c r="CN806">
        <f t="shared" si="121"/>
        <v>2.9097995466094515</v>
      </c>
    </row>
    <row r="807" spans="4:92" x14ac:dyDescent="0.35">
      <c r="D807" s="1">
        <v>3.1101999999999999E-6</v>
      </c>
      <c r="E807">
        <v>13.348699999999999</v>
      </c>
      <c r="F807">
        <v>0.282192</v>
      </c>
      <c r="G807">
        <v>10.029999999999999</v>
      </c>
      <c r="I807" s="1">
        <v>3.1101999999999999E-6</v>
      </c>
      <c r="J807">
        <f t="shared" si="117"/>
        <v>2.3691871229329899E-2</v>
      </c>
      <c r="K807">
        <v>1.4976607433617201E-3</v>
      </c>
      <c r="L807">
        <v>3.2975360057470073E-2</v>
      </c>
      <c r="N807" s="1">
        <v>3.1101999999999999E-6</v>
      </c>
      <c r="O807">
        <f t="shared" si="118"/>
        <v>1.4976607433617201E-3</v>
      </c>
      <c r="Q807" s="1">
        <v>3.1101999999999999E-6</v>
      </c>
      <c r="R807">
        <f t="shared" si="119"/>
        <v>3.2975360057470073E-2</v>
      </c>
      <c r="CH807" s="1">
        <v>2.8791199999999998E-6</v>
      </c>
      <c r="CI807">
        <v>14.8392</v>
      </c>
      <c r="CJ807">
        <f t="shared" si="120"/>
        <v>1153.2878587619384</v>
      </c>
      <c r="CL807" s="1">
        <v>2.8791199999999998E-6</v>
      </c>
      <c r="CM807">
        <v>3.7350000000000001E-2</v>
      </c>
      <c r="CN807">
        <f t="shared" si="121"/>
        <v>2.9028048361608714</v>
      </c>
    </row>
    <row r="808" spans="4:92" x14ac:dyDescent="0.35">
      <c r="D808" s="1">
        <v>3.15048E-6</v>
      </c>
      <c r="E808">
        <v>13.3064</v>
      </c>
      <c r="F808">
        <v>0.254714</v>
      </c>
      <c r="G808">
        <v>9.9896700000000003</v>
      </c>
      <c r="I808" s="1">
        <v>3.15048E-6</v>
      </c>
      <c r="J808">
        <f t="shared" si="117"/>
        <v>2.3616795292871619E-2</v>
      </c>
      <c r="K808">
        <v>1.3518283955060285E-3</v>
      </c>
      <c r="L808">
        <v>3.2842768205912976E-2</v>
      </c>
      <c r="N808" s="1">
        <v>3.15048E-6</v>
      </c>
      <c r="O808">
        <f t="shared" si="118"/>
        <v>1.3518283955060285E-3</v>
      </c>
      <c r="Q808" s="1">
        <v>3.15048E-6</v>
      </c>
      <c r="R808">
        <f t="shared" si="119"/>
        <v>3.2842768205912976E-2</v>
      </c>
      <c r="CH808" s="1">
        <v>2.91641E-6</v>
      </c>
      <c r="CI808">
        <v>15.5389</v>
      </c>
      <c r="CJ808">
        <f t="shared" si="120"/>
        <v>1207.6678465494019</v>
      </c>
      <c r="CL808" s="1">
        <v>2.91641E-6</v>
      </c>
      <c r="CM808">
        <v>3.5740000000000001E-2</v>
      </c>
      <c r="CN808">
        <f t="shared" si="121"/>
        <v>2.777677238136266</v>
      </c>
    </row>
    <row r="809" spans="4:92" x14ac:dyDescent="0.35">
      <c r="D809" s="1">
        <v>3.1912800000000001E-6</v>
      </c>
      <c r="E809">
        <v>13.0883</v>
      </c>
      <c r="F809">
        <v>0.28818500000000002</v>
      </c>
      <c r="G809">
        <v>9.8572900000000008</v>
      </c>
      <c r="I809" s="1">
        <v>3.1912800000000001E-6</v>
      </c>
      <c r="J809">
        <f t="shared" si="117"/>
        <v>2.3229701634678926E-2</v>
      </c>
      <c r="K809">
        <v>1.529467034238027E-3</v>
      </c>
      <c r="L809">
        <v>3.2407546055922151E-2</v>
      </c>
      <c r="N809" s="1">
        <v>3.1912800000000001E-6</v>
      </c>
      <c r="O809">
        <f t="shared" si="118"/>
        <v>1.529467034238027E-3</v>
      </c>
      <c r="Q809" s="1">
        <v>3.1912800000000001E-6</v>
      </c>
      <c r="R809">
        <f t="shared" si="119"/>
        <v>3.2407546055922151E-2</v>
      </c>
      <c r="CH809" s="1">
        <v>2.9541799999999999E-6</v>
      </c>
      <c r="CI809">
        <v>15.1067</v>
      </c>
      <c r="CJ809">
        <f t="shared" si="120"/>
        <v>1174.0776925952191</v>
      </c>
      <c r="CL809" s="1">
        <v>2.9541799999999999E-6</v>
      </c>
      <c r="CM809">
        <v>3.7879999999999997E-2</v>
      </c>
      <c r="CN809">
        <f t="shared" si="121"/>
        <v>2.9439959088025112</v>
      </c>
    </row>
    <row r="810" spans="4:92" x14ac:dyDescent="0.35">
      <c r="D810" s="1">
        <v>3.23261E-6</v>
      </c>
      <c r="E810">
        <v>13.222300000000001</v>
      </c>
      <c r="F810">
        <v>0.31125700000000001</v>
      </c>
      <c r="G810">
        <v>9.9375199999999992</v>
      </c>
      <c r="I810" s="1">
        <v>3.23261E-6</v>
      </c>
      <c r="J810">
        <f t="shared" si="117"/>
        <v>2.3467530842371825E-2</v>
      </c>
      <c r="K810">
        <v>1.6519156815095358E-3</v>
      </c>
      <c r="L810">
        <v>3.2671316059652046E-2</v>
      </c>
      <c r="N810" s="1">
        <v>3.23261E-6</v>
      </c>
      <c r="O810">
        <f t="shared" si="118"/>
        <v>1.6519156815095358E-3</v>
      </c>
      <c r="Q810" s="1">
        <v>3.23261E-6</v>
      </c>
      <c r="R810">
        <f t="shared" si="119"/>
        <v>3.2671316059652046E-2</v>
      </c>
      <c r="CH810" s="1">
        <v>2.9924299999999999E-6</v>
      </c>
      <c r="CI810">
        <v>14.963699999999999</v>
      </c>
      <c r="CJ810">
        <f t="shared" si="120"/>
        <v>1162.9638748824746</v>
      </c>
      <c r="CL810" s="1">
        <v>2.9924299999999999E-6</v>
      </c>
      <c r="CM810">
        <v>3.5700000000000003E-2</v>
      </c>
      <c r="CN810">
        <f t="shared" si="121"/>
        <v>2.7745684779368971</v>
      </c>
    </row>
    <row r="811" spans="4:92" x14ac:dyDescent="0.35">
      <c r="D811" s="1">
        <v>3.2744700000000002E-6</v>
      </c>
      <c r="E811">
        <v>13.4095</v>
      </c>
      <c r="F811">
        <v>0.29425099999999998</v>
      </c>
      <c r="G811">
        <v>10.0167</v>
      </c>
      <c r="I811" s="1">
        <v>3.2744700000000002E-6</v>
      </c>
      <c r="J811">
        <f t="shared" si="117"/>
        <v>2.3799781795208471E-2</v>
      </c>
      <c r="K811">
        <v>1.5616607536532909E-3</v>
      </c>
      <c r="L811">
        <v>3.2931634006745814E-2</v>
      </c>
      <c r="N811" s="1">
        <v>3.2744700000000002E-6</v>
      </c>
      <c r="O811">
        <f t="shared" si="118"/>
        <v>1.5616607536532909E-3</v>
      </c>
      <c r="Q811" s="1">
        <v>3.2744700000000002E-6</v>
      </c>
      <c r="R811">
        <f t="shared" si="119"/>
        <v>3.2931634006745814E-2</v>
      </c>
      <c r="CH811" s="1">
        <v>3.03119E-6</v>
      </c>
      <c r="CI811">
        <v>15.0969</v>
      </c>
      <c r="CJ811">
        <f t="shared" si="120"/>
        <v>1173.3160463463737</v>
      </c>
      <c r="CL811" s="1">
        <v>3.03119E-6</v>
      </c>
      <c r="CM811">
        <v>3.7199999999999997E-2</v>
      </c>
      <c r="CN811">
        <f t="shared" si="121"/>
        <v>2.8911469854132368</v>
      </c>
    </row>
    <row r="812" spans="4:92" x14ac:dyDescent="0.35">
      <c r="D812" s="1">
        <v>3.31687E-6</v>
      </c>
      <c r="E812">
        <v>13.2461</v>
      </c>
      <c r="F812">
        <v>0.268432</v>
      </c>
      <c r="G812">
        <v>9.9808000000000003</v>
      </c>
      <c r="I812" s="1">
        <v>3.31687E-6</v>
      </c>
      <c r="J812">
        <f t="shared" si="117"/>
        <v>2.3509772149409816E-2</v>
      </c>
      <c r="K812">
        <v>1.4246331173884208E-3</v>
      </c>
      <c r="L812">
        <v>3.2813606546520172E-2</v>
      </c>
      <c r="N812" s="1">
        <v>3.31687E-6</v>
      </c>
      <c r="O812">
        <f t="shared" si="118"/>
        <v>1.4246331173884208E-3</v>
      </c>
      <c r="Q812" s="1">
        <v>3.31687E-6</v>
      </c>
      <c r="R812">
        <f t="shared" si="119"/>
        <v>3.2813606546520172E-2</v>
      </c>
      <c r="CH812" s="1">
        <v>3.0704400000000001E-6</v>
      </c>
      <c r="CI812">
        <v>14.840999999999999</v>
      </c>
      <c r="CJ812">
        <f t="shared" si="120"/>
        <v>1153.42775297091</v>
      </c>
      <c r="CL812" s="1">
        <v>3.0704400000000001E-6</v>
      </c>
      <c r="CM812">
        <v>3.6510000000000001E-2</v>
      </c>
      <c r="CN812">
        <f t="shared" si="121"/>
        <v>2.8375208719741205</v>
      </c>
    </row>
    <row r="813" spans="4:92" x14ac:dyDescent="0.35">
      <c r="D813" s="1">
        <v>3.35983E-6</v>
      </c>
      <c r="E813">
        <v>13.186999999999999</v>
      </c>
      <c r="F813">
        <v>0.29835499999999998</v>
      </c>
      <c r="G813">
        <v>9.7775099999999995</v>
      </c>
      <c r="I813" s="1">
        <v>3.35983E-6</v>
      </c>
      <c r="J813">
        <f t="shared" si="117"/>
        <v>2.3404878819748245E-2</v>
      </c>
      <c r="K813">
        <v>1.5834416676790482E-3</v>
      </c>
      <c r="L813">
        <v>3.2145255505036316E-2</v>
      </c>
      <c r="N813" s="1">
        <v>3.35983E-6</v>
      </c>
      <c r="O813">
        <f t="shared" si="118"/>
        <v>1.5834416676790482E-3</v>
      </c>
      <c r="Q813" s="1">
        <v>3.35983E-6</v>
      </c>
      <c r="R813">
        <f t="shared" si="119"/>
        <v>3.2145255505036316E-2</v>
      </c>
      <c r="CH813" s="1">
        <v>3.1101999999999999E-6</v>
      </c>
      <c r="CI813">
        <v>14.7181</v>
      </c>
      <c r="CJ813">
        <f t="shared" si="120"/>
        <v>1143.8760872583484</v>
      </c>
      <c r="CL813" s="1">
        <v>3.1101999999999999E-6</v>
      </c>
      <c r="CM813">
        <v>4.3929999999999997E-2</v>
      </c>
      <c r="CN813">
        <f t="shared" si="121"/>
        <v>3.4141958889570834</v>
      </c>
    </row>
    <row r="814" spans="4:92" x14ac:dyDescent="0.35">
      <c r="D814" s="1">
        <v>3.4033399999999999E-6</v>
      </c>
      <c r="E814">
        <v>13.5992</v>
      </c>
      <c r="F814">
        <v>0.34091300000000002</v>
      </c>
      <c r="G814">
        <v>10.057499999999999</v>
      </c>
      <c r="I814" s="1">
        <v>3.4033399999999999E-6</v>
      </c>
      <c r="J814">
        <f t="shared" si="117"/>
        <v>2.4136469860128941E-2</v>
      </c>
      <c r="K814">
        <v>1.8093071986508269E-3</v>
      </c>
      <c r="L814">
        <v>3.3065771064606703E-2</v>
      </c>
      <c r="N814" s="1">
        <v>3.4033399999999999E-6</v>
      </c>
      <c r="O814">
        <f t="shared" si="118"/>
        <v>1.8093071986508269E-3</v>
      </c>
      <c r="Q814" s="1">
        <v>3.4033399999999999E-6</v>
      </c>
      <c r="R814">
        <f t="shared" si="119"/>
        <v>3.3065771064606703E-2</v>
      </c>
      <c r="CH814" s="1">
        <v>3.15048E-6</v>
      </c>
      <c r="CI814">
        <v>14.962899999999999</v>
      </c>
      <c r="CJ814">
        <f t="shared" si="120"/>
        <v>1162.9016996784871</v>
      </c>
      <c r="CL814" s="1">
        <v>3.15048E-6</v>
      </c>
      <c r="CM814">
        <v>3.6380000000000003E-2</v>
      </c>
      <c r="CN814">
        <f t="shared" si="121"/>
        <v>2.8274174013261715</v>
      </c>
    </row>
    <row r="815" spans="4:92" x14ac:dyDescent="0.35">
      <c r="D815" s="1">
        <v>3.4474100000000001E-6</v>
      </c>
      <c r="E815">
        <v>13.210800000000001</v>
      </c>
      <c r="F815">
        <v>0.29028500000000002</v>
      </c>
      <c r="G815">
        <v>9.9287700000000001</v>
      </c>
      <c r="I815" s="1">
        <v>3.4474100000000001E-6</v>
      </c>
      <c r="J815">
        <f t="shared" si="117"/>
        <v>2.344712012678624E-2</v>
      </c>
      <c r="K815">
        <v>1.5406122387833705E-3</v>
      </c>
      <c r="L815">
        <v>3.2642548921017665E-2</v>
      </c>
      <c r="N815" s="1">
        <v>3.4474100000000001E-6</v>
      </c>
      <c r="O815">
        <f t="shared" si="118"/>
        <v>1.5406122387833705E-3</v>
      </c>
      <c r="Q815" s="1">
        <v>3.4474100000000001E-6</v>
      </c>
      <c r="R815">
        <f t="shared" si="119"/>
        <v>3.2642548921017665E-2</v>
      </c>
      <c r="CH815" s="1">
        <v>3.1912800000000001E-6</v>
      </c>
      <c r="CI815">
        <v>14.431100000000001</v>
      </c>
      <c r="CJ815">
        <f t="shared" si="120"/>
        <v>1121.5707328278754</v>
      </c>
      <c r="CL815" s="1">
        <v>3.1912800000000001E-6</v>
      </c>
      <c r="CM815">
        <v>3.7179999999999998E-2</v>
      </c>
      <c r="CN815">
        <f t="shared" si="121"/>
        <v>2.8895926053135526</v>
      </c>
    </row>
    <row r="816" spans="4:92" x14ac:dyDescent="0.35">
      <c r="D816" s="1">
        <v>3.4920600000000002E-6</v>
      </c>
      <c r="E816">
        <v>13.283300000000001</v>
      </c>
      <c r="F816">
        <v>0.27596599999999999</v>
      </c>
      <c r="G816">
        <v>9.9178499999999996</v>
      </c>
      <c r="I816" s="1">
        <v>3.4920600000000002E-6</v>
      </c>
      <c r="J816">
        <f t="shared" si="117"/>
        <v>2.3575796377217097E-2</v>
      </c>
      <c r="K816">
        <v>1.4646178655049059E-3</v>
      </c>
      <c r="L816">
        <v>3.2606647532001952E-2</v>
      </c>
      <c r="N816" s="1">
        <v>3.4920600000000002E-6</v>
      </c>
      <c r="O816">
        <f t="shared" si="118"/>
        <v>1.4646178655049059E-3</v>
      </c>
      <c r="Q816" s="1">
        <v>3.4920600000000002E-6</v>
      </c>
      <c r="R816">
        <f t="shared" si="119"/>
        <v>3.2606647532001952E-2</v>
      </c>
      <c r="CH816" s="1">
        <v>3.23261E-6</v>
      </c>
      <c r="CI816">
        <v>15.700200000000001</v>
      </c>
      <c r="CJ816">
        <f t="shared" si="120"/>
        <v>1220.2039220533577</v>
      </c>
      <c r="CL816" s="1">
        <v>3.23261E-6</v>
      </c>
      <c r="CM816">
        <v>3.5139999999999998E-2</v>
      </c>
      <c r="CN816">
        <f t="shared" si="121"/>
        <v>2.7310458351457298</v>
      </c>
    </row>
    <row r="817" spans="4:92" x14ac:dyDescent="0.35">
      <c r="D817" s="1">
        <v>3.5372799999999999E-6</v>
      </c>
      <c r="E817">
        <v>13.4573</v>
      </c>
      <c r="F817">
        <v>0.283605</v>
      </c>
      <c r="G817">
        <v>10.1395</v>
      </c>
      <c r="I817" s="1">
        <v>3.5372799999999999E-6</v>
      </c>
      <c r="J817">
        <f t="shared" si="117"/>
        <v>2.3884619378251162E-2</v>
      </c>
      <c r="K817">
        <v>1.5051598738486584E-3</v>
      </c>
      <c r="L817">
        <v>3.3335360249523216E-2</v>
      </c>
      <c r="N817" s="1">
        <v>3.5372799999999999E-6</v>
      </c>
      <c r="O817">
        <f t="shared" si="118"/>
        <v>1.5051598738486584E-3</v>
      </c>
      <c r="Q817" s="1">
        <v>3.5372799999999999E-6</v>
      </c>
      <c r="R817">
        <f t="shared" si="119"/>
        <v>3.3335360249523216E-2</v>
      </c>
      <c r="CH817" s="1">
        <v>3.2744700000000002E-6</v>
      </c>
      <c r="CI817">
        <v>14.9129</v>
      </c>
      <c r="CJ817">
        <f t="shared" si="120"/>
        <v>1159.015749429276</v>
      </c>
      <c r="CL817" s="1">
        <v>3.2744700000000002E-6</v>
      </c>
      <c r="CM817">
        <v>3.4119999999999998E-2</v>
      </c>
      <c r="CN817">
        <f t="shared" si="121"/>
        <v>2.6517724500618183</v>
      </c>
    </row>
    <row r="818" spans="4:92" x14ac:dyDescent="0.35">
      <c r="D818" s="1">
        <v>3.5830900000000002E-6</v>
      </c>
      <c r="E818">
        <v>13.414300000000001</v>
      </c>
      <c r="F818">
        <v>0.32436399999999999</v>
      </c>
      <c r="G818">
        <v>9.8427100000000003</v>
      </c>
      <c r="I818" s="1">
        <v>3.5830900000000002E-6</v>
      </c>
      <c r="J818">
        <f t="shared" si="117"/>
        <v>2.380830105040941E-2</v>
      </c>
      <c r="K818">
        <v>1.721477679593259E-3</v>
      </c>
      <c r="L818">
        <v>3.2359611783774805E-2</v>
      </c>
      <c r="N818" s="1">
        <v>3.5830900000000002E-6</v>
      </c>
      <c r="O818">
        <f t="shared" si="118"/>
        <v>1.721477679593259E-3</v>
      </c>
      <c r="Q818" s="1">
        <v>3.5830900000000002E-6</v>
      </c>
      <c r="R818">
        <f t="shared" si="119"/>
        <v>3.2359611783774805E-2</v>
      </c>
      <c r="CH818" s="1">
        <v>3.31687E-6</v>
      </c>
      <c r="CI818">
        <v>15.9665</v>
      </c>
      <c r="CJ818">
        <f t="shared" si="120"/>
        <v>1240.9004930806573</v>
      </c>
      <c r="CL818" s="1">
        <v>3.31687E-6</v>
      </c>
      <c r="CM818">
        <v>4.2680000000000003E-2</v>
      </c>
      <c r="CN818">
        <f t="shared" si="121"/>
        <v>3.3170471327268003</v>
      </c>
    </row>
    <row r="819" spans="4:92" x14ac:dyDescent="0.35">
      <c r="D819" s="1">
        <v>3.6294899999999999E-6</v>
      </c>
      <c r="E819">
        <v>13.3017</v>
      </c>
      <c r="F819">
        <v>0.34076699999999999</v>
      </c>
      <c r="G819">
        <v>10.083299999999999</v>
      </c>
      <c r="I819" s="1">
        <v>3.6294899999999999E-6</v>
      </c>
      <c r="J819">
        <f t="shared" si="117"/>
        <v>2.3608453522154037E-2</v>
      </c>
      <c r="K819">
        <v>1.8085323415729122E-3</v>
      </c>
      <c r="L819">
        <v>3.3150593027665799E-2</v>
      </c>
      <c r="N819" s="1">
        <v>3.6294899999999999E-6</v>
      </c>
      <c r="O819">
        <f t="shared" si="118"/>
        <v>1.8085323415729122E-3</v>
      </c>
      <c r="Q819" s="1">
        <v>3.6294899999999999E-6</v>
      </c>
      <c r="R819">
        <f t="shared" si="119"/>
        <v>3.3150593027665799E-2</v>
      </c>
      <c r="CH819" s="1">
        <v>3.35983E-6</v>
      </c>
      <c r="CI819">
        <v>15.4252</v>
      </c>
      <c r="CJ819">
        <f t="shared" si="120"/>
        <v>1198.8311956826954</v>
      </c>
      <c r="CL819" s="1">
        <v>3.35983E-6</v>
      </c>
      <c r="CM819">
        <v>3.6819999999999999E-2</v>
      </c>
      <c r="CN819">
        <f t="shared" si="121"/>
        <v>2.8616137635192307</v>
      </c>
    </row>
    <row r="820" spans="4:92" x14ac:dyDescent="0.35">
      <c r="D820" s="1">
        <v>3.67649E-6</v>
      </c>
      <c r="E820">
        <v>12.993600000000001</v>
      </c>
      <c r="F820">
        <v>0.26907599999999998</v>
      </c>
      <c r="G820">
        <v>9.6865100000000002</v>
      </c>
      <c r="I820" s="1">
        <v>3.67649E-6</v>
      </c>
      <c r="J820">
        <f t="shared" si="117"/>
        <v>2.3061623828943719E-2</v>
      </c>
      <c r="K820">
        <v>1.4280509801156594E-3</v>
      </c>
      <c r="L820">
        <v>3.184607726323873E-2</v>
      </c>
      <c r="N820" s="1">
        <v>3.67649E-6</v>
      </c>
      <c r="O820">
        <f t="shared" si="118"/>
        <v>1.4280509801156594E-3</v>
      </c>
      <c r="Q820" s="1">
        <v>3.67649E-6</v>
      </c>
      <c r="R820">
        <f t="shared" si="119"/>
        <v>3.184607726323873E-2</v>
      </c>
      <c r="CH820" s="1">
        <v>3.4033399999999999E-6</v>
      </c>
      <c r="CI820">
        <v>15.470599999999999</v>
      </c>
      <c r="CJ820">
        <f t="shared" si="120"/>
        <v>1202.3596385089791</v>
      </c>
      <c r="CL820" s="1">
        <v>3.4033399999999999E-6</v>
      </c>
      <c r="CM820">
        <v>3.288E-2</v>
      </c>
      <c r="CN820">
        <f t="shared" si="121"/>
        <v>2.5554008838813771</v>
      </c>
    </row>
    <row r="821" spans="4:92" x14ac:dyDescent="0.35">
      <c r="D821" s="1">
        <v>3.7241000000000001E-6</v>
      </c>
      <c r="E821">
        <v>13.057499999999999</v>
      </c>
      <c r="F821">
        <v>0.32464999999999999</v>
      </c>
      <c r="G821">
        <v>10.1</v>
      </c>
      <c r="I821" s="1">
        <v>3.7241000000000001E-6</v>
      </c>
      <c r="J821">
        <f t="shared" si="117"/>
        <v>2.3175036413806225E-2</v>
      </c>
      <c r="K821">
        <v>1.7229955503075295E-3</v>
      </c>
      <c r="L821">
        <v>3.3205497166545139E-2</v>
      </c>
      <c r="N821" s="1">
        <v>3.7241000000000001E-6</v>
      </c>
      <c r="O821">
        <f t="shared" si="118"/>
        <v>1.7229955503075295E-3</v>
      </c>
      <c r="Q821" s="1">
        <v>3.7241000000000001E-6</v>
      </c>
      <c r="R821">
        <f t="shared" si="119"/>
        <v>3.3205497166545139E-2</v>
      </c>
      <c r="CH821" s="1">
        <v>3.4474100000000001E-6</v>
      </c>
      <c r="CI821">
        <v>14.898</v>
      </c>
      <c r="CJ821">
        <f t="shared" si="120"/>
        <v>1157.8577362550109</v>
      </c>
      <c r="CL821" s="1">
        <v>3.4474100000000001E-6</v>
      </c>
      <c r="CM821">
        <v>3.3050000000000003E-2</v>
      </c>
      <c r="CN821">
        <f t="shared" si="121"/>
        <v>2.5686131147286959</v>
      </c>
    </row>
    <row r="822" spans="4:92" x14ac:dyDescent="0.35">
      <c r="D822" s="1">
        <v>3.7723299999999998E-6</v>
      </c>
      <c r="E822">
        <v>13.043100000000001</v>
      </c>
      <c r="F822">
        <v>0.28948099999999999</v>
      </c>
      <c r="G822">
        <v>9.9727399999999999</v>
      </c>
      <c r="I822" s="1">
        <v>3.7723299999999998E-6</v>
      </c>
      <c r="J822">
        <f t="shared" si="117"/>
        <v>2.3149478648203409E-2</v>
      </c>
      <c r="K822">
        <v>1.5363452176145819E-3</v>
      </c>
      <c r="L822">
        <v>3.2787107902246669E-2</v>
      </c>
      <c r="N822" s="1">
        <v>3.7723299999999998E-6</v>
      </c>
      <c r="O822">
        <f t="shared" si="118"/>
        <v>1.5363452176145819E-3</v>
      </c>
      <c r="Q822" s="1">
        <v>3.7723299999999998E-6</v>
      </c>
      <c r="R822">
        <f t="shared" si="119"/>
        <v>3.2787107902246669E-2</v>
      </c>
      <c r="CH822" s="1">
        <v>3.4920600000000002E-6</v>
      </c>
      <c r="CI822">
        <v>14.842700000000001</v>
      </c>
      <c r="CJ822">
        <f t="shared" si="120"/>
        <v>1153.5598752793833</v>
      </c>
      <c r="CL822" s="1">
        <v>3.4920600000000002E-6</v>
      </c>
      <c r="CM822">
        <v>3.848E-2</v>
      </c>
      <c r="CN822">
        <f t="shared" si="121"/>
        <v>2.9906273117930473</v>
      </c>
    </row>
    <row r="823" spans="4:92" x14ac:dyDescent="0.35">
      <c r="D823" s="1">
        <v>3.8211800000000002E-6</v>
      </c>
      <c r="E823">
        <v>13.136100000000001</v>
      </c>
      <c r="F823">
        <v>0.287997</v>
      </c>
      <c r="G823">
        <v>9.7519100000000005</v>
      </c>
      <c r="I823" s="1">
        <v>3.8211800000000002E-6</v>
      </c>
      <c r="J823">
        <f t="shared" si="117"/>
        <v>2.3314539217721617E-2</v>
      </c>
      <c r="K823">
        <v>1.5284692730692057E-3</v>
      </c>
      <c r="L823">
        <v>3.206109107657458E-2</v>
      </c>
      <c r="N823" s="1">
        <v>3.8211800000000002E-6</v>
      </c>
      <c r="O823">
        <f t="shared" si="118"/>
        <v>1.5284692730692057E-3</v>
      </c>
      <c r="Q823" s="1">
        <v>3.8211800000000002E-6</v>
      </c>
      <c r="R823">
        <f t="shared" si="119"/>
        <v>3.206109107657458E-2</v>
      </c>
      <c r="CH823" s="1">
        <v>3.5372799999999999E-6</v>
      </c>
      <c r="CI823">
        <v>14.7416</v>
      </c>
      <c r="CJ823">
        <f t="shared" si="120"/>
        <v>1145.7024838754778</v>
      </c>
      <c r="CL823" s="1">
        <v>3.5372799999999999E-6</v>
      </c>
      <c r="CM823">
        <v>3.8510000000000003E-2</v>
      </c>
      <c r="CN823">
        <f t="shared" si="121"/>
        <v>2.9929588819425743</v>
      </c>
    </row>
    <row r="824" spans="4:92" x14ac:dyDescent="0.35">
      <c r="D824" s="1">
        <v>3.8706599999999998E-6</v>
      </c>
      <c r="E824">
        <v>13.1187</v>
      </c>
      <c r="F824">
        <v>0.329675</v>
      </c>
      <c r="G824">
        <v>9.7895299999999992</v>
      </c>
      <c r="I824" s="1">
        <v>3.8706599999999998E-6</v>
      </c>
      <c r="J824">
        <f t="shared" si="117"/>
        <v>2.328365691761821E-2</v>
      </c>
      <c r="K824">
        <v>1.7496644326124593E-3</v>
      </c>
      <c r="L824">
        <v>3.2184773334337488E-2</v>
      </c>
      <c r="N824" s="1">
        <v>3.8706599999999998E-6</v>
      </c>
      <c r="O824">
        <f t="shared" si="118"/>
        <v>1.7496644326124593E-3</v>
      </c>
      <c r="Q824" s="1">
        <v>3.8706599999999998E-6</v>
      </c>
      <c r="R824">
        <f t="shared" si="119"/>
        <v>3.2184773334337488E-2</v>
      </c>
      <c r="CH824" s="1">
        <v>3.5830900000000002E-6</v>
      </c>
      <c r="CI824">
        <v>15.255699999999999</v>
      </c>
      <c r="CJ824">
        <f t="shared" si="120"/>
        <v>1185.6578243378688</v>
      </c>
      <c r="CL824" s="1">
        <v>3.5830900000000002E-6</v>
      </c>
      <c r="CM824">
        <v>3.6600000000000001E-2</v>
      </c>
      <c r="CN824">
        <f t="shared" si="121"/>
        <v>2.8445155824227011</v>
      </c>
    </row>
    <row r="825" spans="4:92" x14ac:dyDescent="0.35">
      <c r="D825" s="1">
        <v>3.9207899999999999E-6</v>
      </c>
      <c r="E825">
        <v>13.4123</v>
      </c>
      <c r="F825">
        <v>0.32156299999999999</v>
      </c>
      <c r="G825">
        <v>9.9827700000000004</v>
      </c>
      <c r="I825" s="1">
        <v>3.9207899999999999E-6</v>
      </c>
      <c r="J825">
        <f t="shared" si="117"/>
        <v>2.3804751360742355E-2</v>
      </c>
      <c r="K825">
        <v>1.7066120996258745E-3</v>
      </c>
      <c r="L825">
        <v>3.2820083262304144E-2</v>
      </c>
      <c r="N825" s="1">
        <v>3.9207899999999999E-6</v>
      </c>
      <c r="O825">
        <f t="shared" si="118"/>
        <v>1.7066120996258745E-3</v>
      </c>
      <c r="Q825" s="1">
        <v>3.9207899999999999E-6</v>
      </c>
      <c r="R825">
        <f t="shared" si="119"/>
        <v>3.2820083262304144E-2</v>
      </c>
      <c r="CH825" s="1">
        <v>3.6294899999999999E-6</v>
      </c>
      <c r="CI825">
        <v>15.012600000000001</v>
      </c>
      <c r="CJ825">
        <f t="shared" si="120"/>
        <v>1166.7643342262033</v>
      </c>
      <c r="CL825" s="1">
        <v>3.6294899999999999E-6</v>
      </c>
      <c r="CM825">
        <v>3.8519999999999999E-2</v>
      </c>
      <c r="CN825">
        <f t="shared" si="121"/>
        <v>2.9937360719924162</v>
      </c>
    </row>
    <row r="826" spans="4:92" x14ac:dyDescent="0.35">
      <c r="D826" s="1">
        <v>3.97156E-6</v>
      </c>
      <c r="E826">
        <v>13.587899999999999</v>
      </c>
      <c r="F826">
        <v>0.35936400000000002</v>
      </c>
      <c r="G826">
        <v>9.7883600000000008</v>
      </c>
      <c r="I826" s="1">
        <v>3.97156E-6</v>
      </c>
      <c r="J826">
        <f t="shared" si="117"/>
        <v>2.4116414113510065E-2</v>
      </c>
      <c r="K826">
        <v>1.9072310886823199E-3</v>
      </c>
      <c r="L826">
        <v>3.2180926756942958E-2</v>
      </c>
      <c r="N826" s="1">
        <v>3.97156E-6</v>
      </c>
      <c r="O826">
        <f t="shared" si="118"/>
        <v>1.9072310886823199E-3</v>
      </c>
      <c r="Q826" s="1">
        <v>3.97156E-6</v>
      </c>
      <c r="R826">
        <f t="shared" si="119"/>
        <v>3.2180926756942958E-2</v>
      </c>
      <c r="CH826" s="1">
        <v>3.67649E-6</v>
      </c>
      <c r="CI826">
        <v>15.437200000000001</v>
      </c>
      <c r="CJ826">
        <f t="shared" si="120"/>
        <v>1199.763823742506</v>
      </c>
      <c r="CL826" s="1">
        <v>3.67649E-6</v>
      </c>
      <c r="CM826">
        <v>4.3999999999999997E-2</v>
      </c>
      <c r="CN826">
        <f t="shared" si="121"/>
        <v>3.4196362193059793</v>
      </c>
    </row>
    <row r="827" spans="4:92" x14ac:dyDescent="0.35">
      <c r="D827" s="1">
        <v>4.0230000000000003E-6</v>
      </c>
      <c r="E827">
        <v>13.234</v>
      </c>
      <c r="F827">
        <v>0.33453300000000002</v>
      </c>
      <c r="G827">
        <v>9.8285400000000003</v>
      </c>
      <c r="I827" s="1">
        <v>4.0230000000000003E-6</v>
      </c>
      <c r="J827">
        <f t="shared" si="117"/>
        <v>2.3488296526924114E-2</v>
      </c>
      <c r="K827">
        <v>1.775447005794021E-3</v>
      </c>
      <c r="L827">
        <v>3.231302545755204E-2</v>
      </c>
      <c r="N827" s="1">
        <v>4.0230000000000003E-6</v>
      </c>
      <c r="O827">
        <f t="shared" si="118"/>
        <v>1.775447005794021E-3</v>
      </c>
      <c r="Q827" s="1">
        <v>4.0230000000000003E-6</v>
      </c>
      <c r="R827">
        <f t="shared" si="119"/>
        <v>3.231302545755204E-2</v>
      </c>
      <c r="CH827" s="1">
        <v>3.7241000000000001E-6</v>
      </c>
      <c r="CI827">
        <v>14.7056</v>
      </c>
      <c r="CJ827">
        <f t="shared" si="120"/>
        <v>1142.9045996960458</v>
      </c>
      <c r="CL827" s="1">
        <v>3.7241000000000001E-6</v>
      </c>
      <c r="CM827">
        <v>3.2250000000000001E-2</v>
      </c>
      <c r="CN827">
        <f t="shared" si="121"/>
        <v>2.5064379107413144</v>
      </c>
    </row>
    <row r="828" spans="4:92" x14ac:dyDescent="0.35">
      <c r="D828" s="1">
        <v>4.0750900000000003E-6</v>
      </c>
      <c r="E828">
        <v>13.354200000000001</v>
      </c>
      <c r="F828">
        <v>0.38956600000000002</v>
      </c>
      <c r="G828">
        <v>10.1259</v>
      </c>
      <c r="I828" s="1">
        <v>4.0750900000000003E-6</v>
      </c>
      <c r="J828">
        <f t="shared" si="117"/>
        <v>2.3701632875914314E-2</v>
      </c>
      <c r="K828">
        <v>2.0675203590054003E-3</v>
      </c>
      <c r="L828">
        <v>3.3290647896902913E-2</v>
      </c>
      <c r="N828" s="1">
        <v>4.0750900000000003E-6</v>
      </c>
      <c r="O828">
        <f t="shared" si="118"/>
        <v>2.0675203590054003E-3</v>
      </c>
      <c r="Q828" s="1">
        <v>4.0750900000000003E-6</v>
      </c>
      <c r="R828">
        <f t="shared" si="119"/>
        <v>3.3290647896902913E-2</v>
      </c>
      <c r="CH828" s="1">
        <v>3.7723299999999998E-6</v>
      </c>
      <c r="CI828">
        <v>14.863799999999999</v>
      </c>
      <c r="CJ828">
        <f t="shared" si="120"/>
        <v>1155.1997462845504</v>
      </c>
      <c r="CL828" s="1">
        <v>3.7723299999999998E-6</v>
      </c>
      <c r="CM828">
        <v>3.4950000000000002E-2</v>
      </c>
      <c r="CN828">
        <f t="shared" si="121"/>
        <v>2.7162792241987268</v>
      </c>
    </row>
    <row r="829" spans="4:92" x14ac:dyDescent="0.35">
      <c r="D829" s="1">
        <v>4.1278700000000003E-6</v>
      </c>
      <c r="E829">
        <v>13.1426</v>
      </c>
      <c r="F829">
        <v>0.35816900000000002</v>
      </c>
      <c r="G829">
        <v>9.9300099999999993</v>
      </c>
      <c r="I829" s="1">
        <v>4.1278700000000003E-6</v>
      </c>
      <c r="J829">
        <f t="shared" si="117"/>
        <v>2.3326075709139554E-2</v>
      </c>
      <c r="K829">
        <v>1.9008889365719935E-3</v>
      </c>
      <c r="L829">
        <v>3.264662563552128E-2</v>
      </c>
      <c r="N829" s="1">
        <v>4.1278700000000003E-6</v>
      </c>
      <c r="O829">
        <f t="shared" si="118"/>
        <v>1.9008889365719935E-3</v>
      </c>
      <c r="Q829" s="1">
        <v>4.1278700000000003E-6</v>
      </c>
      <c r="R829">
        <f t="shared" si="119"/>
        <v>3.264662563552128E-2</v>
      </c>
      <c r="CH829" s="1">
        <v>3.8211800000000002E-6</v>
      </c>
      <c r="CI829">
        <v>15.4497</v>
      </c>
      <c r="CJ829">
        <f t="shared" si="120"/>
        <v>1200.7353113048089</v>
      </c>
      <c r="CL829" s="1">
        <v>3.8211800000000002E-6</v>
      </c>
      <c r="CM829">
        <v>3.4320000000000003E-2</v>
      </c>
      <c r="CN829">
        <f t="shared" si="121"/>
        <v>2.6673162510586641</v>
      </c>
    </row>
    <row r="830" spans="4:92" x14ac:dyDescent="0.35">
      <c r="D830" s="1">
        <v>4.1813199999999998E-6</v>
      </c>
      <c r="E830">
        <v>13.186</v>
      </c>
      <c r="F830">
        <v>0.37526900000000002</v>
      </c>
      <c r="G830">
        <v>9.8361599999999996</v>
      </c>
      <c r="I830" s="1">
        <v>4.1813199999999998E-6</v>
      </c>
      <c r="J830">
        <f t="shared" si="117"/>
        <v>2.340310397491472E-2</v>
      </c>
      <c r="K830">
        <v>1.9916427450126484E-3</v>
      </c>
      <c r="L830">
        <v>3.2338077525711356E-2</v>
      </c>
      <c r="N830" s="1">
        <v>4.1813199999999998E-6</v>
      </c>
      <c r="O830">
        <f t="shared" si="118"/>
        <v>1.9916427450126484E-3</v>
      </c>
      <c r="Q830" s="1">
        <v>4.1813199999999998E-6</v>
      </c>
      <c r="R830">
        <f t="shared" si="119"/>
        <v>3.2338077525711356E-2</v>
      </c>
      <c r="CH830" s="1">
        <v>3.8706599999999998E-6</v>
      </c>
      <c r="CI830">
        <v>15.000999999999999</v>
      </c>
      <c r="CJ830">
        <f t="shared" si="120"/>
        <v>1165.8627937683862</v>
      </c>
      <c r="CL830" s="1">
        <v>3.8706599999999998E-6</v>
      </c>
      <c r="CM830">
        <v>3.771E-2</v>
      </c>
      <c r="CN830">
        <f t="shared" si="121"/>
        <v>2.9307836779551928</v>
      </c>
    </row>
    <row r="831" spans="4:92" x14ac:dyDescent="0.35">
      <c r="D831" s="1">
        <v>4.23547E-6</v>
      </c>
      <c r="E831">
        <v>13.367100000000001</v>
      </c>
      <c r="F831">
        <v>0.39430300000000001</v>
      </c>
      <c r="G831">
        <v>9.6986899999999991</v>
      </c>
      <c r="I831" s="1">
        <v>4.23547E-6</v>
      </c>
      <c r="J831">
        <f t="shared" si="117"/>
        <v>2.3724528374266841E-2</v>
      </c>
      <c r="K831">
        <v>2.0926607561155396E-3</v>
      </c>
      <c r="L831">
        <v>3.188612112021779E-2</v>
      </c>
      <c r="N831" s="1">
        <v>4.23547E-6</v>
      </c>
      <c r="O831">
        <f t="shared" si="118"/>
        <v>2.0926607561155396E-3</v>
      </c>
      <c r="Q831" s="1">
        <v>4.23547E-6</v>
      </c>
      <c r="R831">
        <f t="shared" si="119"/>
        <v>3.188612112021779E-2</v>
      </c>
      <c r="CH831" s="1">
        <v>3.9207899999999999E-6</v>
      </c>
      <c r="CI831">
        <v>15.578900000000001</v>
      </c>
      <c r="CJ831">
        <f t="shared" si="120"/>
        <v>1210.776606748771</v>
      </c>
      <c r="CL831" s="1">
        <v>3.9207899999999999E-6</v>
      </c>
      <c r="CM831">
        <v>3.637E-2</v>
      </c>
      <c r="CN831">
        <f t="shared" si="121"/>
        <v>2.8266402112763287</v>
      </c>
    </row>
    <row r="832" spans="4:92" x14ac:dyDescent="0.35">
      <c r="D832" s="1">
        <v>4.2903199999999999E-6</v>
      </c>
      <c r="E832">
        <v>13.120200000000001</v>
      </c>
      <c r="F832">
        <v>0.38172299999999998</v>
      </c>
      <c r="G832">
        <v>9.7253399999999992</v>
      </c>
      <c r="I832" s="1">
        <v>4.2903199999999999E-6</v>
      </c>
      <c r="J832">
        <f t="shared" si="117"/>
        <v>2.3286319184868502E-2</v>
      </c>
      <c r="K832">
        <v>2.0258956736486713E-3</v>
      </c>
      <c r="L832">
        <v>3.1973737605315654E-2</v>
      </c>
      <c r="N832" s="1">
        <v>4.2903199999999999E-6</v>
      </c>
      <c r="O832">
        <f t="shared" si="118"/>
        <v>2.0258956736486713E-3</v>
      </c>
      <c r="Q832" s="1">
        <v>4.2903199999999999E-6</v>
      </c>
      <c r="R832">
        <f t="shared" si="119"/>
        <v>3.1973737605315654E-2</v>
      </c>
      <c r="CH832" s="1">
        <v>3.97156E-6</v>
      </c>
      <c r="CI832">
        <v>15.178100000000001</v>
      </c>
      <c r="CJ832">
        <f t="shared" si="120"/>
        <v>1179.6268295510929</v>
      </c>
      <c r="CL832" s="1">
        <v>3.97156E-6</v>
      </c>
      <c r="CM832">
        <v>3.8940000000000002E-2</v>
      </c>
      <c r="CN832">
        <f t="shared" si="121"/>
        <v>3.0263780540857921</v>
      </c>
    </row>
    <row r="833" spans="4:92" x14ac:dyDescent="0.35">
      <c r="D833" s="1">
        <v>4.3458799999999996E-6</v>
      </c>
      <c r="E833">
        <v>13.233000000000001</v>
      </c>
      <c r="F833">
        <v>0.34651599999999999</v>
      </c>
      <c r="G833">
        <v>9.8655000000000008</v>
      </c>
      <c r="I833" s="1">
        <v>4.3458799999999996E-6</v>
      </c>
      <c r="J833">
        <f t="shared" si="117"/>
        <v>2.3486521682090585E-2</v>
      </c>
      <c r="K833">
        <v>1.8390436658258554E-3</v>
      </c>
      <c r="L833">
        <v>3.2434537851143676E-2</v>
      </c>
      <c r="N833" s="1">
        <v>4.3458799999999996E-6</v>
      </c>
      <c r="O833">
        <f t="shared" si="118"/>
        <v>1.8390436658258554E-3</v>
      </c>
      <c r="Q833" s="1">
        <v>4.3458799999999996E-6</v>
      </c>
      <c r="R833">
        <f t="shared" si="119"/>
        <v>3.2434537851143676E-2</v>
      </c>
      <c r="CH833" s="1">
        <v>4.0230000000000003E-6</v>
      </c>
      <c r="CI833">
        <v>15.258800000000001</v>
      </c>
      <c r="CJ833">
        <f t="shared" si="120"/>
        <v>1185.8987532533199</v>
      </c>
      <c r="CL833" s="1">
        <v>4.0230000000000003E-6</v>
      </c>
      <c r="CM833">
        <v>3.5560000000000001E-2</v>
      </c>
      <c r="CN833">
        <f t="shared" si="121"/>
        <v>2.7636878172391053</v>
      </c>
    </row>
    <row r="834" spans="4:92" x14ac:dyDescent="0.35">
      <c r="D834" s="1">
        <v>4.4021599999999997E-6</v>
      </c>
      <c r="E834">
        <v>13.4245</v>
      </c>
      <c r="F834">
        <v>0.31946000000000002</v>
      </c>
      <c r="G834">
        <v>9.8121600000000004</v>
      </c>
      <c r="I834" s="1">
        <v>4.4021599999999997E-6</v>
      </c>
      <c r="J834">
        <f t="shared" si="117"/>
        <v>2.3826404467711407E-2</v>
      </c>
      <c r="K834">
        <v>1.695450973359752E-3</v>
      </c>
      <c r="L834">
        <v>3.2259173374028477E-2</v>
      </c>
      <c r="N834" s="1">
        <v>4.4021599999999997E-6</v>
      </c>
      <c r="O834">
        <f t="shared" si="118"/>
        <v>1.695450973359752E-3</v>
      </c>
      <c r="Q834" s="1">
        <v>4.4021599999999997E-6</v>
      </c>
      <c r="R834">
        <f t="shared" si="119"/>
        <v>3.2259173374028477E-2</v>
      </c>
      <c r="CH834" s="1">
        <v>4.0750900000000003E-6</v>
      </c>
      <c r="CI834">
        <v>15.035399999999999</v>
      </c>
      <c r="CJ834">
        <f t="shared" si="120"/>
        <v>1168.5363275398436</v>
      </c>
      <c r="CL834" s="1">
        <v>4.0750900000000003E-6</v>
      </c>
      <c r="CM834">
        <v>3.533E-2</v>
      </c>
      <c r="CN834">
        <f t="shared" si="121"/>
        <v>2.7458124460927329</v>
      </c>
    </row>
    <row r="835" spans="4:92" x14ac:dyDescent="0.35">
      <c r="D835" s="1">
        <v>4.45917E-6</v>
      </c>
      <c r="E835">
        <v>13.1797</v>
      </c>
      <c r="F835">
        <v>0.40840500000000002</v>
      </c>
      <c r="G835">
        <v>9.6297099999999993</v>
      </c>
      <c r="I835" s="1">
        <v>4.45917E-6</v>
      </c>
      <c r="J835">
        <f t="shared" si="117"/>
        <v>2.3391922452463486E-2</v>
      </c>
      <c r="K835">
        <v>2.1675034582576518E-3</v>
      </c>
      <c r="L835">
        <v>3.1659337437589245E-2</v>
      </c>
      <c r="N835" s="1">
        <v>4.45917E-6</v>
      </c>
      <c r="O835">
        <f t="shared" si="118"/>
        <v>2.1675034582576518E-3</v>
      </c>
      <c r="Q835" s="1">
        <v>4.45917E-6</v>
      </c>
      <c r="R835">
        <f t="shared" si="119"/>
        <v>3.1659337437589245E-2</v>
      </c>
      <c r="CH835" s="1">
        <v>4.1278700000000003E-6</v>
      </c>
      <c r="CI835">
        <v>15.5329</v>
      </c>
      <c r="CJ835">
        <f t="shared" si="120"/>
        <v>1207.2015325194966</v>
      </c>
      <c r="CL835" s="1">
        <v>4.1278700000000003E-6</v>
      </c>
      <c r="CM835">
        <v>3.7269999999999998E-2</v>
      </c>
      <c r="CN835">
        <f t="shared" si="121"/>
        <v>2.8965873157621327</v>
      </c>
    </row>
    <row r="836" spans="4:92" x14ac:dyDescent="0.35">
      <c r="D836" s="1">
        <v>4.5169199999999996E-6</v>
      </c>
      <c r="E836">
        <v>12.738799999999999</v>
      </c>
      <c r="F836">
        <v>0.36833700000000003</v>
      </c>
      <c r="G836">
        <v>9.7500599999999995</v>
      </c>
      <c r="I836" s="1">
        <v>4.5169199999999996E-6</v>
      </c>
      <c r="J836">
        <f t="shared" ref="J836:J899" si="122">E836/SUM($E$3:$E$2002)/$C$3</f>
        <v>2.2609393365360501E-2</v>
      </c>
      <c r="K836">
        <v>1.9548529555324951E-3</v>
      </c>
      <c r="L836">
        <v>3.2055008881549017E-2</v>
      </c>
      <c r="N836" s="1">
        <v>4.5169199999999996E-6</v>
      </c>
      <c r="O836">
        <f t="shared" ref="O836:O899" si="123">F836/SUM($F$3:$F$2002)/$C$3</f>
        <v>1.9548529555324951E-3</v>
      </c>
      <c r="Q836" s="1">
        <v>4.5169199999999996E-6</v>
      </c>
      <c r="R836">
        <f t="shared" ref="R836:R899" si="124">G836/SUM($G$3:$G$2002)/$C$3</f>
        <v>3.2055008881549017E-2</v>
      </c>
      <c r="CH836" s="1">
        <v>4.1813199999999998E-6</v>
      </c>
      <c r="CI836">
        <v>15.6182</v>
      </c>
      <c r="CJ836">
        <f t="shared" si="120"/>
        <v>1213.8309636446511</v>
      </c>
      <c r="CL836" s="1">
        <v>4.1813199999999998E-6</v>
      </c>
      <c r="CM836">
        <v>3.6679999999999997E-2</v>
      </c>
      <c r="CN836">
        <f t="shared" si="121"/>
        <v>2.8507331028214389</v>
      </c>
    </row>
    <row r="837" spans="4:92" x14ac:dyDescent="0.35">
      <c r="D837" s="1">
        <v>4.5754100000000001E-6</v>
      </c>
      <c r="E837">
        <v>13.1274</v>
      </c>
      <c r="F837">
        <v>0.34409600000000001</v>
      </c>
      <c r="G837">
        <v>9.7081400000000002</v>
      </c>
      <c r="I837" s="1">
        <v>4.5754100000000001E-6</v>
      </c>
      <c r="J837">
        <f t="shared" si="122"/>
        <v>2.3299098067669912E-2</v>
      </c>
      <c r="K837">
        <v>1.8262001443974118E-3</v>
      </c>
      <c r="L837">
        <v>3.191718962994293E-2</v>
      </c>
      <c r="N837" s="1">
        <v>4.5754100000000001E-6</v>
      </c>
      <c r="O837">
        <f t="shared" si="123"/>
        <v>1.8262001443974118E-3</v>
      </c>
      <c r="Q837" s="1">
        <v>4.5754100000000001E-6</v>
      </c>
      <c r="R837">
        <f t="shared" si="124"/>
        <v>3.191718962994293E-2</v>
      </c>
      <c r="CH837" s="1">
        <v>4.23547E-6</v>
      </c>
      <c r="CI837">
        <v>15.5566</v>
      </c>
      <c r="CJ837">
        <f t="shared" si="120"/>
        <v>1209.0434729376227</v>
      </c>
      <c r="CL837" s="1">
        <v>4.23547E-6</v>
      </c>
      <c r="CM837">
        <v>3.0759999999999999E-2</v>
      </c>
      <c r="CN837">
        <f t="shared" si="121"/>
        <v>2.3906365933148166</v>
      </c>
    </row>
    <row r="838" spans="4:92" x14ac:dyDescent="0.35">
      <c r="D838" s="1">
        <v>4.6346599999999996E-6</v>
      </c>
      <c r="E838">
        <v>12.891400000000001</v>
      </c>
      <c r="F838">
        <v>0.38898300000000002</v>
      </c>
      <c r="G838">
        <v>9.9926200000000005</v>
      </c>
      <c r="I838" s="1">
        <v>4.6346599999999996E-6</v>
      </c>
      <c r="J838">
        <f t="shared" si="122"/>
        <v>2.2880234686957046E-2</v>
      </c>
      <c r="K838">
        <v>2.0644262379340022E-3</v>
      </c>
      <c r="L838">
        <v>3.2852466841223997E-2</v>
      </c>
      <c r="N838" s="1">
        <v>4.6346599999999996E-6</v>
      </c>
      <c r="O838">
        <f t="shared" si="123"/>
        <v>2.0644262379340022E-3</v>
      </c>
      <c r="Q838" s="1">
        <v>4.6346599999999996E-6</v>
      </c>
      <c r="R838">
        <f t="shared" si="124"/>
        <v>3.2852466841223997E-2</v>
      </c>
      <c r="CH838" s="1">
        <v>4.2903199999999999E-6</v>
      </c>
      <c r="CI838">
        <v>14.421900000000001</v>
      </c>
      <c r="CJ838">
        <f t="shared" si="120"/>
        <v>1120.8557179820207</v>
      </c>
      <c r="CL838" s="1">
        <v>4.2903199999999999E-6</v>
      </c>
      <c r="CM838">
        <v>3.6470000000000002E-2</v>
      </c>
      <c r="CN838">
        <f t="shared" si="121"/>
        <v>2.8344121117747516</v>
      </c>
    </row>
    <row r="839" spans="4:92" x14ac:dyDescent="0.35">
      <c r="D839" s="1">
        <v>4.6946799999999996E-6</v>
      </c>
      <c r="E839">
        <v>13.1273</v>
      </c>
      <c r="F839">
        <v>0.29788100000000001</v>
      </c>
      <c r="G839">
        <v>9.8835999999999995</v>
      </c>
      <c r="I839" s="1">
        <v>4.6946799999999996E-6</v>
      </c>
      <c r="J839">
        <f t="shared" si="122"/>
        <v>2.3298920583186559E-2</v>
      </c>
      <c r="K839">
        <v>1.5809260357959563E-3</v>
      </c>
      <c r="L839">
        <v>3.2494044732204505E-2</v>
      </c>
      <c r="N839" s="1">
        <v>4.6946799999999996E-6</v>
      </c>
      <c r="O839">
        <f t="shared" si="123"/>
        <v>1.5809260357959563E-3</v>
      </c>
      <c r="Q839" s="1">
        <v>4.6946799999999996E-6</v>
      </c>
      <c r="R839">
        <f t="shared" si="124"/>
        <v>3.2494044732204505E-2</v>
      </c>
      <c r="CH839" s="1">
        <v>4.3458799999999996E-6</v>
      </c>
      <c r="CI839">
        <v>14.563800000000001</v>
      </c>
      <c r="CJ839">
        <f t="shared" si="120"/>
        <v>1131.8840447892824</v>
      </c>
      <c r="CL839" s="1">
        <v>4.3458799999999996E-6</v>
      </c>
      <c r="CM839">
        <v>3.4529999999999998E-2</v>
      </c>
      <c r="CN839">
        <f t="shared" si="121"/>
        <v>2.6836372421053514</v>
      </c>
    </row>
    <row r="840" spans="4:92" x14ac:dyDescent="0.35">
      <c r="D840" s="1">
        <v>4.7554799999999999E-6</v>
      </c>
      <c r="E840">
        <v>13.318899999999999</v>
      </c>
      <c r="F840">
        <v>0.35875200000000002</v>
      </c>
      <c r="G840">
        <v>9.6996400000000005</v>
      </c>
      <c r="I840" s="1">
        <v>4.7554799999999999E-6</v>
      </c>
      <c r="J840">
        <f t="shared" si="122"/>
        <v>2.3638980853290734E-2</v>
      </c>
      <c r="K840">
        <v>1.9039830576433909E-3</v>
      </c>
      <c r="L840">
        <v>3.1889244409555241E-2</v>
      </c>
      <c r="N840" s="1">
        <v>4.7554799999999999E-6</v>
      </c>
      <c r="O840">
        <f t="shared" si="123"/>
        <v>1.9039830576433909E-3</v>
      </c>
      <c r="Q840" s="1">
        <v>4.7554799999999999E-6</v>
      </c>
      <c r="R840">
        <f t="shared" si="124"/>
        <v>3.1889244409555241E-2</v>
      </c>
      <c r="CH840" s="1">
        <v>4.4021599999999997E-6</v>
      </c>
      <c r="CI840">
        <v>15.363099999999999</v>
      </c>
      <c r="CJ840">
        <f t="shared" si="120"/>
        <v>1194.0048454731748</v>
      </c>
      <c r="CL840" s="1">
        <v>4.4021599999999997E-6</v>
      </c>
      <c r="CM840">
        <v>3.798E-2</v>
      </c>
      <c r="CN840">
        <f t="shared" si="121"/>
        <v>2.9517678093009341</v>
      </c>
    </row>
    <row r="841" spans="4:92" x14ac:dyDescent="0.35">
      <c r="D841" s="1">
        <v>4.8170599999999998E-6</v>
      </c>
      <c r="E841">
        <v>13.0404</v>
      </c>
      <c r="F841">
        <v>0.29695100000000002</v>
      </c>
      <c r="G841">
        <v>9.8200400000000005</v>
      </c>
      <c r="I841" s="1">
        <v>4.8170599999999998E-6</v>
      </c>
      <c r="J841">
        <f t="shared" si="122"/>
        <v>2.3144686567152881E-2</v>
      </c>
      <c r="K841">
        <v>1.575990302354447E-3</v>
      </c>
      <c r="L841">
        <v>3.2285080237164351E-2</v>
      </c>
      <c r="N841" s="1">
        <v>4.8170599999999998E-6</v>
      </c>
      <c r="O841">
        <f t="shared" si="123"/>
        <v>1.575990302354447E-3</v>
      </c>
      <c r="Q841" s="1">
        <v>4.8170599999999998E-6</v>
      </c>
      <c r="R841">
        <f t="shared" si="124"/>
        <v>3.2285080237164351E-2</v>
      </c>
      <c r="CH841" s="1">
        <v>4.45917E-6</v>
      </c>
      <c r="CI841">
        <v>15.4834</v>
      </c>
      <c r="CJ841">
        <f t="shared" si="120"/>
        <v>1203.3544417727774</v>
      </c>
      <c r="CL841" s="1">
        <v>4.45917E-6</v>
      </c>
      <c r="CM841">
        <v>4.0099999999999997E-2</v>
      </c>
      <c r="CN841">
        <f t="shared" si="121"/>
        <v>3.1165320998674946</v>
      </c>
    </row>
    <row r="842" spans="4:92" x14ac:dyDescent="0.35">
      <c r="D842" s="1">
        <v>4.8794399999999997E-6</v>
      </c>
      <c r="E842">
        <v>12.9602</v>
      </c>
      <c r="F842">
        <v>0.32202500000000001</v>
      </c>
      <c r="G842">
        <v>9.9130400000000005</v>
      </c>
      <c r="I842" s="1">
        <v>4.8794399999999997E-6</v>
      </c>
      <c r="J842">
        <f t="shared" si="122"/>
        <v>2.3002344011503847E-2</v>
      </c>
      <c r="K842">
        <v>1.70906404462585E-3</v>
      </c>
      <c r="L842">
        <v>3.2590833824935508E-2</v>
      </c>
      <c r="N842" s="1">
        <v>4.8794399999999997E-6</v>
      </c>
      <c r="O842">
        <f t="shared" si="123"/>
        <v>1.70906404462585E-3</v>
      </c>
      <c r="Q842" s="1">
        <v>4.8794399999999997E-6</v>
      </c>
      <c r="R842">
        <f t="shared" si="124"/>
        <v>3.2590833824935508E-2</v>
      </c>
      <c r="CH842" s="1">
        <v>4.5169199999999996E-6</v>
      </c>
      <c r="CI842">
        <v>15.1883</v>
      </c>
      <c r="CJ842">
        <f t="shared" ref="CJ842:CJ905" si="125">CI842/$CG$9</f>
        <v>1180.419563401932</v>
      </c>
      <c r="CL842" s="1">
        <v>4.5169199999999996E-6</v>
      </c>
      <c r="CM842">
        <v>3.7220000000000003E-2</v>
      </c>
      <c r="CN842">
        <f t="shared" ref="CN842:CN905" si="126">CM842/$CG$9</f>
        <v>2.8927013655129219</v>
      </c>
    </row>
    <row r="843" spans="4:92" x14ac:dyDescent="0.35">
      <c r="D843" s="1">
        <v>4.9426300000000003E-6</v>
      </c>
      <c r="E843">
        <v>12.9575</v>
      </c>
      <c r="F843">
        <v>0.33546999999999999</v>
      </c>
      <c r="G843">
        <v>9.6516099999999998</v>
      </c>
      <c r="I843" s="1">
        <v>4.9426300000000003E-6</v>
      </c>
      <c r="J843">
        <f t="shared" si="122"/>
        <v>2.299755193045332E-2</v>
      </c>
      <c r="K843">
        <v>1.7804198899173478E-3</v>
      </c>
      <c r="L843">
        <v>3.1731337475999877E-2</v>
      </c>
      <c r="N843" s="1">
        <v>4.9426300000000003E-6</v>
      </c>
      <c r="O843">
        <f t="shared" si="123"/>
        <v>1.7804198899173478E-3</v>
      </c>
      <c r="Q843" s="1">
        <v>4.9426300000000003E-6</v>
      </c>
      <c r="R843">
        <f t="shared" si="124"/>
        <v>3.1731337475999877E-2</v>
      </c>
      <c r="CH843" s="1">
        <v>4.5754100000000001E-6</v>
      </c>
      <c r="CI843">
        <v>15.3584</v>
      </c>
      <c r="CJ843">
        <f t="shared" si="125"/>
        <v>1193.6395661497488</v>
      </c>
      <c r="CL843" s="1">
        <v>4.5754100000000001E-6</v>
      </c>
      <c r="CM843">
        <v>3.3759999999999998E-2</v>
      </c>
      <c r="CN843">
        <f t="shared" si="126"/>
        <v>2.6237936082674969</v>
      </c>
    </row>
    <row r="844" spans="4:92" x14ac:dyDescent="0.35">
      <c r="D844" s="1">
        <v>5.0066399999999999E-6</v>
      </c>
      <c r="E844">
        <v>13.2455</v>
      </c>
      <c r="F844">
        <v>0.34732800000000003</v>
      </c>
      <c r="G844">
        <v>9.9070199999999993</v>
      </c>
      <c r="I844" s="1">
        <v>5.0066399999999999E-6</v>
      </c>
      <c r="J844">
        <f t="shared" si="122"/>
        <v>2.35087072425097E-2</v>
      </c>
      <c r="K844">
        <v>1.8433531449167217E-3</v>
      </c>
      <c r="L844">
        <v>3.2571042033555056E-2</v>
      </c>
      <c r="N844" s="1">
        <v>5.0066399999999999E-6</v>
      </c>
      <c r="O844">
        <f t="shared" si="123"/>
        <v>1.8433531449167217E-3</v>
      </c>
      <c r="Q844" s="1">
        <v>5.0066399999999999E-6</v>
      </c>
      <c r="R844">
        <f t="shared" si="124"/>
        <v>3.2571042033555056E-2</v>
      </c>
      <c r="CH844" s="1">
        <v>4.6346599999999996E-6</v>
      </c>
      <c r="CI844">
        <v>15.051</v>
      </c>
      <c r="CJ844">
        <f t="shared" si="125"/>
        <v>1169.7487440175976</v>
      </c>
      <c r="CL844" s="1">
        <v>4.6346599999999996E-6</v>
      </c>
      <c r="CM844">
        <v>3.2820000000000002E-2</v>
      </c>
      <c r="CN844">
        <f t="shared" si="126"/>
        <v>2.550737743582324</v>
      </c>
    </row>
    <row r="845" spans="4:92" x14ac:dyDescent="0.35">
      <c r="D845" s="1">
        <v>5.0714799999999999E-6</v>
      </c>
      <c r="E845">
        <v>13.0152</v>
      </c>
      <c r="F845">
        <v>0.30823</v>
      </c>
      <c r="G845">
        <v>9.9196200000000001</v>
      </c>
      <c r="I845" s="1">
        <v>5.0714799999999999E-6</v>
      </c>
      <c r="J845">
        <f t="shared" si="122"/>
        <v>2.3099960477347949E-2</v>
      </c>
      <c r="K845">
        <v>1.6358506652434618E-3</v>
      </c>
      <c r="L845">
        <v>3.261246671318857E-2</v>
      </c>
      <c r="N845" s="1">
        <v>5.0714799999999999E-6</v>
      </c>
      <c r="O845">
        <f t="shared" si="123"/>
        <v>1.6358506652434618E-3</v>
      </c>
      <c r="Q845" s="1">
        <v>5.0714799999999999E-6</v>
      </c>
      <c r="R845">
        <f t="shared" si="124"/>
        <v>3.261246671318857E-2</v>
      </c>
      <c r="CH845" s="1">
        <v>4.6946799999999996E-6</v>
      </c>
      <c r="CI845">
        <v>15.2262</v>
      </c>
      <c r="CJ845">
        <f t="shared" si="125"/>
        <v>1183.3651136908343</v>
      </c>
      <c r="CL845" s="1">
        <v>4.6946799999999996E-6</v>
      </c>
      <c r="CM845">
        <v>3.492E-2</v>
      </c>
      <c r="CN845">
        <f t="shared" si="126"/>
        <v>2.7139476540491998</v>
      </c>
    </row>
    <row r="846" spans="4:92" x14ac:dyDescent="0.35">
      <c r="D846" s="1">
        <v>5.1371499999999996E-6</v>
      </c>
      <c r="E846">
        <v>12.8249</v>
      </c>
      <c r="F846">
        <v>0.29616500000000001</v>
      </c>
      <c r="G846">
        <v>9.7567299999999992</v>
      </c>
      <c r="I846" s="1">
        <v>5.1371499999999996E-6</v>
      </c>
      <c r="J846">
        <f t="shared" si="122"/>
        <v>2.2762207505527363E-2</v>
      </c>
      <c r="K846">
        <v>1.5718188115103329E-3</v>
      </c>
      <c r="L846">
        <v>3.207693766037089E-2</v>
      </c>
      <c r="N846" s="1">
        <v>5.1371499999999996E-6</v>
      </c>
      <c r="O846">
        <f t="shared" si="123"/>
        <v>1.5718188115103329E-3</v>
      </c>
      <c r="Q846" s="1">
        <v>5.1371499999999996E-6</v>
      </c>
      <c r="R846">
        <f t="shared" si="124"/>
        <v>3.207693766037089E-2</v>
      </c>
      <c r="CH846" s="1">
        <v>4.7554799999999999E-6</v>
      </c>
      <c r="CI846">
        <v>15.213800000000001</v>
      </c>
      <c r="CJ846">
        <f t="shared" si="125"/>
        <v>1182.4013980290299</v>
      </c>
      <c r="CL846" s="1">
        <v>4.7554799999999999E-6</v>
      </c>
      <c r="CM846">
        <v>3.7479999999999999E-2</v>
      </c>
      <c r="CN846">
        <f t="shared" si="126"/>
        <v>2.9129083068088204</v>
      </c>
    </row>
    <row r="847" spans="4:92" x14ac:dyDescent="0.35">
      <c r="D847" s="1">
        <v>5.2036800000000001E-6</v>
      </c>
      <c r="E847">
        <v>12.9049</v>
      </c>
      <c r="F847">
        <v>0.40004000000000001</v>
      </c>
      <c r="G847">
        <v>9.5713899999999992</v>
      </c>
      <c r="I847" s="1">
        <v>5.2036800000000001E-6</v>
      </c>
      <c r="J847">
        <f t="shared" si="122"/>
        <v>2.2904195092209687E-2</v>
      </c>
      <c r="K847">
        <v>2.1231083934853665E-3</v>
      </c>
      <c r="L847">
        <v>3.1467600348999848E-2</v>
      </c>
      <c r="N847" s="1">
        <v>5.2036800000000001E-6</v>
      </c>
      <c r="O847">
        <f t="shared" si="123"/>
        <v>2.1231083934853665E-3</v>
      </c>
      <c r="Q847" s="1">
        <v>5.2036800000000001E-6</v>
      </c>
      <c r="R847">
        <f t="shared" si="124"/>
        <v>3.1467600348999848E-2</v>
      </c>
      <c r="CH847" s="1">
        <v>4.8170599999999998E-6</v>
      </c>
      <c r="CI847">
        <v>14.570399999999999</v>
      </c>
      <c r="CJ847">
        <f t="shared" si="125"/>
        <v>1132.3969902221781</v>
      </c>
      <c r="CL847" s="1">
        <v>4.8170599999999998E-6</v>
      </c>
      <c r="CM847">
        <v>3.2509999999999997E-2</v>
      </c>
      <c r="CN847">
        <f t="shared" si="126"/>
        <v>2.5266448520372133</v>
      </c>
    </row>
    <row r="848" spans="4:92" x14ac:dyDescent="0.35">
      <c r="D848" s="1">
        <v>5.2710699999999998E-6</v>
      </c>
      <c r="E848">
        <v>13.1219</v>
      </c>
      <c r="F848">
        <v>0.391235</v>
      </c>
      <c r="G848">
        <v>9.5928299999999993</v>
      </c>
      <c r="I848" s="1">
        <v>5.2710699999999998E-6</v>
      </c>
      <c r="J848">
        <f t="shared" si="122"/>
        <v>2.3289336421085504E-2</v>
      </c>
      <c r="K848">
        <v>2.0763781429988183E-3</v>
      </c>
      <c r="L848">
        <v>3.1538088057836554E-2</v>
      </c>
      <c r="N848" s="1">
        <v>5.2710699999999998E-6</v>
      </c>
      <c r="O848">
        <f t="shared" si="123"/>
        <v>2.0763781429988183E-3</v>
      </c>
      <c r="Q848" s="1">
        <v>5.2710699999999998E-6</v>
      </c>
      <c r="R848">
        <f t="shared" si="124"/>
        <v>3.1538088057836554E-2</v>
      </c>
      <c r="CH848" s="1">
        <v>4.8794399999999997E-6</v>
      </c>
      <c r="CI848">
        <v>14.470599999999999</v>
      </c>
      <c r="CJ848">
        <f t="shared" si="125"/>
        <v>1124.6406335247523</v>
      </c>
      <c r="CL848" s="1">
        <v>4.8794399999999997E-6</v>
      </c>
      <c r="CM848">
        <v>3.7420000000000002E-2</v>
      </c>
      <c r="CN848">
        <f t="shared" si="126"/>
        <v>2.9082451665097673</v>
      </c>
    </row>
    <row r="849" spans="4:92" x14ac:dyDescent="0.35">
      <c r="D849" s="1">
        <v>5.3393300000000003E-6</v>
      </c>
      <c r="E849">
        <v>12.970599999999999</v>
      </c>
      <c r="F849">
        <v>0.321519</v>
      </c>
      <c r="G849">
        <v>9.7214899999999993</v>
      </c>
      <c r="I849" s="1">
        <v>5.3393300000000003E-6</v>
      </c>
      <c r="J849">
        <f t="shared" si="122"/>
        <v>2.3020802397772547E-2</v>
      </c>
      <c r="K849">
        <v>1.7063785810544482E-3</v>
      </c>
      <c r="L849">
        <v>3.1961080064316527E-2</v>
      </c>
      <c r="N849" s="1">
        <v>5.3393300000000003E-6</v>
      </c>
      <c r="O849">
        <f t="shared" si="123"/>
        <v>1.7063785810544482E-3</v>
      </c>
      <c r="Q849" s="1">
        <v>5.3393300000000003E-6</v>
      </c>
      <c r="R849">
        <f t="shared" si="124"/>
        <v>3.1961080064316527E-2</v>
      </c>
      <c r="CH849" s="1">
        <v>4.9426300000000003E-6</v>
      </c>
      <c r="CI849">
        <v>15.3705</v>
      </c>
      <c r="CJ849">
        <f t="shared" si="125"/>
        <v>1194.579966110058</v>
      </c>
      <c r="CL849" s="1">
        <v>4.9426300000000003E-6</v>
      </c>
      <c r="CM849">
        <v>3.2340000000000001E-2</v>
      </c>
      <c r="CN849">
        <f t="shared" si="126"/>
        <v>2.513432621189895</v>
      </c>
    </row>
    <row r="850" spans="4:92" x14ac:dyDescent="0.35">
      <c r="D850" s="1">
        <v>5.4084700000000004E-6</v>
      </c>
      <c r="E850">
        <v>13.0238</v>
      </c>
      <c r="F850">
        <v>0.31417600000000001</v>
      </c>
      <c r="G850">
        <v>9.7450399999999995</v>
      </c>
      <c r="I850" s="1">
        <v>5.4084700000000004E-6</v>
      </c>
      <c r="J850">
        <f t="shared" si="122"/>
        <v>2.3115224142916297E-2</v>
      </c>
      <c r="K850">
        <v>1.6674075158275635E-3</v>
      </c>
      <c r="L850">
        <v>3.2038504763155347E-2</v>
      </c>
      <c r="N850" s="1">
        <v>5.4084700000000004E-6</v>
      </c>
      <c r="O850">
        <f t="shared" si="123"/>
        <v>1.6674075158275635E-3</v>
      </c>
      <c r="Q850" s="1">
        <v>5.4084700000000004E-6</v>
      </c>
      <c r="R850">
        <f t="shared" si="124"/>
        <v>3.2038504763155347E-2</v>
      </c>
      <c r="CH850" s="1">
        <v>5.0066399999999999E-6</v>
      </c>
      <c r="CI850">
        <v>14.999599999999999</v>
      </c>
      <c r="CJ850">
        <f t="shared" si="125"/>
        <v>1165.7539871614083</v>
      </c>
      <c r="CL850" s="1">
        <v>5.0066399999999999E-6</v>
      </c>
      <c r="CM850">
        <v>3.4360000000000002E-2</v>
      </c>
      <c r="CN850">
        <f t="shared" si="126"/>
        <v>2.670425011258033</v>
      </c>
    </row>
    <row r="851" spans="4:92" x14ac:dyDescent="0.35">
      <c r="D851" s="1">
        <v>5.47851E-6</v>
      </c>
      <c r="E851">
        <v>13.019600000000001</v>
      </c>
      <c r="F851">
        <v>0.33954299999999998</v>
      </c>
      <c r="G851">
        <v>9.9744399999999995</v>
      </c>
      <c r="I851" s="1">
        <v>5.47851E-6</v>
      </c>
      <c r="J851">
        <f t="shared" si="122"/>
        <v>2.3107769794615478E-2</v>
      </c>
      <c r="K851">
        <v>1.8020362794950548E-3</v>
      </c>
      <c r="L851">
        <v>3.279269694632421E-2</v>
      </c>
      <c r="N851" s="1">
        <v>5.47851E-6</v>
      </c>
      <c r="O851">
        <f t="shared" si="123"/>
        <v>1.8020362794950548E-3</v>
      </c>
      <c r="Q851" s="1">
        <v>5.47851E-6</v>
      </c>
      <c r="R851">
        <f t="shared" si="124"/>
        <v>3.279269694632421E-2</v>
      </c>
      <c r="CH851" s="1">
        <v>5.0714799999999999E-6</v>
      </c>
      <c r="CI851">
        <v>15.067399999999999</v>
      </c>
      <c r="CJ851">
        <f t="shared" si="125"/>
        <v>1171.023335699339</v>
      </c>
      <c r="CL851" s="1">
        <v>5.0714799999999999E-6</v>
      </c>
      <c r="CM851">
        <v>3.2329999999999998E-2</v>
      </c>
      <c r="CN851">
        <f t="shared" si="126"/>
        <v>2.5126554311400522</v>
      </c>
    </row>
    <row r="852" spans="4:92" x14ac:dyDescent="0.35">
      <c r="D852" s="1">
        <v>5.5494599999999997E-6</v>
      </c>
      <c r="E852">
        <v>12.928000000000001</v>
      </c>
      <c r="F852">
        <v>0.353632</v>
      </c>
      <c r="G852">
        <v>9.7097099999999994</v>
      </c>
      <c r="I852" s="1">
        <v>5.5494599999999997E-6</v>
      </c>
      <c r="J852">
        <f t="shared" si="122"/>
        <v>2.2945194007864211E-2</v>
      </c>
      <c r="K852">
        <v>1.8768099875137913E-3</v>
      </c>
      <c r="L852">
        <v>3.1922351276532174E-2</v>
      </c>
      <c r="N852" s="1">
        <v>5.5494599999999997E-6</v>
      </c>
      <c r="O852">
        <f t="shared" si="123"/>
        <v>1.8768099875137913E-3</v>
      </c>
      <c r="Q852" s="1">
        <v>5.5494599999999997E-6</v>
      </c>
      <c r="R852">
        <f t="shared" si="124"/>
        <v>3.1922351276532174E-2</v>
      </c>
      <c r="CH852" s="1">
        <v>5.1371499999999996E-6</v>
      </c>
      <c r="CI852">
        <v>15.8026</v>
      </c>
      <c r="CJ852">
        <f t="shared" si="125"/>
        <v>1228.1623481637425</v>
      </c>
      <c r="CL852" s="1">
        <v>5.1371499999999996E-6</v>
      </c>
      <c r="CM852">
        <v>4.514E-2</v>
      </c>
      <c r="CN852">
        <f t="shared" si="126"/>
        <v>3.508235884987998</v>
      </c>
    </row>
    <row r="853" spans="4:92" x14ac:dyDescent="0.35">
      <c r="D853" s="1">
        <v>5.6213300000000003E-6</v>
      </c>
      <c r="E853">
        <v>13.1098</v>
      </c>
      <c r="F853">
        <v>0.37922600000000001</v>
      </c>
      <c r="G853">
        <v>9.9193899999999999</v>
      </c>
      <c r="I853" s="1">
        <v>5.6213300000000003E-6</v>
      </c>
      <c r="J853">
        <f t="shared" si="122"/>
        <v>2.3267860798599799E-2</v>
      </c>
      <c r="K853">
        <v>2.012643494720232E-3</v>
      </c>
      <c r="L853">
        <v>3.2611710548401604E-2</v>
      </c>
      <c r="N853" s="1">
        <v>5.6213300000000003E-6</v>
      </c>
      <c r="O853">
        <f t="shared" si="123"/>
        <v>2.012643494720232E-3</v>
      </c>
      <c r="Q853" s="1">
        <v>5.6213300000000003E-6</v>
      </c>
      <c r="R853">
        <f t="shared" si="124"/>
        <v>3.2611710548401604E-2</v>
      </c>
      <c r="CH853" s="1">
        <v>5.2036800000000001E-6</v>
      </c>
      <c r="CI853">
        <v>14.722099999999999</v>
      </c>
      <c r="CJ853">
        <f t="shared" si="125"/>
        <v>1144.1869632782855</v>
      </c>
      <c r="CL853" s="1">
        <v>5.2036800000000001E-6</v>
      </c>
      <c r="CM853">
        <v>3.5839999999999997E-2</v>
      </c>
      <c r="CN853">
        <f t="shared" si="126"/>
        <v>2.7854491386346885</v>
      </c>
    </row>
    <row r="854" spans="4:92" x14ac:dyDescent="0.35">
      <c r="D854" s="1">
        <v>5.69412E-6</v>
      </c>
      <c r="E854">
        <v>13.044700000000001</v>
      </c>
      <c r="F854">
        <v>0.38211800000000001</v>
      </c>
      <c r="G854">
        <v>9.9401299999999999</v>
      </c>
      <c r="I854" s="1">
        <v>5.69412E-6</v>
      </c>
      <c r="J854">
        <f t="shared" si="122"/>
        <v>2.3152318399937057E-2</v>
      </c>
      <c r="K854">
        <v>2.0279920335512479E-3</v>
      </c>
      <c r="L854">
        <v>3.2679896886147558E-2</v>
      </c>
      <c r="N854" s="1">
        <v>5.69412E-6</v>
      </c>
      <c r="O854">
        <f t="shared" si="123"/>
        <v>2.0279920335512479E-3</v>
      </c>
      <c r="Q854" s="1">
        <v>5.69412E-6</v>
      </c>
      <c r="R854">
        <f t="shared" si="124"/>
        <v>3.2679896886147558E-2</v>
      </c>
      <c r="CH854" s="1">
        <v>5.2710699999999998E-6</v>
      </c>
      <c r="CI854">
        <v>15.682499999999999</v>
      </c>
      <c r="CJ854">
        <f t="shared" si="125"/>
        <v>1218.8282956651367</v>
      </c>
      <c r="CL854" s="1">
        <v>5.2710699999999998E-6</v>
      </c>
      <c r="CM854">
        <v>3.5220000000000001E-2</v>
      </c>
      <c r="CN854">
        <f t="shared" si="126"/>
        <v>2.7372633555444681</v>
      </c>
    </row>
    <row r="855" spans="4:92" x14ac:dyDescent="0.35">
      <c r="D855" s="1">
        <v>5.76786E-6</v>
      </c>
      <c r="E855">
        <v>13.0944</v>
      </c>
      <c r="F855">
        <v>0.32456000000000002</v>
      </c>
      <c r="G855">
        <v>9.9294100000000007</v>
      </c>
      <c r="I855" s="1">
        <v>5.76786E-6</v>
      </c>
      <c r="J855">
        <f t="shared" si="122"/>
        <v>2.324052818816345E-2</v>
      </c>
      <c r="K855">
        <v>1.7225178986841579E-3</v>
      </c>
      <c r="L855">
        <v>3.2644653031729212E-2</v>
      </c>
      <c r="N855" s="1">
        <v>5.76786E-6</v>
      </c>
      <c r="O855">
        <f t="shared" si="123"/>
        <v>1.7225178986841579E-3</v>
      </c>
      <c r="Q855" s="1">
        <v>5.76786E-6</v>
      </c>
      <c r="R855">
        <f t="shared" si="124"/>
        <v>3.2644653031729212E-2</v>
      </c>
      <c r="CH855" s="1">
        <v>5.3393300000000003E-6</v>
      </c>
      <c r="CI855">
        <v>14.9491</v>
      </c>
      <c r="CJ855">
        <f t="shared" si="125"/>
        <v>1161.8291774097049</v>
      </c>
      <c r="CL855" s="1">
        <v>5.3393300000000003E-6</v>
      </c>
      <c r="CM855">
        <v>3.2289999999999999E-2</v>
      </c>
      <c r="CN855">
        <f t="shared" si="126"/>
        <v>2.5095466709406833</v>
      </c>
    </row>
    <row r="856" spans="4:92" x14ac:dyDescent="0.35">
      <c r="D856" s="1">
        <v>5.8425600000000004E-6</v>
      </c>
      <c r="E856">
        <v>13.081200000000001</v>
      </c>
      <c r="F856">
        <v>0.34878900000000002</v>
      </c>
      <c r="G856">
        <v>9.8773999999999997</v>
      </c>
      <c r="I856" s="1">
        <v>5.8425600000000004E-6</v>
      </c>
      <c r="J856">
        <f t="shared" si="122"/>
        <v>2.3217100236360869E-2</v>
      </c>
      <c r="K856">
        <v>1.8511070229361251E-3</v>
      </c>
      <c r="L856">
        <v>3.2473661159686432E-2</v>
      </c>
      <c r="N856" s="1">
        <v>5.8425600000000004E-6</v>
      </c>
      <c r="O856">
        <f t="shared" si="123"/>
        <v>1.8511070229361251E-3</v>
      </c>
      <c r="Q856" s="1">
        <v>5.8425600000000004E-6</v>
      </c>
      <c r="R856">
        <f t="shared" si="124"/>
        <v>3.2473661159686432E-2</v>
      </c>
      <c r="CH856" s="1">
        <v>5.4084700000000004E-6</v>
      </c>
      <c r="CI856">
        <v>15.4453</v>
      </c>
      <c r="CJ856">
        <f t="shared" si="125"/>
        <v>1200.3933476828781</v>
      </c>
      <c r="CL856" s="1">
        <v>5.4084700000000004E-6</v>
      </c>
      <c r="CM856">
        <v>3.7650000000000003E-2</v>
      </c>
      <c r="CN856">
        <f t="shared" si="126"/>
        <v>2.9261205376561392</v>
      </c>
    </row>
    <row r="857" spans="4:92" x14ac:dyDescent="0.35">
      <c r="D857" s="1">
        <v>5.9182200000000001E-6</v>
      </c>
      <c r="E857">
        <v>12.926</v>
      </c>
      <c r="F857">
        <v>0.41895199999999999</v>
      </c>
      <c r="G857">
        <v>10.126300000000001</v>
      </c>
      <c r="I857" s="1">
        <v>5.9182200000000001E-6</v>
      </c>
      <c r="J857">
        <f t="shared" si="122"/>
        <v>2.294164431819715E-2</v>
      </c>
      <c r="K857">
        <v>2.2234789212765755E-3</v>
      </c>
      <c r="L857">
        <v>3.3291962966097634E-2</v>
      </c>
      <c r="N857" s="1">
        <v>5.9182200000000001E-6</v>
      </c>
      <c r="O857">
        <f t="shared" si="123"/>
        <v>2.2234789212765755E-3</v>
      </c>
      <c r="Q857" s="1">
        <v>5.9182200000000001E-6</v>
      </c>
      <c r="R857">
        <f t="shared" si="124"/>
        <v>3.3291962966097634E-2</v>
      </c>
      <c r="CH857" s="1">
        <v>5.47851E-6</v>
      </c>
      <c r="CI857">
        <v>15.471</v>
      </c>
      <c r="CJ857">
        <f t="shared" si="125"/>
        <v>1202.390726110973</v>
      </c>
      <c r="CL857" s="1">
        <v>5.47851E-6</v>
      </c>
      <c r="CM857">
        <v>3.7179999999999998E-2</v>
      </c>
      <c r="CN857">
        <f t="shared" si="126"/>
        <v>2.8895926053135526</v>
      </c>
    </row>
    <row r="858" spans="4:92" x14ac:dyDescent="0.35">
      <c r="D858" s="1">
        <v>5.9948599999999997E-6</v>
      </c>
      <c r="E858">
        <v>13.1167</v>
      </c>
      <c r="F858">
        <v>0.353489</v>
      </c>
      <c r="G858">
        <v>10.0205</v>
      </c>
      <c r="I858" s="1">
        <v>5.9948599999999997E-6</v>
      </c>
      <c r="J858">
        <f t="shared" si="122"/>
        <v>2.3280107227951152E-2</v>
      </c>
      <c r="K858">
        <v>1.8760510521566558E-3</v>
      </c>
      <c r="L858">
        <v>3.2944127164095602E-2</v>
      </c>
      <c r="N858" s="1">
        <v>5.9948599999999997E-6</v>
      </c>
      <c r="O858">
        <f t="shared" si="123"/>
        <v>1.8760510521566558E-3</v>
      </c>
      <c r="Q858" s="1">
        <v>5.9948599999999997E-6</v>
      </c>
      <c r="R858">
        <f t="shared" si="124"/>
        <v>3.2944127164095602E-2</v>
      </c>
      <c r="CH858" s="1">
        <v>5.5494599999999997E-6</v>
      </c>
      <c r="CI858">
        <v>15.007999999999999</v>
      </c>
      <c r="CJ858">
        <f t="shared" si="125"/>
        <v>1166.4068268032759</v>
      </c>
      <c r="CL858" s="1">
        <v>5.5494599999999997E-6</v>
      </c>
      <c r="CM858">
        <v>3.2680000000000001E-2</v>
      </c>
      <c r="CN858">
        <f t="shared" si="126"/>
        <v>2.5398570828845322</v>
      </c>
    </row>
    <row r="859" spans="4:92" x14ac:dyDescent="0.35">
      <c r="D859" s="1">
        <v>6.07249E-6</v>
      </c>
      <c r="E859">
        <v>12.931900000000001</v>
      </c>
      <c r="F859">
        <v>0.345939</v>
      </c>
      <c r="G859">
        <v>9.6825399999999995</v>
      </c>
      <c r="I859" s="1">
        <v>6.07249E-6</v>
      </c>
      <c r="J859">
        <f t="shared" si="122"/>
        <v>2.2952115902714974E-2</v>
      </c>
      <c r="K859">
        <v>1.8359813881960157E-3</v>
      </c>
      <c r="L859">
        <v>3.1833025201481187E-2</v>
      </c>
      <c r="N859" s="1">
        <v>6.07249E-6</v>
      </c>
      <c r="O859">
        <f t="shared" si="123"/>
        <v>1.8359813881960157E-3</v>
      </c>
      <c r="Q859" s="1">
        <v>6.07249E-6</v>
      </c>
      <c r="R859">
        <f t="shared" si="124"/>
        <v>3.1833025201481187E-2</v>
      </c>
      <c r="CH859" s="1">
        <v>5.6213300000000003E-6</v>
      </c>
      <c r="CI859">
        <v>15.038500000000001</v>
      </c>
      <c r="CJ859">
        <f t="shared" si="125"/>
        <v>1168.7772564552949</v>
      </c>
      <c r="CL859" s="1">
        <v>5.6213300000000003E-6</v>
      </c>
      <c r="CM859">
        <v>4.104E-2</v>
      </c>
      <c r="CN859">
        <f t="shared" si="126"/>
        <v>3.1895879645526679</v>
      </c>
    </row>
    <row r="860" spans="4:92" x14ac:dyDescent="0.35">
      <c r="D860" s="1">
        <v>6.1511299999999998E-6</v>
      </c>
      <c r="E860">
        <v>13.107900000000001</v>
      </c>
      <c r="F860">
        <v>0.387513</v>
      </c>
      <c r="G860">
        <v>10.0181</v>
      </c>
      <c r="I860" s="1">
        <v>6.1511299999999998E-6</v>
      </c>
      <c r="J860">
        <f t="shared" si="122"/>
        <v>2.3264488593416097E-2</v>
      </c>
      <c r="K860">
        <v>2.0566245947522617E-3</v>
      </c>
      <c r="L860">
        <v>3.2936236748927317E-2</v>
      </c>
      <c r="N860" s="1">
        <v>6.1511299999999998E-6</v>
      </c>
      <c r="O860">
        <f t="shared" si="123"/>
        <v>2.0566245947522617E-3</v>
      </c>
      <c r="Q860" s="1">
        <v>6.1511299999999998E-6</v>
      </c>
      <c r="R860">
        <f t="shared" si="124"/>
        <v>3.2936236748927317E-2</v>
      </c>
      <c r="CH860" s="1">
        <v>5.69412E-6</v>
      </c>
      <c r="CI860">
        <v>14.835000000000001</v>
      </c>
      <c r="CJ860">
        <f t="shared" si="125"/>
        <v>1152.9614389410046</v>
      </c>
      <c r="CL860" s="1">
        <v>5.69412E-6</v>
      </c>
      <c r="CM860">
        <v>3.1130000000000001E-2</v>
      </c>
      <c r="CN860">
        <f t="shared" si="126"/>
        <v>2.4193926251589803</v>
      </c>
    </row>
    <row r="861" spans="4:92" x14ac:dyDescent="0.35">
      <c r="D861" s="1">
        <v>6.2307899999999999E-6</v>
      </c>
      <c r="E861">
        <v>13.1424</v>
      </c>
      <c r="F861">
        <v>0.33250299999999999</v>
      </c>
      <c r="G861">
        <v>9.9998799999999992</v>
      </c>
      <c r="I861" s="1">
        <v>6.2307899999999999E-6</v>
      </c>
      <c r="J861">
        <f t="shared" si="122"/>
        <v>2.3325720740172851E-2</v>
      </c>
      <c r="K861">
        <v>1.7646733080668553E-3</v>
      </c>
      <c r="L861">
        <v>3.2876335347108064E-2</v>
      </c>
      <c r="N861" s="1">
        <v>6.2307899999999999E-6</v>
      </c>
      <c r="O861">
        <f t="shared" si="123"/>
        <v>1.7646733080668553E-3</v>
      </c>
      <c r="Q861" s="1">
        <v>6.2307899999999999E-6</v>
      </c>
      <c r="R861">
        <f t="shared" si="124"/>
        <v>3.2876335347108064E-2</v>
      </c>
      <c r="CH861" s="1">
        <v>5.76786E-6</v>
      </c>
      <c r="CI861">
        <v>15.4758</v>
      </c>
      <c r="CJ861">
        <f t="shared" si="125"/>
        <v>1202.7637773348972</v>
      </c>
      <c r="CL861" s="1">
        <v>5.76786E-6</v>
      </c>
      <c r="CM861">
        <v>3.8190000000000002E-2</v>
      </c>
      <c r="CN861">
        <f t="shared" si="126"/>
        <v>2.9680888003476218</v>
      </c>
    </row>
    <row r="862" spans="4:92" x14ac:dyDescent="0.35">
      <c r="D862" s="1">
        <v>6.3114799999999999E-6</v>
      </c>
      <c r="E862">
        <v>12.865399999999999</v>
      </c>
      <c r="F862">
        <v>0.23239699999999999</v>
      </c>
      <c r="G862">
        <v>9.9101199999999992</v>
      </c>
      <c r="I862" s="1">
        <v>6.3114799999999999E-6</v>
      </c>
      <c r="J862">
        <f t="shared" si="122"/>
        <v>2.2834088721285287E-2</v>
      </c>
      <c r="K862">
        <v>1.2333867146305836E-3</v>
      </c>
      <c r="L862">
        <v>3.2581233819814093E-2</v>
      </c>
      <c r="N862" s="1">
        <v>6.3114799999999999E-6</v>
      </c>
      <c r="O862">
        <f t="shared" si="123"/>
        <v>1.2333867146305836E-3</v>
      </c>
      <c r="Q862" s="1">
        <v>6.3114799999999999E-6</v>
      </c>
      <c r="R862">
        <f t="shared" si="124"/>
        <v>3.2581233819814093E-2</v>
      </c>
      <c r="CH862" s="1">
        <v>5.8425600000000004E-6</v>
      </c>
      <c r="CI862">
        <v>16.168600000000001</v>
      </c>
      <c r="CJ862">
        <f t="shared" si="125"/>
        <v>1256.6075039879697</v>
      </c>
      <c r="CL862" s="1">
        <v>5.8425600000000004E-6</v>
      </c>
      <c r="CM862">
        <v>2.5829999999999999E-2</v>
      </c>
      <c r="CN862">
        <f t="shared" si="126"/>
        <v>2.0074818987425784</v>
      </c>
    </row>
    <row r="863" spans="4:92" x14ac:dyDescent="0.35">
      <c r="D863" s="1">
        <v>6.3932099999999999E-6</v>
      </c>
      <c r="E863">
        <v>12.722899999999999</v>
      </c>
      <c r="F863">
        <v>0.17249500000000001</v>
      </c>
      <c r="G863">
        <v>9.5462000000000007</v>
      </c>
      <c r="I863" s="1">
        <v>6.3932099999999999E-6</v>
      </c>
      <c r="J863">
        <f t="shared" si="122"/>
        <v>2.2581173332507389E-2</v>
      </c>
      <c r="K863">
        <v>9.1547240859478623E-4</v>
      </c>
      <c r="L863">
        <v>3.13847838664627E-2</v>
      </c>
      <c r="N863" s="1">
        <v>6.3932099999999999E-6</v>
      </c>
      <c r="O863">
        <f t="shared" si="123"/>
        <v>9.1547240859478623E-4</v>
      </c>
      <c r="Q863" s="1">
        <v>6.3932099999999999E-6</v>
      </c>
      <c r="R863">
        <f t="shared" si="124"/>
        <v>3.13847838664627E-2</v>
      </c>
      <c r="CH863" s="1">
        <v>5.9182200000000001E-6</v>
      </c>
      <c r="CI863">
        <v>15.4941</v>
      </c>
      <c r="CJ863">
        <f t="shared" si="125"/>
        <v>1204.1860351261084</v>
      </c>
      <c r="CL863" s="1">
        <v>5.9182200000000001E-6</v>
      </c>
      <c r="CM863">
        <v>3.7490000000000002E-2</v>
      </c>
      <c r="CN863">
        <f t="shared" si="126"/>
        <v>2.9136854968586632</v>
      </c>
    </row>
    <row r="864" spans="4:92" x14ac:dyDescent="0.35">
      <c r="D864" s="1">
        <v>6.4760100000000002E-6</v>
      </c>
      <c r="E864">
        <v>11.822100000000001</v>
      </c>
      <c r="F864">
        <v>5.7831899999999999E-2</v>
      </c>
      <c r="G864">
        <v>7.91751</v>
      </c>
      <c r="I864" s="1">
        <v>6.4760100000000002E-6</v>
      </c>
      <c r="J864">
        <f t="shared" si="122"/>
        <v>2.0982393106464381E-2</v>
      </c>
      <c r="K864">
        <v>3.0692778797421845E-4</v>
      </c>
      <c r="L864">
        <v>2.6030183749613151E-2</v>
      </c>
      <c r="N864" s="1">
        <v>6.4760100000000002E-6</v>
      </c>
      <c r="O864">
        <f t="shared" si="123"/>
        <v>3.0692778797421845E-4</v>
      </c>
      <c r="Q864" s="1">
        <v>6.4760100000000002E-6</v>
      </c>
      <c r="R864">
        <f t="shared" si="124"/>
        <v>2.6030183749613151E-2</v>
      </c>
      <c r="CH864" s="1">
        <v>5.9948599999999997E-6</v>
      </c>
      <c r="CI864">
        <v>15.367699999999999</v>
      </c>
      <c r="CJ864">
        <f t="shared" si="125"/>
        <v>1194.3623528961023</v>
      </c>
      <c r="CL864" s="1">
        <v>5.9948599999999997E-6</v>
      </c>
      <c r="CM864">
        <v>3.6130000000000002E-2</v>
      </c>
      <c r="CN864">
        <f t="shared" si="126"/>
        <v>2.8079876500801144</v>
      </c>
    </row>
    <row r="865" spans="4:92" x14ac:dyDescent="0.35">
      <c r="D865" s="1">
        <v>6.5598700000000001E-6</v>
      </c>
      <c r="E865">
        <v>11.614000000000001</v>
      </c>
      <c r="F865">
        <v>1.54004E-2</v>
      </c>
      <c r="G865">
        <v>6.9897400000000003</v>
      </c>
      <c r="I865" s="1">
        <v>6.5598700000000001E-6</v>
      </c>
      <c r="J865">
        <f t="shared" si="122"/>
        <v>2.0613047896606975E-2</v>
      </c>
      <c r="K865">
        <v>8.1733622895290562E-5</v>
      </c>
      <c r="L865">
        <v>2.2979979382662104E-2</v>
      </c>
      <c r="N865" s="1">
        <v>6.5598700000000001E-6</v>
      </c>
      <c r="O865">
        <f t="shared" si="123"/>
        <v>8.1733622895290562E-5</v>
      </c>
      <c r="Q865" s="1">
        <v>6.5598700000000001E-6</v>
      </c>
      <c r="R865">
        <f t="shared" si="124"/>
        <v>2.2979979382662104E-2</v>
      </c>
      <c r="CH865" s="1">
        <v>6.07249E-6</v>
      </c>
      <c r="CI865">
        <v>16.282599999999999</v>
      </c>
      <c r="CJ865">
        <f t="shared" si="125"/>
        <v>1265.4674705561713</v>
      </c>
      <c r="CL865" s="1">
        <v>6.07249E-6</v>
      </c>
      <c r="CM865">
        <v>6.4250000000000002E-2</v>
      </c>
      <c r="CN865">
        <f t="shared" si="126"/>
        <v>4.9934460702365726</v>
      </c>
    </row>
    <row r="866" spans="4:92" x14ac:dyDescent="0.35">
      <c r="D866" s="1">
        <v>6.64482E-6</v>
      </c>
      <c r="E866">
        <v>11.694699999999999</v>
      </c>
      <c r="F866">
        <v>1.2093700000000001E-2</v>
      </c>
      <c r="G866">
        <v>7.1321300000000001</v>
      </c>
      <c r="I866" s="1">
        <v>6.64482E-6</v>
      </c>
      <c r="J866">
        <f t="shared" si="122"/>
        <v>2.0756277874672768E-2</v>
      </c>
      <c r="K866">
        <v>6.418417152858209E-5</v>
      </c>
      <c r="L866">
        <v>2.3448111139250653E-2</v>
      </c>
      <c r="N866" s="1">
        <v>6.64482E-6</v>
      </c>
      <c r="O866">
        <f t="shared" si="123"/>
        <v>6.418417152858209E-5</v>
      </c>
      <c r="Q866" s="1">
        <v>6.64482E-6</v>
      </c>
      <c r="R866">
        <f t="shared" si="124"/>
        <v>2.3448111139250653E-2</v>
      </c>
      <c r="CH866" s="1">
        <v>6.1511299999999998E-6</v>
      </c>
      <c r="CI866">
        <v>15.2385</v>
      </c>
      <c r="CJ866">
        <f t="shared" si="125"/>
        <v>1184.3210574521402</v>
      </c>
      <c r="CL866" s="1">
        <v>6.1511299999999998E-6</v>
      </c>
      <c r="CM866">
        <v>4.104E-2</v>
      </c>
      <c r="CN866">
        <f t="shared" si="126"/>
        <v>3.1895879645526679</v>
      </c>
    </row>
    <row r="867" spans="4:92" x14ac:dyDescent="0.35">
      <c r="D867" s="1">
        <v>6.7308699999999998E-6</v>
      </c>
      <c r="E867">
        <v>11.6983</v>
      </c>
      <c r="F867">
        <v>2.9836499999999998E-2</v>
      </c>
      <c r="G867">
        <v>7.4238499999999998</v>
      </c>
      <c r="I867" s="1">
        <v>6.7308699999999998E-6</v>
      </c>
      <c r="J867">
        <f t="shared" si="122"/>
        <v>2.0762667316073475E-2</v>
      </c>
      <c r="K867">
        <v>1.5834947400816452E-4</v>
      </c>
      <c r="L867">
        <v>2.4407191102956055E-2</v>
      </c>
      <c r="N867" s="1">
        <v>6.7308699999999998E-6</v>
      </c>
      <c r="O867">
        <f t="shared" si="123"/>
        <v>1.5834947400816452E-4</v>
      </c>
      <c r="Q867" s="1">
        <v>6.7308699999999998E-6</v>
      </c>
      <c r="R867">
        <f t="shared" si="124"/>
        <v>2.4407191102956055E-2</v>
      </c>
      <c r="CH867" s="1">
        <v>6.2307899999999999E-6</v>
      </c>
      <c r="CI867">
        <v>14.5297</v>
      </c>
      <c r="CJ867">
        <f t="shared" si="125"/>
        <v>1129.2338267193202</v>
      </c>
      <c r="CL867" s="1">
        <v>6.2307899999999999E-6</v>
      </c>
      <c r="CM867">
        <v>3.8309999999999997E-2</v>
      </c>
      <c r="CN867">
        <f t="shared" si="126"/>
        <v>2.9774150809457285</v>
      </c>
    </row>
    <row r="868" spans="4:92" x14ac:dyDescent="0.35">
      <c r="D868" s="1">
        <v>6.81804E-6</v>
      </c>
      <c r="E868">
        <v>12.7783</v>
      </c>
      <c r="F868">
        <v>0.162243</v>
      </c>
      <c r="G868">
        <v>8.8419600000000003</v>
      </c>
      <c r="I868" s="1">
        <v>6.81804E-6</v>
      </c>
      <c r="J868">
        <f t="shared" si="122"/>
        <v>2.2679499736284903E-2</v>
      </c>
      <c r="K868">
        <v>8.6106258145247038E-4</v>
      </c>
      <c r="L868">
        <v>2.9069473042248068E-2</v>
      </c>
      <c r="N868" s="1">
        <v>6.81804E-6</v>
      </c>
      <c r="O868">
        <f t="shared" si="123"/>
        <v>8.6106258145247038E-4</v>
      </c>
      <c r="Q868" s="1">
        <v>6.81804E-6</v>
      </c>
      <c r="R868">
        <f t="shared" si="124"/>
        <v>2.9069473042248068E-2</v>
      </c>
      <c r="CH868" s="1">
        <v>6.3114799999999999E-6</v>
      </c>
      <c r="CI868">
        <v>14.837400000000001</v>
      </c>
      <c r="CJ868">
        <f t="shared" si="125"/>
        <v>1153.1479645529669</v>
      </c>
      <c r="CL868" s="1">
        <v>6.3114799999999999E-6</v>
      </c>
      <c r="CM868">
        <v>3.6080000000000001E-2</v>
      </c>
      <c r="CN868">
        <f t="shared" si="126"/>
        <v>2.8041016998309032</v>
      </c>
    </row>
    <row r="869" spans="4:92" x14ac:dyDescent="0.35">
      <c r="D869" s="1">
        <v>6.9063299999999998E-6</v>
      </c>
      <c r="E869">
        <v>13.3489</v>
      </c>
      <c r="F869">
        <v>0.41193999999999997</v>
      </c>
      <c r="G869">
        <v>10.395099999999999</v>
      </c>
      <c r="I869" s="1">
        <v>6.9063299999999998E-6</v>
      </c>
      <c r="J869">
        <f t="shared" si="122"/>
        <v>2.3692226198296612E-2</v>
      </c>
      <c r="K869">
        <v>2.1862645525756465E-3</v>
      </c>
      <c r="L869">
        <v>3.4175689464945883E-2</v>
      </c>
      <c r="N869" s="1">
        <v>6.9063299999999998E-6</v>
      </c>
      <c r="O869">
        <f t="shared" si="123"/>
        <v>2.1862645525756465E-3</v>
      </c>
      <c r="Q869" s="1">
        <v>6.9063299999999998E-6</v>
      </c>
      <c r="R869">
        <f t="shared" si="124"/>
        <v>3.4175689464945883E-2</v>
      </c>
      <c r="CH869" s="1">
        <v>6.3932099999999999E-6</v>
      </c>
      <c r="CI869">
        <v>14.2836</v>
      </c>
      <c r="CJ869">
        <f t="shared" si="125"/>
        <v>1110.1071795927019</v>
      </c>
      <c r="CL869" s="1">
        <v>6.3932099999999999E-6</v>
      </c>
      <c r="CM869">
        <v>3.6749999999999998E-2</v>
      </c>
      <c r="CN869">
        <f t="shared" si="126"/>
        <v>2.8561734331703348</v>
      </c>
    </row>
    <row r="870" spans="4:92" x14ac:dyDescent="0.35">
      <c r="D870" s="1">
        <v>6.9957699999999996E-6</v>
      </c>
      <c r="E870">
        <v>13.411199999999999</v>
      </c>
      <c r="F870">
        <v>0.57522600000000002</v>
      </c>
      <c r="G870">
        <v>10.778600000000001</v>
      </c>
      <c r="I870" s="1">
        <v>6.9957699999999996E-6</v>
      </c>
      <c r="J870">
        <f t="shared" si="122"/>
        <v>2.3802799031425469E-2</v>
      </c>
      <c r="K870">
        <v>3.0528625856189717E-3</v>
      </c>
      <c r="L870">
        <v>3.5436512055378566E-2</v>
      </c>
      <c r="N870" s="1">
        <v>6.9957699999999996E-6</v>
      </c>
      <c r="O870">
        <f t="shared" si="123"/>
        <v>3.0528625856189717E-3</v>
      </c>
      <c r="Q870" s="1">
        <v>6.9957699999999996E-6</v>
      </c>
      <c r="R870">
        <f t="shared" si="124"/>
        <v>3.5436512055378566E-2</v>
      </c>
      <c r="CH870" s="1">
        <v>6.4760100000000002E-6</v>
      </c>
      <c r="CI870">
        <v>12.7424</v>
      </c>
      <c r="CJ870">
        <f t="shared" si="125"/>
        <v>990.32664911101165</v>
      </c>
      <c r="CL870" s="1">
        <v>6.4760100000000002E-6</v>
      </c>
      <c r="CM870">
        <v>4.2349999999999999E-2</v>
      </c>
      <c r="CN870">
        <f t="shared" si="126"/>
        <v>3.291399861082005</v>
      </c>
    </row>
    <row r="871" spans="4:92" x14ac:dyDescent="0.35">
      <c r="D871" s="1">
        <v>7.0863700000000001E-6</v>
      </c>
      <c r="E871">
        <v>13.3508</v>
      </c>
      <c r="F871">
        <v>0.65959199999999996</v>
      </c>
      <c r="G871">
        <v>11.141</v>
      </c>
      <c r="I871" s="1">
        <v>7.0863700000000001E-6</v>
      </c>
      <c r="J871">
        <f t="shared" si="122"/>
        <v>2.3695598403480313E-2</v>
      </c>
      <c r="K871">
        <v>3.5006132173677623E-3</v>
      </c>
      <c r="L871">
        <v>3.6627964745790047E-2</v>
      </c>
      <c r="N871" s="1">
        <v>7.0863700000000001E-6</v>
      </c>
      <c r="O871">
        <f t="shared" si="123"/>
        <v>3.5006132173677623E-3</v>
      </c>
      <c r="Q871" s="1">
        <v>7.0863700000000001E-6</v>
      </c>
      <c r="R871">
        <f t="shared" si="124"/>
        <v>3.6627964745790047E-2</v>
      </c>
      <c r="CH871" s="1">
        <v>6.5598700000000001E-6</v>
      </c>
      <c r="CI871">
        <v>11.511900000000001</v>
      </c>
      <c r="CJ871">
        <f t="shared" si="125"/>
        <v>894.69341347792056</v>
      </c>
      <c r="CL871" s="1">
        <v>6.5598700000000001E-6</v>
      </c>
      <c r="CM871">
        <v>4.1110000000000001E-2</v>
      </c>
      <c r="CN871">
        <f t="shared" si="126"/>
        <v>3.1950282949015638</v>
      </c>
    </row>
    <row r="872" spans="4:92" x14ac:dyDescent="0.35">
      <c r="D872" s="1">
        <v>7.1781400000000002E-6</v>
      </c>
      <c r="E872">
        <v>13.756600000000001</v>
      </c>
      <c r="F872">
        <v>0.77136899999999997</v>
      </c>
      <c r="G872">
        <v>11.0648</v>
      </c>
      <c r="I872" s="1">
        <v>7.1781400000000002E-6</v>
      </c>
      <c r="J872">
        <f t="shared" si="122"/>
        <v>2.4415830436926425E-2</v>
      </c>
      <c r="K872">
        <v>4.0938406118748464E-3</v>
      </c>
      <c r="L872">
        <v>3.63774440641969E-2</v>
      </c>
      <c r="N872" s="1">
        <v>7.1781400000000002E-6</v>
      </c>
      <c r="O872">
        <f t="shared" si="123"/>
        <v>4.0938406118748464E-3</v>
      </c>
      <c r="Q872" s="1">
        <v>7.1781400000000002E-6</v>
      </c>
      <c r="R872">
        <f t="shared" si="124"/>
        <v>3.63774440641969E-2</v>
      </c>
      <c r="CH872" s="1">
        <v>6.64482E-6</v>
      </c>
      <c r="CI872">
        <v>11.3537</v>
      </c>
      <c r="CJ872">
        <f t="shared" si="125"/>
        <v>882.39826688941582</v>
      </c>
      <c r="CL872" s="1">
        <v>6.64482E-6</v>
      </c>
      <c r="CM872">
        <v>4.0969999999999999E-2</v>
      </c>
      <c r="CN872">
        <f t="shared" si="126"/>
        <v>3.184147634203772</v>
      </c>
    </row>
    <row r="873" spans="4:92" x14ac:dyDescent="0.35">
      <c r="D873" s="1">
        <v>7.2710899999999999E-6</v>
      </c>
      <c r="E873">
        <v>13.5665</v>
      </c>
      <c r="F873">
        <v>0.84571799999999997</v>
      </c>
      <c r="G873">
        <v>11.222799999999999</v>
      </c>
      <c r="I873" s="1">
        <v>7.2710899999999999E-6</v>
      </c>
      <c r="J873">
        <f t="shared" si="122"/>
        <v>2.4078432434072539E-2</v>
      </c>
      <c r="K873">
        <v>4.4884286179423484E-3</v>
      </c>
      <c r="L873">
        <v>3.6896896396109193E-2</v>
      </c>
      <c r="N873" s="1">
        <v>7.2710899999999999E-6</v>
      </c>
      <c r="O873">
        <f t="shared" si="123"/>
        <v>4.4884286179423484E-3</v>
      </c>
      <c r="Q873" s="1">
        <v>7.2710899999999999E-6</v>
      </c>
      <c r="R873">
        <f t="shared" si="124"/>
        <v>3.6896896396109193E-2</v>
      </c>
      <c r="CH873" s="1">
        <v>6.7308699999999998E-6</v>
      </c>
      <c r="CI873">
        <v>12.506600000000001</v>
      </c>
      <c r="CJ873">
        <f t="shared" si="125"/>
        <v>972.00050773573093</v>
      </c>
      <c r="CL873" s="1">
        <v>6.7308699999999998E-6</v>
      </c>
      <c r="CM873">
        <v>4.6789999999999998E-2</v>
      </c>
      <c r="CN873">
        <f t="shared" si="126"/>
        <v>3.6364722432119718</v>
      </c>
    </row>
    <row r="874" spans="4:92" x14ac:dyDescent="0.35">
      <c r="D874" s="1">
        <v>7.3652500000000003E-6</v>
      </c>
      <c r="E874">
        <v>13.925700000000001</v>
      </c>
      <c r="F874">
        <v>0.74460899999999997</v>
      </c>
      <c r="G874">
        <v>11.2994</v>
      </c>
      <c r="I874" s="1">
        <v>7.3652500000000003E-6</v>
      </c>
      <c r="J874">
        <f t="shared" si="122"/>
        <v>2.4715956698276195E-2</v>
      </c>
      <c r="K874">
        <v>3.9518188625256101E-3</v>
      </c>
      <c r="L874">
        <v>3.7148732146897047E-2</v>
      </c>
      <c r="N874" s="1">
        <v>7.3652500000000003E-6</v>
      </c>
      <c r="O874">
        <f t="shared" si="123"/>
        <v>3.9518188625256101E-3</v>
      </c>
      <c r="Q874" s="1">
        <v>7.3652500000000003E-6</v>
      </c>
      <c r="R874">
        <f t="shared" si="124"/>
        <v>3.7148732146897047E-2</v>
      </c>
      <c r="CH874" s="1">
        <v>6.81804E-6</v>
      </c>
      <c r="CI874">
        <v>14.0631</v>
      </c>
      <c r="CJ874">
        <f t="shared" si="125"/>
        <v>1092.9701389936799</v>
      </c>
      <c r="CL874" s="1">
        <v>6.81804E-6</v>
      </c>
      <c r="CM874">
        <v>3.687E-2</v>
      </c>
      <c r="CN874">
        <f t="shared" si="126"/>
        <v>2.8654997137684424</v>
      </c>
    </row>
    <row r="875" spans="4:92" x14ac:dyDescent="0.35">
      <c r="D875" s="1">
        <v>7.4606299999999998E-6</v>
      </c>
      <c r="E875">
        <v>13.4102</v>
      </c>
      <c r="F875">
        <v>0.79090000000000005</v>
      </c>
      <c r="G875">
        <v>11.352499999999999</v>
      </c>
      <c r="I875" s="1">
        <v>7.4606299999999998E-6</v>
      </c>
      <c r="J875">
        <f t="shared" si="122"/>
        <v>2.380102418659194E-2</v>
      </c>
      <c r="K875">
        <v>4.1974963213868019E-3</v>
      </c>
      <c r="L875">
        <v>3.7323307582495413E-2</v>
      </c>
      <c r="N875" s="1">
        <v>7.4606299999999998E-6</v>
      </c>
      <c r="O875">
        <f t="shared" si="123"/>
        <v>4.1974963213868019E-3</v>
      </c>
      <c r="Q875" s="1">
        <v>7.4606299999999998E-6</v>
      </c>
      <c r="R875">
        <f t="shared" si="124"/>
        <v>3.7323307582495413E-2</v>
      </c>
      <c r="CH875" s="1">
        <v>6.9063299999999998E-6</v>
      </c>
      <c r="CI875">
        <v>17.067799999999998</v>
      </c>
      <c r="CJ875">
        <f t="shared" si="125"/>
        <v>1326.492433269786</v>
      </c>
      <c r="CL875" s="1">
        <v>6.9063299999999998E-6</v>
      </c>
      <c r="CM875">
        <v>3.388E-2</v>
      </c>
      <c r="CN875">
        <f t="shared" si="126"/>
        <v>2.633119888865604</v>
      </c>
    </row>
    <row r="876" spans="4:92" x14ac:dyDescent="0.35">
      <c r="D876" s="1">
        <v>7.5572500000000004E-6</v>
      </c>
      <c r="E876">
        <v>13.564</v>
      </c>
      <c r="F876">
        <v>0.90681900000000004</v>
      </c>
      <c r="G876">
        <v>11.173400000000001</v>
      </c>
      <c r="I876" s="1">
        <v>7.5572500000000004E-6</v>
      </c>
      <c r="J876">
        <f t="shared" si="122"/>
        <v>2.4073995321988718E-2</v>
      </c>
      <c r="K876">
        <v>4.8127063050495108E-3</v>
      </c>
      <c r="L876">
        <v>3.6734485350561931E-2</v>
      </c>
      <c r="N876" s="1">
        <v>7.5572500000000004E-6</v>
      </c>
      <c r="O876">
        <f t="shared" si="123"/>
        <v>4.8127063050495108E-3</v>
      </c>
      <c r="Q876" s="1">
        <v>7.5572500000000004E-6</v>
      </c>
      <c r="R876">
        <f t="shared" si="124"/>
        <v>3.6734485350561931E-2</v>
      </c>
      <c r="CH876" s="1">
        <v>6.9957699999999996E-6</v>
      </c>
      <c r="CI876">
        <v>17.565200000000001</v>
      </c>
      <c r="CJ876">
        <f t="shared" si="125"/>
        <v>1365.1498663489408</v>
      </c>
      <c r="CL876" s="1">
        <v>6.9957699999999996E-6</v>
      </c>
      <c r="CM876">
        <v>3.5999999999999997E-2</v>
      </c>
      <c r="CN876">
        <f t="shared" si="126"/>
        <v>2.7978841794321649</v>
      </c>
    </row>
    <row r="877" spans="4:92" x14ac:dyDescent="0.35">
      <c r="D877" s="1">
        <v>7.6551200000000003E-6</v>
      </c>
      <c r="E877">
        <v>13.8965</v>
      </c>
      <c r="F877">
        <v>0.85428400000000004</v>
      </c>
      <c r="G877">
        <v>11.089</v>
      </c>
      <c r="I877" s="1">
        <v>7.6551200000000003E-6</v>
      </c>
      <c r="J877">
        <f t="shared" si="122"/>
        <v>2.4664131229137142E-2</v>
      </c>
      <c r="K877">
        <v>4.5338904380068309E-3</v>
      </c>
      <c r="L877">
        <v>3.6457005750477139E-2</v>
      </c>
      <c r="N877" s="1">
        <v>7.6551200000000003E-6</v>
      </c>
      <c r="O877">
        <f t="shared" si="123"/>
        <v>4.5338904380068309E-3</v>
      </c>
      <c r="Q877" s="1">
        <v>7.6551200000000003E-6</v>
      </c>
      <c r="R877">
        <f t="shared" si="124"/>
        <v>3.6457005750477139E-2</v>
      </c>
      <c r="CH877" s="1">
        <v>7.0863700000000001E-6</v>
      </c>
      <c r="CI877">
        <v>17.949000000000002</v>
      </c>
      <c r="CJ877">
        <f t="shared" si="125"/>
        <v>1394.978420461887</v>
      </c>
      <c r="CL877" s="1">
        <v>7.0863700000000001E-6</v>
      </c>
      <c r="CM877">
        <v>2.8709999999999999E-2</v>
      </c>
      <c r="CN877">
        <f t="shared" si="126"/>
        <v>2.2313126330971516</v>
      </c>
    </row>
    <row r="878" spans="4:92" x14ac:dyDescent="0.35">
      <c r="D878" s="1">
        <v>7.7542499999999995E-6</v>
      </c>
      <c r="E878">
        <v>13.343999999999999</v>
      </c>
      <c r="F878">
        <v>0.82681899999999997</v>
      </c>
      <c r="G878">
        <v>11.4239</v>
      </c>
      <c r="I878" s="1">
        <v>7.7542499999999995E-6</v>
      </c>
      <c r="J878">
        <f t="shared" si="122"/>
        <v>2.3683529458612317E-2</v>
      </c>
      <c r="K878">
        <v>4.3881270842745157E-3</v>
      </c>
      <c r="L878">
        <v>3.7558047433751983E-2</v>
      </c>
      <c r="N878" s="1">
        <v>7.7542499999999995E-6</v>
      </c>
      <c r="O878">
        <f t="shared" si="123"/>
        <v>4.3881270842745157E-3</v>
      </c>
      <c r="Q878" s="1">
        <v>7.7542499999999995E-6</v>
      </c>
      <c r="R878">
        <f t="shared" si="124"/>
        <v>3.7558047433751983E-2</v>
      </c>
      <c r="CH878" s="1">
        <v>7.1781400000000002E-6</v>
      </c>
      <c r="CI878">
        <v>18.238600000000002</v>
      </c>
      <c r="CJ878">
        <f t="shared" si="125"/>
        <v>1417.485844305319</v>
      </c>
      <c r="CL878" s="1">
        <v>7.1781400000000002E-6</v>
      </c>
      <c r="CM878">
        <v>3.2480000000000002E-2</v>
      </c>
      <c r="CN878">
        <f t="shared" si="126"/>
        <v>2.5243132818876868</v>
      </c>
    </row>
    <row r="879" spans="4:92" x14ac:dyDescent="0.35">
      <c r="D879" s="1">
        <v>7.8546700000000008E-6</v>
      </c>
      <c r="E879">
        <v>13.640499999999999</v>
      </c>
      <c r="F879">
        <v>0.90908100000000003</v>
      </c>
      <c r="G879">
        <v>11.230600000000001</v>
      </c>
      <c r="I879" s="1">
        <v>7.8546700000000008E-6</v>
      </c>
      <c r="J879">
        <f t="shared" si="122"/>
        <v>2.4209770951753695E-2</v>
      </c>
      <c r="K879">
        <v>4.8247112825169245E-3</v>
      </c>
      <c r="L879">
        <v>3.692254024540613E-2</v>
      </c>
      <c r="N879" s="1">
        <v>7.8546700000000008E-6</v>
      </c>
      <c r="O879">
        <f t="shared" si="123"/>
        <v>4.8247112825169245E-3</v>
      </c>
      <c r="Q879" s="1">
        <v>7.8546700000000008E-6</v>
      </c>
      <c r="R879">
        <f t="shared" si="124"/>
        <v>3.692254024540613E-2</v>
      </c>
      <c r="CH879" s="1">
        <v>7.2710899999999999E-6</v>
      </c>
      <c r="CI879">
        <v>18.2637</v>
      </c>
      <c r="CJ879">
        <f t="shared" si="125"/>
        <v>1419.436591330423</v>
      </c>
      <c r="CL879" s="1">
        <v>7.2710899999999999E-6</v>
      </c>
      <c r="CM879">
        <v>3.569E-2</v>
      </c>
      <c r="CN879">
        <f t="shared" si="126"/>
        <v>2.7737912878870548</v>
      </c>
    </row>
    <row r="880" spans="4:92" x14ac:dyDescent="0.35">
      <c r="D880" s="1">
        <v>7.9563899999999999E-6</v>
      </c>
      <c r="E880">
        <v>13.724399999999999</v>
      </c>
      <c r="F880">
        <v>0.90965200000000002</v>
      </c>
      <c r="G880">
        <v>11.307399999999999</v>
      </c>
      <c r="I880" s="1">
        <v>7.9563899999999999E-6</v>
      </c>
      <c r="J880">
        <f t="shared" si="122"/>
        <v>2.4358680433286786E-2</v>
      </c>
      <c r="K880">
        <v>4.8277417167052056E-3</v>
      </c>
      <c r="L880">
        <v>3.7175033530791338E-2</v>
      </c>
      <c r="N880" s="1">
        <v>7.9563899999999999E-6</v>
      </c>
      <c r="O880">
        <f t="shared" si="123"/>
        <v>4.8277417167052056E-3</v>
      </c>
      <c r="Q880" s="1">
        <v>7.9563899999999999E-6</v>
      </c>
      <c r="R880">
        <f t="shared" si="124"/>
        <v>3.7175033530791338E-2</v>
      </c>
      <c r="CH880" s="1">
        <v>7.3652500000000003E-6</v>
      </c>
      <c r="CI880">
        <v>18.364000000000001</v>
      </c>
      <c r="CJ880">
        <f t="shared" si="125"/>
        <v>1427.231807530341</v>
      </c>
      <c r="CL880" s="1">
        <v>7.3652500000000003E-6</v>
      </c>
      <c r="CM880">
        <v>3.1029999999999999E-2</v>
      </c>
      <c r="CN880">
        <f t="shared" si="126"/>
        <v>2.4116207246605574</v>
      </c>
    </row>
    <row r="881" spans="4:92" x14ac:dyDescent="0.35">
      <c r="D881" s="1">
        <v>8.0594299999999998E-6</v>
      </c>
      <c r="E881">
        <v>13.796200000000001</v>
      </c>
      <c r="F881">
        <v>0.856016</v>
      </c>
      <c r="G881">
        <v>11.2569</v>
      </c>
      <c r="I881" s="1">
        <v>8.0594299999999998E-6</v>
      </c>
      <c r="J881">
        <f t="shared" si="122"/>
        <v>2.4486114292334177E-2</v>
      </c>
      <c r="K881">
        <v>4.5430825781366101E-3</v>
      </c>
      <c r="L881">
        <v>3.700900604495861E-2</v>
      </c>
      <c r="N881" s="1">
        <v>8.0594299999999998E-6</v>
      </c>
      <c r="O881">
        <f t="shared" si="123"/>
        <v>4.5430825781366101E-3</v>
      </c>
      <c r="Q881" s="1">
        <v>8.0594299999999998E-6</v>
      </c>
      <c r="R881">
        <f t="shared" si="124"/>
        <v>3.700900604495861E-2</v>
      </c>
      <c r="CH881" s="1">
        <v>7.4606299999999998E-6</v>
      </c>
      <c r="CI881">
        <v>19.2057</v>
      </c>
      <c r="CJ881">
        <f t="shared" si="125"/>
        <v>1492.6478940255647</v>
      </c>
      <c r="CL881" s="1">
        <v>7.4606299999999998E-6</v>
      </c>
      <c r="CM881">
        <v>2.708E-2</v>
      </c>
      <c r="CN881">
        <f t="shared" si="126"/>
        <v>2.1046306549728619</v>
      </c>
    </row>
    <row r="882" spans="4:92" x14ac:dyDescent="0.35">
      <c r="D882" s="1">
        <v>8.1637999999999997E-6</v>
      </c>
      <c r="E882">
        <v>13.2111</v>
      </c>
      <c r="F882">
        <v>1.01593</v>
      </c>
      <c r="G882">
        <v>11.3635</v>
      </c>
      <c r="I882" s="1">
        <v>8.1637999999999997E-6</v>
      </c>
      <c r="J882">
        <f t="shared" si="122"/>
        <v>2.3447652580236299E-2</v>
      </c>
      <c r="K882">
        <v>5.3917845970242679E-3</v>
      </c>
      <c r="L882">
        <v>3.7359471985350071E-2</v>
      </c>
      <c r="N882" s="1">
        <v>8.1637999999999997E-6</v>
      </c>
      <c r="O882">
        <f t="shared" si="123"/>
        <v>5.3917845970242679E-3</v>
      </c>
      <c r="Q882" s="1">
        <v>8.1637999999999997E-6</v>
      </c>
      <c r="R882">
        <f t="shared" si="124"/>
        <v>3.7359471985350071E-2</v>
      </c>
      <c r="CH882" s="1">
        <v>7.5572500000000004E-6</v>
      </c>
      <c r="CI882">
        <v>18.303000000000001</v>
      </c>
      <c r="CJ882">
        <f t="shared" si="125"/>
        <v>1422.4909482263033</v>
      </c>
      <c r="CL882" s="1">
        <v>7.5572500000000004E-6</v>
      </c>
      <c r="CM882">
        <v>3.5860000000000003E-2</v>
      </c>
      <c r="CN882">
        <f t="shared" si="126"/>
        <v>2.7870035187343736</v>
      </c>
    </row>
    <row r="883" spans="4:92" x14ac:dyDescent="0.35">
      <c r="D883" s="1">
        <v>8.2695200000000007E-6</v>
      </c>
      <c r="E883">
        <v>13.661899999999999</v>
      </c>
      <c r="F883">
        <v>0.89286299999999996</v>
      </c>
      <c r="G883">
        <v>11.39</v>
      </c>
      <c r="I883" s="1">
        <v>8.2695200000000007E-6</v>
      </c>
      <c r="J883">
        <f t="shared" si="122"/>
        <v>2.4247752631191215E-2</v>
      </c>
      <c r="K883">
        <v>4.7386384599853127E-3</v>
      </c>
      <c r="L883">
        <v>3.7446595319499919E-2</v>
      </c>
      <c r="N883" s="1">
        <v>8.2695200000000007E-6</v>
      </c>
      <c r="O883">
        <f t="shared" si="123"/>
        <v>4.7386384599853127E-3</v>
      </c>
      <c r="Q883" s="1">
        <v>8.2695200000000007E-6</v>
      </c>
      <c r="R883">
        <f t="shared" si="124"/>
        <v>3.7446595319499919E-2</v>
      </c>
      <c r="CH883" s="1">
        <v>7.6551200000000003E-6</v>
      </c>
      <c r="CI883">
        <v>18.307200000000002</v>
      </c>
      <c r="CJ883">
        <f t="shared" si="125"/>
        <v>1422.8173680472371</v>
      </c>
      <c r="CL883" s="1">
        <v>7.6551200000000003E-6</v>
      </c>
      <c r="CM883">
        <v>2.9749999999999999E-2</v>
      </c>
      <c r="CN883">
        <f t="shared" si="126"/>
        <v>2.3121403982807474</v>
      </c>
    </row>
    <row r="884" spans="4:92" x14ac:dyDescent="0.35">
      <c r="D884" s="1">
        <v>8.3766099999999994E-6</v>
      </c>
      <c r="E884">
        <v>13.4351</v>
      </c>
      <c r="F884">
        <v>0.99660000000000004</v>
      </c>
      <c r="G884">
        <v>11.1349</v>
      </c>
      <c r="I884" s="1">
        <v>8.3766099999999994E-6</v>
      </c>
      <c r="J884">
        <f t="shared" si="122"/>
        <v>2.384521782294682E-2</v>
      </c>
      <c r="K884">
        <v>5.2891956428045101E-3</v>
      </c>
      <c r="L884">
        <v>3.6607909940570643E-2</v>
      </c>
      <c r="N884" s="1">
        <v>8.3766099999999994E-6</v>
      </c>
      <c r="O884">
        <f t="shared" si="123"/>
        <v>5.2891956428045101E-3</v>
      </c>
      <c r="Q884" s="1">
        <v>8.3766099999999994E-6</v>
      </c>
      <c r="R884">
        <f t="shared" si="124"/>
        <v>3.6607909940570643E-2</v>
      </c>
      <c r="CH884" s="1">
        <v>7.7542499999999995E-6</v>
      </c>
      <c r="CI884">
        <v>18.455300000000001</v>
      </c>
      <c r="CJ884">
        <f t="shared" si="125"/>
        <v>1434.3275526854011</v>
      </c>
      <c r="CL884" s="1">
        <v>7.7542499999999995E-6</v>
      </c>
      <c r="CM884">
        <v>3.2570000000000002E-2</v>
      </c>
      <c r="CN884">
        <f t="shared" si="126"/>
        <v>2.5313079923362674</v>
      </c>
    </row>
    <row r="885" spans="4:92" x14ac:dyDescent="0.35">
      <c r="D885" s="1">
        <v>8.4850900000000004E-6</v>
      </c>
      <c r="E885">
        <v>13.7532</v>
      </c>
      <c r="F885">
        <v>0.86341599999999996</v>
      </c>
      <c r="G885">
        <v>11.1137</v>
      </c>
      <c r="I885" s="1">
        <v>8.4850900000000004E-6</v>
      </c>
      <c r="J885">
        <f t="shared" si="122"/>
        <v>2.4409795964492421E-2</v>
      </c>
      <c r="K885">
        <v>4.5823561560582966E-3</v>
      </c>
      <c r="L885">
        <v>3.6538211273250763E-2</v>
      </c>
      <c r="N885" s="1">
        <v>8.4850900000000004E-6</v>
      </c>
      <c r="O885">
        <f t="shared" si="123"/>
        <v>4.5823561560582966E-3</v>
      </c>
      <c r="Q885" s="1">
        <v>8.4850900000000004E-6</v>
      </c>
      <c r="R885">
        <f t="shared" si="124"/>
        <v>3.6538211273250763E-2</v>
      </c>
      <c r="CH885" s="1">
        <v>7.8546700000000008E-6</v>
      </c>
      <c r="CI885">
        <v>18.3413</v>
      </c>
      <c r="CJ885">
        <f t="shared" si="125"/>
        <v>1425.4675861171991</v>
      </c>
      <c r="CL885" s="1">
        <v>7.8546700000000008E-6</v>
      </c>
      <c r="CM885">
        <v>3.9780000000000003E-2</v>
      </c>
      <c r="CN885">
        <f t="shared" si="126"/>
        <v>3.0916620182725425</v>
      </c>
    </row>
    <row r="886" spans="4:92" x14ac:dyDescent="0.35">
      <c r="D886" s="1">
        <v>8.5949699999999995E-6</v>
      </c>
      <c r="E886">
        <v>13.192399999999999</v>
      </c>
      <c r="F886">
        <v>0.81504100000000002</v>
      </c>
      <c r="G886">
        <v>11.1142</v>
      </c>
      <c r="I886" s="1">
        <v>8.5949699999999995E-6</v>
      </c>
      <c r="J886">
        <f t="shared" si="122"/>
        <v>2.3414462981849304E-2</v>
      </c>
      <c r="K886">
        <v>4.3256184084959166E-3</v>
      </c>
      <c r="L886">
        <v>3.6539855109744161E-2</v>
      </c>
      <c r="N886" s="1">
        <v>8.5949699999999995E-6</v>
      </c>
      <c r="O886">
        <f t="shared" si="123"/>
        <v>4.3256184084959166E-3</v>
      </c>
      <c r="Q886" s="1">
        <v>8.5949699999999995E-6</v>
      </c>
      <c r="R886">
        <f t="shared" si="124"/>
        <v>3.6539855109744161E-2</v>
      </c>
      <c r="CH886" s="1">
        <v>7.9563899999999999E-6</v>
      </c>
      <c r="CI886">
        <v>18.1753</v>
      </c>
      <c r="CJ886">
        <f t="shared" si="125"/>
        <v>1412.5662312898173</v>
      </c>
      <c r="CL886" s="1">
        <v>7.9563899999999999E-6</v>
      </c>
      <c r="CM886">
        <v>2.8580000000000001E-2</v>
      </c>
      <c r="CN886">
        <f t="shared" si="126"/>
        <v>2.2212091624492021</v>
      </c>
    </row>
    <row r="887" spans="4:92" x14ac:dyDescent="0.35">
      <c r="D887" s="1">
        <v>8.7062699999999996E-6</v>
      </c>
      <c r="E887">
        <v>13.4292</v>
      </c>
      <c r="F887">
        <v>0.645594</v>
      </c>
      <c r="G887">
        <v>10.8034</v>
      </c>
      <c r="I887" s="1">
        <v>8.7062699999999996E-6</v>
      </c>
      <c r="J887">
        <f t="shared" si="122"/>
        <v>2.3834746238428996E-2</v>
      </c>
      <c r="K887">
        <v>3.4263224682126573E-3</v>
      </c>
      <c r="L887">
        <v>3.5518046345450867E-2</v>
      </c>
      <c r="N887" s="1">
        <v>8.7062699999999996E-6</v>
      </c>
      <c r="O887">
        <f t="shared" si="123"/>
        <v>3.4263224682126573E-3</v>
      </c>
      <c r="Q887" s="1">
        <v>8.7062699999999996E-6</v>
      </c>
      <c r="R887">
        <f t="shared" si="124"/>
        <v>3.5518046345450867E-2</v>
      </c>
      <c r="CH887" s="1">
        <v>8.0594299999999998E-6</v>
      </c>
      <c r="CI887">
        <v>18.813600000000001</v>
      </c>
      <c r="CJ887">
        <f t="shared" si="125"/>
        <v>1462.1742721712494</v>
      </c>
      <c r="CL887" s="1">
        <v>8.0594299999999998E-6</v>
      </c>
      <c r="CM887">
        <v>3.5029999999999999E-2</v>
      </c>
      <c r="CN887">
        <f t="shared" si="126"/>
        <v>2.722496744597465</v>
      </c>
    </row>
    <row r="888" spans="4:92" x14ac:dyDescent="0.35">
      <c r="D888" s="1">
        <v>8.8190199999999995E-6</v>
      </c>
      <c r="E888">
        <v>13.887700000000001</v>
      </c>
      <c r="F888">
        <v>0.79686999999999997</v>
      </c>
      <c r="G888">
        <v>10.938000000000001</v>
      </c>
      <c r="I888" s="1">
        <v>8.8190199999999995E-6</v>
      </c>
      <c r="J888">
        <f t="shared" si="122"/>
        <v>2.4648512594602087E-2</v>
      </c>
      <c r="K888">
        <v>4.229180545737136E-3</v>
      </c>
      <c r="L888">
        <v>3.5960567129472355E-2</v>
      </c>
      <c r="N888" s="1">
        <v>8.8190199999999995E-6</v>
      </c>
      <c r="O888">
        <f t="shared" si="123"/>
        <v>4.229180545737136E-3</v>
      </c>
      <c r="Q888" s="1">
        <v>8.8190199999999995E-6</v>
      </c>
      <c r="R888">
        <f t="shared" si="124"/>
        <v>3.5960567129472355E-2</v>
      </c>
      <c r="CH888" s="1">
        <v>8.1637999999999997E-6</v>
      </c>
      <c r="CI888">
        <v>18.581800000000001</v>
      </c>
      <c r="CJ888">
        <f t="shared" si="125"/>
        <v>1444.1590068159057</v>
      </c>
      <c r="CL888" s="1">
        <v>8.1637999999999997E-6</v>
      </c>
      <c r="CM888">
        <v>3.2230000000000002E-2</v>
      </c>
      <c r="CN888">
        <f t="shared" si="126"/>
        <v>2.5048835306416302</v>
      </c>
    </row>
    <row r="889" spans="4:92" x14ac:dyDescent="0.35">
      <c r="D889" s="1">
        <v>8.9332299999999998E-6</v>
      </c>
      <c r="E889">
        <v>13.878299999999999</v>
      </c>
      <c r="F889">
        <v>1.0182199999999999</v>
      </c>
      <c r="G889">
        <v>11.097300000000001</v>
      </c>
      <c r="I889" s="1">
        <v>8.9332299999999998E-6</v>
      </c>
      <c r="J889">
        <f t="shared" si="122"/>
        <v>2.4631829053166913E-2</v>
      </c>
      <c r="K889">
        <v>5.4039381772189509E-3</v>
      </c>
      <c r="L889">
        <v>3.6484293436267468E-2</v>
      </c>
      <c r="N889" s="1">
        <v>8.9332299999999998E-6</v>
      </c>
      <c r="O889">
        <f t="shared" si="123"/>
        <v>5.4039381772189509E-3</v>
      </c>
      <c r="Q889" s="1">
        <v>8.9332299999999998E-6</v>
      </c>
      <c r="R889">
        <f t="shared" si="124"/>
        <v>3.6484293436267468E-2</v>
      </c>
      <c r="CH889" s="1">
        <v>8.2695200000000007E-6</v>
      </c>
      <c r="CI889">
        <v>18.593900000000001</v>
      </c>
      <c r="CJ889">
        <f t="shared" si="125"/>
        <v>1445.0994067762149</v>
      </c>
      <c r="CL889" s="1">
        <v>8.2695200000000007E-6</v>
      </c>
      <c r="CM889">
        <v>3.5060000000000001E-2</v>
      </c>
      <c r="CN889">
        <f t="shared" si="126"/>
        <v>2.7248283147469916</v>
      </c>
    </row>
    <row r="890" spans="4:92" x14ac:dyDescent="0.35">
      <c r="D890" s="1">
        <v>9.0489099999999997E-6</v>
      </c>
      <c r="E890">
        <v>13.5444</v>
      </c>
      <c r="F890">
        <v>1.02685</v>
      </c>
      <c r="G890">
        <v>11.254799999999999</v>
      </c>
      <c r="I890" s="1">
        <v>9.0489099999999997E-6</v>
      </c>
      <c r="J890">
        <f t="shared" si="122"/>
        <v>2.4039208363251546E-2</v>
      </c>
      <c r="K890">
        <v>5.4497396606600556E-3</v>
      </c>
      <c r="L890">
        <v>3.7002101931686363E-2</v>
      </c>
      <c r="N890" s="1">
        <v>9.0489099999999997E-6</v>
      </c>
      <c r="O890">
        <f t="shared" si="123"/>
        <v>5.4497396606600556E-3</v>
      </c>
      <c r="Q890" s="1">
        <v>9.0489099999999997E-6</v>
      </c>
      <c r="R890">
        <f t="shared" si="124"/>
        <v>3.7002101931686363E-2</v>
      </c>
      <c r="CH890" s="1">
        <v>8.3766099999999994E-6</v>
      </c>
      <c r="CI890">
        <v>18.3078</v>
      </c>
      <c r="CJ890">
        <f t="shared" si="125"/>
        <v>1422.8639994502275</v>
      </c>
      <c r="CL890" s="1">
        <v>8.3766099999999994E-6</v>
      </c>
      <c r="CM890">
        <v>3.1870000000000002E-2</v>
      </c>
      <c r="CN890">
        <f t="shared" si="126"/>
        <v>2.4769046888473083</v>
      </c>
    </row>
    <row r="891" spans="4:92" x14ac:dyDescent="0.35">
      <c r="D891" s="1">
        <v>9.1661000000000002E-6</v>
      </c>
      <c r="E891">
        <v>13.6602</v>
      </c>
      <c r="F891">
        <v>1.09457</v>
      </c>
      <c r="G891">
        <v>11.283799999999999</v>
      </c>
      <c r="I891" s="1">
        <v>9.1661000000000002E-6</v>
      </c>
      <c r="J891">
        <f t="shared" si="122"/>
        <v>2.4244735394974216E-2</v>
      </c>
      <c r="K891">
        <v>5.8091459710460898E-3</v>
      </c>
      <c r="L891">
        <v>3.7097444448303173E-2</v>
      </c>
      <c r="N891" s="1">
        <v>9.1661000000000002E-6</v>
      </c>
      <c r="O891">
        <f t="shared" si="123"/>
        <v>5.8091459710460898E-3</v>
      </c>
      <c r="Q891" s="1">
        <v>9.1661000000000002E-6</v>
      </c>
      <c r="R891">
        <f t="shared" si="124"/>
        <v>3.7097444448303173E-2</v>
      </c>
      <c r="CH891" s="1">
        <v>8.4850900000000004E-6</v>
      </c>
      <c r="CI891">
        <v>18.4299</v>
      </c>
      <c r="CJ891">
        <f t="shared" si="125"/>
        <v>1432.3534899588017</v>
      </c>
      <c r="CL891" s="1">
        <v>8.4850900000000004E-6</v>
      </c>
      <c r="CM891">
        <v>2.9139999999999999E-2</v>
      </c>
      <c r="CN891">
        <f t="shared" si="126"/>
        <v>2.2647318052403689</v>
      </c>
    </row>
    <row r="892" spans="4:92" x14ac:dyDescent="0.35">
      <c r="D892" s="1">
        <v>9.2847999999999996E-6</v>
      </c>
      <c r="E892">
        <v>13.484500000000001</v>
      </c>
      <c r="F892">
        <v>1.08277</v>
      </c>
      <c r="G892">
        <v>11.287599999999999</v>
      </c>
      <c r="I892" s="1">
        <v>9.2847999999999996E-6</v>
      </c>
      <c r="J892">
        <f t="shared" si="122"/>
        <v>2.3932895157723157E-2</v>
      </c>
      <c r="K892">
        <v>5.7465205359817769E-3</v>
      </c>
      <c r="L892">
        <v>3.7109937605652961E-2</v>
      </c>
      <c r="N892" s="1">
        <v>9.2847999999999996E-6</v>
      </c>
      <c r="O892">
        <f t="shared" si="123"/>
        <v>5.7465205359817769E-3</v>
      </c>
      <c r="Q892" s="1">
        <v>9.2847999999999996E-6</v>
      </c>
      <c r="R892">
        <f t="shared" si="124"/>
        <v>3.7109937605652961E-2</v>
      </c>
      <c r="CH892" s="1">
        <v>8.5949699999999995E-6</v>
      </c>
      <c r="CI892">
        <v>17.936499999999999</v>
      </c>
      <c r="CJ892">
        <f t="shared" si="125"/>
        <v>1394.0069328995839</v>
      </c>
      <c r="CL892" s="1">
        <v>8.5949699999999995E-6</v>
      </c>
      <c r="CM892">
        <v>3.0779999999999998E-2</v>
      </c>
      <c r="CN892">
        <f t="shared" si="126"/>
        <v>2.3921909734145008</v>
      </c>
    </row>
    <row r="893" spans="4:92" x14ac:dyDescent="0.35">
      <c r="D893" s="1">
        <v>9.40504E-6</v>
      </c>
      <c r="E893">
        <v>13.5428</v>
      </c>
      <c r="F893">
        <v>1.1814100000000001</v>
      </c>
      <c r="G893">
        <v>11.343500000000001</v>
      </c>
      <c r="I893" s="1">
        <v>9.40504E-6</v>
      </c>
      <c r="J893">
        <f t="shared" si="122"/>
        <v>2.4036368611517898E-2</v>
      </c>
      <c r="K893">
        <v>6.2700267151973473E-3</v>
      </c>
      <c r="L893">
        <v>3.729371852561434E-2</v>
      </c>
      <c r="N893" s="1">
        <v>9.40504E-6</v>
      </c>
      <c r="O893">
        <f t="shared" si="123"/>
        <v>6.2700267151973473E-3</v>
      </c>
      <c r="Q893" s="1">
        <v>9.40504E-6</v>
      </c>
      <c r="R893">
        <f t="shared" si="124"/>
        <v>3.729371852561434E-2</v>
      </c>
      <c r="CH893" s="1">
        <v>8.7062699999999996E-6</v>
      </c>
      <c r="CI893">
        <v>16.919899999999998</v>
      </c>
      <c r="CJ893">
        <f t="shared" si="125"/>
        <v>1314.997792432619</v>
      </c>
      <c r="CL893" s="1">
        <v>8.7062699999999996E-6</v>
      </c>
      <c r="CM893">
        <v>4.0759999999999998E-2</v>
      </c>
      <c r="CN893">
        <f t="shared" si="126"/>
        <v>3.1678266431570843</v>
      </c>
    </row>
    <row r="894" spans="4:92" x14ac:dyDescent="0.35">
      <c r="D894" s="1">
        <v>9.5268399999999994E-6</v>
      </c>
      <c r="E894">
        <v>13.9039</v>
      </c>
      <c r="F894">
        <v>1.10867</v>
      </c>
      <c r="G894">
        <v>11.230499999999999</v>
      </c>
      <c r="I894" s="1">
        <v>9.5268399999999994E-6</v>
      </c>
      <c r="J894">
        <f t="shared" si="122"/>
        <v>2.4677265080905262E-2</v>
      </c>
      <c r="K894">
        <v>5.8839780587076817E-3</v>
      </c>
      <c r="L894">
        <v>3.6922211478107446E-2</v>
      </c>
      <c r="N894" s="1">
        <v>9.5268399999999994E-6</v>
      </c>
      <c r="O894">
        <f t="shared" si="123"/>
        <v>5.8839780587076817E-3</v>
      </c>
      <c r="Q894" s="1">
        <v>9.5268399999999994E-6</v>
      </c>
      <c r="R894">
        <f t="shared" si="124"/>
        <v>3.6922211478107446E-2</v>
      </c>
      <c r="CH894" s="1">
        <v>8.8190199999999995E-6</v>
      </c>
      <c r="CI894">
        <v>17.375</v>
      </c>
      <c r="CJ894">
        <f t="shared" si="125"/>
        <v>1350.3677116009408</v>
      </c>
      <c r="CL894" s="1">
        <v>8.8190199999999995E-6</v>
      </c>
      <c r="CM894">
        <v>2.843E-2</v>
      </c>
      <c r="CN894">
        <f t="shared" si="126"/>
        <v>2.2095513117015679</v>
      </c>
    </row>
    <row r="895" spans="4:92" x14ac:dyDescent="0.35">
      <c r="D895" s="1">
        <v>9.6502100000000002E-6</v>
      </c>
      <c r="E895">
        <v>13.4847</v>
      </c>
      <c r="F895">
        <v>1.1442699999999999</v>
      </c>
      <c r="G895">
        <v>11.608700000000001</v>
      </c>
      <c r="I895" s="1">
        <v>9.6502100000000002E-6</v>
      </c>
      <c r="J895">
        <f t="shared" si="122"/>
        <v>2.393325012668986E-2</v>
      </c>
      <c r="K895">
        <v>6.0729158119525546E-3</v>
      </c>
      <c r="L895">
        <v>3.8165609401710154E-2</v>
      </c>
      <c r="N895" s="1">
        <v>9.6502100000000002E-6</v>
      </c>
      <c r="O895">
        <f t="shared" si="123"/>
        <v>6.0729158119525546E-3</v>
      </c>
      <c r="Q895" s="1">
        <v>9.6502100000000002E-6</v>
      </c>
      <c r="R895">
        <f t="shared" si="124"/>
        <v>3.8165609401710154E-2</v>
      </c>
      <c r="CH895" s="1">
        <v>8.9332299999999998E-6</v>
      </c>
      <c r="CI895">
        <v>18.022200000000002</v>
      </c>
      <c r="CJ895">
        <f t="shared" si="125"/>
        <v>1400.6674516267324</v>
      </c>
      <c r="CL895" s="1">
        <v>8.9332299999999998E-6</v>
      </c>
      <c r="CM895">
        <v>2.7709999999999999E-2</v>
      </c>
      <c r="CN895">
        <f t="shared" si="126"/>
        <v>2.1535936281129247</v>
      </c>
    </row>
    <row r="896" spans="4:92" x14ac:dyDescent="0.35">
      <c r="D896" s="1">
        <v>9.7751799999999995E-6</v>
      </c>
      <c r="E896">
        <v>13.4687</v>
      </c>
      <c r="F896">
        <v>1.1794500000000001</v>
      </c>
      <c r="G896">
        <v>11.4451</v>
      </c>
      <c r="I896" s="1">
        <v>9.7751799999999995E-6</v>
      </c>
      <c r="J896">
        <f t="shared" si="122"/>
        <v>2.3904852609353395E-2</v>
      </c>
      <c r="K896">
        <v>6.2596245242883602E-3</v>
      </c>
      <c r="L896">
        <v>3.7627746101071863E-2</v>
      </c>
      <c r="N896" s="1">
        <v>9.7751799999999995E-6</v>
      </c>
      <c r="O896">
        <f t="shared" si="123"/>
        <v>6.2596245242883602E-3</v>
      </c>
      <c r="Q896" s="1">
        <v>9.7751799999999995E-6</v>
      </c>
      <c r="R896">
        <f t="shared" si="124"/>
        <v>3.7627746101071863E-2</v>
      </c>
      <c r="CH896" s="1">
        <v>9.0489099999999997E-6</v>
      </c>
      <c r="CI896">
        <v>17.906600000000001</v>
      </c>
      <c r="CJ896">
        <f t="shared" si="125"/>
        <v>1391.6831346505558</v>
      </c>
      <c r="CL896" s="1">
        <v>9.0489099999999997E-6</v>
      </c>
      <c r="CM896">
        <v>3.1189999999999999E-2</v>
      </c>
      <c r="CN896">
        <f t="shared" si="126"/>
        <v>2.4240557654580339</v>
      </c>
    </row>
    <row r="897" spans="4:92" x14ac:dyDescent="0.35">
      <c r="D897" s="1">
        <v>9.9017700000000002E-6</v>
      </c>
      <c r="E897">
        <v>13.7605</v>
      </c>
      <c r="F897">
        <v>1.0686599999999999</v>
      </c>
      <c r="G897">
        <v>11.366099999999999</v>
      </c>
      <c r="I897" s="1">
        <v>9.9017700000000002E-6</v>
      </c>
      <c r="J897">
        <f t="shared" si="122"/>
        <v>2.4422752331777188E-2</v>
      </c>
      <c r="K897">
        <v>5.6716353759175874E-3</v>
      </c>
      <c r="L897">
        <v>3.7368019935115709E-2</v>
      </c>
      <c r="N897" s="1">
        <v>9.9017700000000002E-6</v>
      </c>
      <c r="O897">
        <f t="shared" si="123"/>
        <v>5.6716353759175874E-3</v>
      </c>
      <c r="Q897" s="1">
        <v>9.9017700000000002E-6</v>
      </c>
      <c r="R897">
        <f t="shared" si="124"/>
        <v>3.7368019935115709E-2</v>
      </c>
      <c r="CH897" s="1">
        <v>9.1661000000000002E-6</v>
      </c>
      <c r="CI897">
        <v>18.819500000000001</v>
      </c>
      <c r="CJ897">
        <f t="shared" si="125"/>
        <v>1462.6328143006565</v>
      </c>
      <c r="CL897" s="1">
        <v>9.1661000000000002E-6</v>
      </c>
      <c r="CM897">
        <v>2.8479999999999998E-2</v>
      </c>
      <c r="CN897">
        <f t="shared" si="126"/>
        <v>2.2134372619507792</v>
      </c>
    </row>
    <row r="898" spans="4:92" x14ac:dyDescent="0.35">
      <c r="D898" s="1">
        <v>1.0030000000000001E-5</v>
      </c>
      <c r="E898">
        <v>13.382199999999999</v>
      </c>
      <c r="F898">
        <v>1.18174</v>
      </c>
      <c r="G898">
        <v>11.1959</v>
      </c>
      <c r="I898" s="1">
        <v>1.0030000000000001E-5</v>
      </c>
      <c r="J898">
        <f t="shared" si="122"/>
        <v>2.3751328531253123E-2</v>
      </c>
      <c r="K898">
        <v>6.2717781044830433E-3</v>
      </c>
      <c r="L898">
        <v>3.680845799276463E-2</v>
      </c>
      <c r="N898" s="1">
        <v>1.0030000000000001E-5</v>
      </c>
      <c r="O898">
        <f t="shared" si="123"/>
        <v>6.2717781044830433E-3</v>
      </c>
      <c r="Q898" s="1">
        <v>1.0030000000000001E-5</v>
      </c>
      <c r="R898">
        <f t="shared" si="124"/>
        <v>3.680845799276463E-2</v>
      </c>
      <c r="CH898" s="1">
        <v>9.2847999999999996E-6</v>
      </c>
      <c r="CI898">
        <v>19.950199999999999</v>
      </c>
      <c r="CJ898">
        <f t="shared" si="125"/>
        <v>1550.5096932363215</v>
      </c>
      <c r="CL898" s="1">
        <v>9.2847999999999996E-6</v>
      </c>
      <c r="CM898">
        <v>3.0040000000000001E-2</v>
      </c>
      <c r="CN898">
        <f t="shared" si="126"/>
        <v>2.3346789097261733</v>
      </c>
    </row>
    <row r="899" spans="4:92" x14ac:dyDescent="0.35">
      <c r="D899" s="1">
        <v>1.0159900000000001E-5</v>
      </c>
      <c r="E899">
        <v>13.681699999999999</v>
      </c>
      <c r="F899">
        <v>1.2155499999999999</v>
      </c>
      <c r="G899">
        <v>11.271800000000001</v>
      </c>
      <c r="I899" s="1">
        <v>1.0159900000000001E-5</v>
      </c>
      <c r="J899">
        <f t="shared" si="122"/>
        <v>2.4282894558895093E-2</v>
      </c>
      <c r="K899">
        <v>6.4512158976630755E-3</v>
      </c>
      <c r="L899">
        <v>3.705799237246174E-2</v>
      </c>
      <c r="N899" s="1">
        <v>1.0159900000000001E-5</v>
      </c>
      <c r="O899">
        <f t="shared" si="123"/>
        <v>6.4512158976630755E-3</v>
      </c>
      <c r="Q899" s="1">
        <v>1.0159900000000001E-5</v>
      </c>
      <c r="R899">
        <f t="shared" si="124"/>
        <v>3.705799237246174E-2</v>
      </c>
      <c r="CH899" s="1">
        <v>9.40504E-6</v>
      </c>
      <c r="CI899">
        <v>19.214700000000001</v>
      </c>
      <c r="CJ899">
        <f t="shared" si="125"/>
        <v>1493.3473650704227</v>
      </c>
      <c r="CL899" s="1">
        <v>9.40504E-6</v>
      </c>
      <c r="CM899">
        <v>2.8910000000000002E-2</v>
      </c>
      <c r="CN899">
        <f t="shared" si="126"/>
        <v>2.2468564340939969</v>
      </c>
    </row>
    <row r="900" spans="4:92" x14ac:dyDescent="0.35">
      <c r="D900" s="1">
        <v>1.02915E-5</v>
      </c>
      <c r="E900">
        <v>13.6282</v>
      </c>
      <c r="F900">
        <v>1.0673900000000001</v>
      </c>
      <c r="G900">
        <v>11.0839</v>
      </c>
      <c r="I900" s="1">
        <v>1.02915E-5</v>
      </c>
      <c r="J900">
        <f t="shared" ref="J900:J963" si="127">E900/SUM($E$3:$E$2002)/$C$3</f>
        <v>2.4187940360301287E-2</v>
      </c>
      <c r="K900">
        <v>5.6648951807877846E-3</v>
      </c>
      <c r="L900">
        <v>3.6440238618244525E-2</v>
      </c>
      <c r="N900" s="1">
        <v>1.02915E-5</v>
      </c>
      <c r="O900">
        <f t="shared" ref="O900:O963" si="128">F900/SUM($F$3:$F$2002)/$C$3</f>
        <v>5.6648951807877846E-3</v>
      </c>
      <c r="Q900" s="1">
        <v>1.02915E-5</v>
      </c>
      <c r="R900">
        <f t="shared" ref="R900:R963" si="129">G900/SUM($G$3:$G$2002)/$C$3</f>
        <v>3.6440238618244525E-2</v>
      </c>
      <c r="CH900" s="1">
        <v>9.5268399999999994E-6</v>
      </c>
      <c r="CI900">
        <v>19.1873</v>
      </c>
      <c r="CJ900">
        <f t="shared" si="125"/>
        <v>1491.217864333855</v>
      </c>
      <c r="CL900" s="1">
        <v>9.5268399999999994E-6</v>
      </c>
      <c r="CM900">
        <v>3.0099999999999998E-2</v>
      </c>
      <c r="CN900">
        <f t="shared" si="126"/>
        <v>2.3393420500252264</v>
      </c>
    </row>
    <row r="901" spans="4:92" x14ac:dyDescent="0.35">
      <c r="D901" s="1">
        <v>1.04247E-5</v>
      </c>
      <c r="E901">
        <v>13.813800000000001</v>
      </c>
      <c r="F901">
        <v>1.3452</v>
      </c>
      <c r="G901">
        <v>11.172000000000001</v>
      </c>
      <c r="I901" s="1">
        <v>1.04247E-5</v>
      </c>
      <c r="J901">
        <f t="shared" si="127"/>
        <v>2.4517351561404291E-2</v>
      </c>
      <c r="K901">
        <v>7.139299597331554E-3</v>
      </c>
      <c r="L901">
        <v>3.6729882608380428E-2</v>
      </c>
      <c r="N901" s="1">
        <v>1.04247E-5</v>
      </c>
      <c r="O901">
        <f t="shared" si="128"/>
        <v>7.139299597331554E-3</v>
      </c>
      <c r="Q901" s="1">
        <v>1.04247E-5</v>
      </c>
      <c r="R901">
        <f t="shared" si="129"/>
        <v>3.6729882608380428E-2</v>
      </c>
      <c r="CH901" s="1">
        <v>9.6502100000000002E-6</v>
      </c>
      <c r="CI901">
        <v>19.734500000000001</v>
      </c>
      <c r="CJ901">
        <f t="shared" si="125"/>
        <v>1533.745703861224</v>
      </c>
      <c r="CL901" s="1">
        <v>9.6502100000000002E-6</v>
      </c>
      <c r="CM901">
        <v>2.8500000000000001E-2</v>
      </c>
      <c r="CN901">
        <f t="shared" si="126"/>
        <v>2.2149916420504638</v>
      </c>
    </row>
    <row r="902" spans="4:92" x14ac:dyDescent="0.35">
      <c r="D902" s="1">
        <v>1.05597E-5</v>
      </c>
      <c r="E902">
        <v>13.513199999999999</v>
      </c>
      <c r="F902">
        <v>1.16103</v>
      </c>
      <c r="G902">
        <v>11.474600000000001</v>
      </c>
      <c r="I902" s="1">
        <v>1.05597E-5</v>
      </c>
      <c r="J902">
        <f t="shared" si="127"/>
        <v>2.3983833204445436E-2</v>
      </c>
      <c r="K902">
        <v>6.1618651587049171E-3</v>
      </c>
      <c r="L902">
        <v>3.7724732454182071E-2</v>
      </c>
      <c r="N902" s="1">
        <v>1.05597E-5</v>
      </c>
      <c r="O902">
        <f t="shared" si="128"/>
        <v>6.1618651587049171E-3</v>
      </c>
      <c r="Q902" s="1">
        <v>1.05597E-5</v>
      </c>
      <c r="R902">
        <f t="shared" si="129"/>
        <v>3.7724732454182071E-2</v>
      </c>
      <c r="CH902" s="1">
        <v>9.7751799999999995E-6</v>
      </c>
      <c r="CI902">
        <v>19.275500000000001</v>
      </c>
      <c r="CJ902">
        <f t="shared" si="125"/>
        <v>1498.0726805734639</v>
      </c>
      <c r="CL902" s="1">
        <v>9.7751799999999995E-6</v>
      </c>
      <c r="CM902">
        <v>3.1370000000000002E-2</v>
      </c>
      <c r="CN902">
        <f t="shared" si="126"/>
        <v>2.4380451863551951</v>
      </c>
    </row>
    <row r="903" spans="4:92" x14ac:dyDescent="0.35">
      <c r="D903" s="1">
        <v>1.06965E-5</v>
      </c>
      <c r="E903">
        <v>13.4032</v>
      </c>
      <c r="F903">
        <v>1.1744300000000001</v>
      </c>
      <c r="G903">
        <v>11.565099999999999</v>
      </c>
      <c r="I903" s="1">
        <v>1.06965E-5</v>
      </c>
      <c r="J903">
        <f t="shared" si="127"/>
        <v>2.378860027275724E-2</v>
      </c>
      <c r="K903">
        <v>6.2329821781847289E-3</v>
      </c>
      <c r="L903">
        <v>3.8022266859486252E-2</v>
      </c>
      <c r="N903" s="1">
        <v>1.06965E-5</v>
      </c>
      <c r="O903">
        <f t="shared" si="128"/>
        <v>6.2329821781847289E-3</v>
      </c>
      <c r="Q903" s="1">
        <v>1.06965E-5</v>
      </c>
      <c r="R903">
        <f t="shared" si="129"/>
        <v>3.8022266859486252E-2</v>
      </c>
      <c r="CH903" s="1">
        <v>9.9017700000000002E-6</v>
      </c>
      <c r="CI903">
        <v>19.1448</v>
      </c>
      <c r="CJ903">
        <f t="shared" si="125"/>
        <v>1487.9148066220253</v>
      </c>
      <c r="CL903" s="1">
        <v>9.9017700000000002E-6</v>
      </c>
      <c r="CM903">
        <v>3.0689999999999999E-2</v>
      </c>
      <c r="CN903">
        <f t="shared" si="126"/>
        <v>2.3851962629659207</v>
      </c>
    </row>
    <row r="904" spans="4:92" x14ac:dyDescent="0.35">
      <c r="D904" s="1">
        <v>1.0835E-5</v>
      </c>
      <c r="E904">
        <v>13.6134</v>
      </c>
      <c r="F904">
        <v>1.19635</v>
      </c>
      <c r="G904">
        <v>11.295999999999999</v>
      </c>
      <c r="I904" s="1">
        <v>1.0835E-5</v>
      </c>
      <c r="J904">
        <f t="shared" si="127"/>
        <v>2.4161672656765054E-2</v>
      </c>
      <c r="K904">
        <v>6.3493168846770771E-3</v>
      </c>
      <c r="L904">
        <v>3.7137554058741973E-2</v>
      </c>
      <c r="N904" s="1">
        <v>1.0835E-5</v>
      </c>
      <c r="O904">
        <f t="shared" si="128"/>
        <v>6.3493168846770771E-3</v>
      </c>
      <c r="Q904" s="1">
        <v>1.0835E-5</v>
      </c>
      <c r="R904">
        <f t="shared" si="129"/>
        <v>3.7137554058741973E-2</v>
      </c>
      <c r="CH904" s="1">
        <v>1.0030000000000001E-5</v>
      </c>
      <c r="CI904">
        <v>19.534800000000001</v>
      </c>
      <c r="CJ904">
        <f t="shared" si="125"/>
        <v>1518.2252185658738</v>
      </c>
      <c r="CL904" s="1">
        <v>1.0030000000000001E-5</v>
      </c>
      <c r="CM904">
        <v>3.3399999999999999E-2</v>
      </c>
      <c r="CN904">
        <f t="shared" si="126"/>
        <v>2.595814766473175</v>
      </c>
    </row>
    <row r="905" spans="4:92" x14ac:dyDescent="0.35">
      <c r="D905" s="1">
        <v>1.09753E-5</v>
      </c>
      <c r="E905">
        <v>13.613799999999999</v>
      </c>
      <c r="F905">
        <v>1.1186400000000001</v>
      </c>
      <c r="G905">
        <v>11.489800000000001</v>
      </c>
      <c r="I905" s="1">
        <v>1.09753E-5</v>
      </c>
      <c r="J905">
        <f t="shared" si="127"/>
        <v>2.4162382594698467E-2</v>
      </c>
      <c r="K905">
        <v>5.9368912440967659E-3</v>
      </c>
      <c r="L905">
        <v>3.7774705083581231E-2</v>
      </c>
      <c r="N905" s="1">
        <v>1.09753E-5</v>
      </c>
      <c r="O905">
        <f t="shared" si="128"/>
        <v>5.9368912440967659E-3</v>
      </c>
      <c r="Q905" s="1">
        <v>1.09753E-5</v>
      </c>
      <c r="R905">
        <f t="shared" si="129"/>
        <v>3.7774705083581231E-2</v>
      </c>
      <c r="CH905" s="1">
        <v>1.0159900000000001E-5</v>
      </c>
      <c r="CI905">
        <v>19.639299999999999</v>
      </c>
      <c r="CJ905">
        <f t="shared" si="125"/>
        <v>1526.3468545867254</v>
      </c>
      <c r="CL905" s="1">
        <v>1.0159900000000001E-5</v>
      </c>
      <c r="CM905">
        <v>2.8049999999999999E-2</v>
      </c>
      <c r="CN905">
        <f t="shared" si="126"/>
        <v>2.1800180898075618</v>
      </c>
    </row>
    <row r="906" spans="4:92" x14ac:dyDescent="0.35">
      <c r="D906" s="1">
        <v>1.11175E-5</v>
      </c>
      <c r="E906">
        <v>13.617100000000001</v>
      </c>
      <c r="F906">
        <v>1.0929599999999999</v>
      </c>
      <c r="G906">
        <v>11.487</v>
      </c>
      <c r="I906" s="1">
        <v>1.11175E-5</v>
      </c>
      <c r="J906">
        <f t="shared" si="127"/>
        <v>2.4168239582649114E-2</v>
      </c>
      <c r="K906">
        <v>5.8006013142279916E-3</v>
      </c>
      <c r="L906">
        <v>3.7765499599218218E-2</v>
      </c>
      <c r="N906" s="1">
        <v>1.11175E-5</v>
      </c>
      <c r="O906">
        <f t="shared" si="128"/>
        <v>5.8006013142279916E-3</v>
      </c>
      <c r="Q906" s="1">
        <v>1.11175E-5</v>
      </c>
      <c r="R906">
        <f t="shared" si="129"/>
        <v>3.7765499599218218E-2</v>
      </c>
      <c r="CH906" s="1">
        <v>1.02915E-5</v>
      </c>
      <c r="CI906">
        <v>19.545999999999999</v>
      </c>
      <c r="CJ906">
        <f t="shared" ref="CJ906:CJ969" si="130">CI906/$CG$9</f>
        <v>1519.095671421697</v>
      </c>
      <c r="CL906" s="1">
        <v>1.02915E-5</v>
      </c>
      <c r="CM906">
        <v>3.7039999999999997E-2</v>
      </c>
      <c r="CN906">
        <f t="shared" ref="CN906:CN969" si="131">CM906/$CG$9</f>
        <v>2.8787119446157607</v>
      </c>
    </row>
    <row r="907" spans="4:92" x14ac:dyDescent="0.35">
      <c r="D907" s="1">
        <v>1.12614E-5</v>
      </c>
      <c r="E907">
        <v>13.372</v>
      </c>
      <c r="F907">
        <v>1.17839</v>
      </c>
      <c r="G907">
        <v>11.176500000000001</v>
      </c>
      <c r="I907" s="1">
        <v>1.12614E-5</v>
      </c>
      <c r="J907">
        <f t="shared" si="127"/>
        <v>2.3733225113951133E-2</v>
      </c>
      <c r="K907">
        <v>6.2539988496130919E-3</v>
      </c>
      <c r="L907">
        <v>3.6744677136820968E-2</v>
      </c>
      <c r="N907" s="1">
        <v>1.12614E-5</v>
      </c>
      <c r="O907">
        <f t="shared" si="128"/>
        <v>6.2539988496130919E-3</v>
      </c>
      <c r="Q907" s="1">
        <v>1.12614E-5</v>
      </c>
      <c r="R907">
        <f t="shared" si="129"/>
        <v>3.6744677136820968E-2</v>
      </c>
      <c r="CH907" s="1">
        <v>1.04247E-5</v>
      </c>
      <c r="CI907">
        <v>18.9237</v>
      </c>
      <c r="CJ907">
        <f t="shared" si="130"/>
        <v>1470.7311346200129</v>
      </c>
      <c r="CL907" s="1">
        <v>1.04247E-5</v>
      </c>
      <c r="CM907">
        <v>3.0339999999999999E-2</v>
      </c>
      <c r="CN907">
        <f t="shared" si="131"/>
        <v>2.3579946112214412</v>
      </c>
    </row>
    <row r="908" spans="4:92" x14ac:dyDescent="0.35">
      <c r="D908" s="1">
        <v>1.14073E-5</v>
      </c>
      <c r="E908">
        <v>13.7683</v>
      </c>
      <c r="F908">
        <v>1.18611</v>
      </c>
      <c r="G908">
        <v>11.501799999999999</v>
      </c>
      <c r="I908" s="1">
        <v>1.14073E-5</v>
      </c>
      <c r="J908">
        <f t="shared" si="127"/>
        <v>2.4436596121478714E-2</v>
      </c>
      <c r="K908">
        <v>6.2949707444178776E-3</v>
      </c>
      <c r="L908">
        <v>3.7814157159422664E-2</v>
      </c>
      <c r="N908" s="1">
        <v>1.14073E-5</v>
      </c>
      <c r="O908">
        <f t="shared" si="128"/>
        <v>6.2949707444178776E-3</v>
      </c>
      <c r="Q908" s="1">
        <v>1.14073E-5</v>
      </c>
      <c r="R908">
        <f t="shared" si="129"/>
        <v>3.7814157159422664E-2</v>
      </c>
      <c r="CH908" s="1">
        <v>1.05597E-5</v>
      </c>
      <c r="CI908">
        <v>18.437799999999999</v>
      </c>
      <c r="CJ908">
        <f t="shared" si="130"/>
        <v>1432.9674700981768</v>
      </c>
      <c r="CL908" s="1">
        <v>1.05597E-5</v>
      </c>
      <c r="CM908">
        <v>2.8150000000000001E-2</v>
      </c>
      <c r="CN908">
        <f t="shared" si="131"/>
        <v>2.1877899903059848</v>
      </c>
    </row>
    <row r="909" spans="4:92" x14ac:dyDescent="0.35">
      <c r="D909" s="1">
        <v>1.1555E-5</v>
      </c>
      <c r="E909">
        <v>13.6031</v>
      </c>
      <c r="F909">
        <v>1.00997</v>
      </c>
      <c r="G909">
        <v>11.346399999999999</v>
      </c>
      <c r="I909" s="1">
        <v>1.1555E-5</v>
      </c>
      <c r="J909">
        <f t="shared" si="127"/>
        <v>2.4143391754979704E-2</v>
      </c>
      <c r="K909">
        <v>5.3601534450765315E-3</v>
      </c>
      <c r="L909">
        <v>3.7303252777276016E-2</v>
      </c>
      <c r="N909" s="1">
        <v>1.1555E-5</v>
      </c>
      <c r="O909">
        <f t="shared" si="128"/>
        <v>5.3601534450765315E-3</v>
      </c>
      <c r="Q909" s="1">
        <v>1.1555E-5</v>
      </c>
      <c r="R909">
        <f t="shared" si="129"/>
        <v>3.7303252777276016E-2</v>
      </c>
      <c r="CH909" s="1">
        <v>1.06965E-5</v>
      </c>
      <c r="CI909">
        <v>18.907399999999999</v>
      </c>
      <c r="CJ909">
        <f t="shared" si="130"/>
        <v>1469.4643148387697</v>
      </c>
      <c r="CL909" s="1">
        <v>1.06965E-5</v>
      </c>
      <c r="CM909">
        <v>3.1050000000000001E-2</v>
      </c>
      <c r="CN909">
        <f t="shared" si="131"/>
        <v>2.4131751047602426</v>
      </c>
    </row>
    <row r="910" spans="4:92" x14ac:dyDescent="0.35">
      <c r="D910" s="1">
        <v>1.17046E-5</v>
      </c>
      <c r="E910">
        <v>13.23</v>
      </c>
      <c r="F910">
        <v>1.15415</v>
      </c>
      <c r="G910">
        <v>11.2538</v>
      </c>
      <c r="I910" s="1">
        <v>1.17046E-5</v>
      </c>
      <c r="J910">
        <f t="shared" si="127"/>
        <v>2.3481197147589998E-2</v>
      </c>
      <c r="K910">
        <v>6.1253513457182667E-3</v>
      </c>
      <c r="L910">
        <v>3.6998814258699574E-2</v>
      </c>
      <c r="N910" s="1">
        <v>1.17046E-5</v>
      </c>
      <c r="O910">
        <f t="shared" si="128"/>
        <v>6.1253513457182667E-3</v>
      </c>
      <c r="Q910" s="1">
        <v>1.17046E-5</v>
      </c>
      <c r="R910">
        <f t="shared" si="129"/>
        <v>3.6998814258699574E-2</v>
      </c>
      <c r="CH910" s="1">
        <v>1.0835E-5</v>
      </c>
      <c r="CI910">
        <v>19.499300000000002</v>
      </c>
      <c r="CJ910">
        <f t="shared" si="130"/>
        <v>1515.4661938889337</v>
      </c>
      <c r="CL910" s="1">
        <v>1.0835E-5</v>
      </c>
      <c r="CM910">
        <v>2.8369999999999999E-2</v>
      </c>
      <c r="CN910">
        <f t="shared" si="131"/>
        <v>2.2048881714025144</v>
      </c>
    </row>
    <row r="911" spans="4:92" x14ac:dyDescent="0.35">
      <c r="D911" s="1">
        <v>1.18562E-5</v>
      </c>
      <c r="E911">
        <v>13.801</v>
      </c>
      <c r="F911">
        <v>1.1813400000000001</v>
      </c>
      <c r="G911">
        <v>11.250999999999999</v>
      </c>
      <c r="I911" s="1">
        <v>1.18562E-5</v>
      </c>
      <c r="J911">
        <f t="shared" si="127"/>
        <v>2.4494633547535116E-2</v>
      </c>
      <c r="K911">
        <v>6.2696552083791697E-3</v>
      </c>
      <c r="L911">
        <v>3.6989608774336574E-2</v>
      </c>
      <c r="N911" s="1">
        <v>1.18562E-5</v>
      </c>
      <c r="O911">
        <f t="shared" si="128"/>
        <v>6.2696552083791697E-3</v>
      </c>
      <c r="Q911" s="1">
        <v>1.18562E-5</v>
      </c>
      <c r="R911">
        <f t="shared" si="129"/>
        <v>3.6989608774336574E-2</v>
      </c>
      <c r="CH911" s="1">
        <v>1.09753E-5</v>
      </c>
      <c r="CI911">
        <v>18.832699999999999</v>
      </c>
      <c r="CJ911">
        <f t="shared" si="130"/>
        <v>1463.658705166448</v>
      </c>
      <c r="CL911" s="1">
        <v>1.09753E-5</v>
      </c>
      <c r="CM911">
        <v>3.0020000000000002E-2</v>
      </c>
      <c r="CN911">
        <f t="shared" si="131"/>
        <v>2.3331245296264886</v>
      </c>
    </row>
    <row r="912" spans="4:92" x14ac:dyDescent="0.35">
      <c r="D912" s="1">
        <v>1.20097E-5</v>
      </c>
      <c r="E912">
        <v>13.5519</v>
      </c>
      <c r="F912">
        <v>1.27359</v>
      </c>
      <c r="G912">
        <v>11.3705</v>
      </c>
      <c r="I912" s="1">
        <v>1.20097E-5</v>
      </c>
      <c r="J912">
        <f t="shared" si="127"/>
        <v>2.4052519699503012E-2</v>
      </c>
      <c r="K912">
        <v>6.7592481223353361E-3</v>
      </c>
      <c r="L912">
        <v>3.7382485696257572E-2</v>
      </c>
      <c r="N912" s="1">
        <v>1.20097E-5</v>
      </c>
      <c r="O912">
        <f t="shared" si="128"/>
        <v>6.7592481223353361E-3</v>
      </c>
      <c r="Q912" s="1">
        <v>1.20097E-5</v>
      </c>
      <c r="R912">
        <f t="shared" si="129"/>
        <v>3.7382485696257572E-2</v>
      </c>
      <c r="CH912" s="1">
        <v>1.11175E-5</v>
      </c>
      <c r="CI912">
        <v>19.2197</v>
      </c>
      <c r="CJ912">
        <f t="shared" si="130"/>
        <v>1493.7359600953439</v>
      </c>
      <c r="CL912" s="1">
        <v>1.11175E-5</v>
      </c>
      <c r="CM912">
        <v>3.2320000000000002E-2</v>
      </c>
      <c r="CN912">
        <f t="shared" si="131"/>
        <v>2.5118782410902103</v>
      </c>
    </row>
    <row r="913" spans="4:92" x14ac:dyDescent="0.35">
      <c r="D913" s="1">
        <v>1.21653E-5</v>
      </c>
      <c r="E913">
        <v>13.7364</v>
      </c>
      <c r="F913">
        <v>1.0526</v>
      </c>
      <c r="G913">
        <v>11.3096</v>
      </c>
      <c r="I913" s="1">
        <v>1.21653E-5</v>
      </c>
      <c r="J913">
        <f t="shared" si="127"/>
        <v>2.4379978571289134E-2</v>
      </c>
      <c r="K913">
        <v>5.5864010973470067E-3</v>
      </c>
      <c r="L913">
        <v>3.7182266411362269E-2</v>
      </c>
      <c r="N913" s="1">
        <v>1.21653E-5</v>
      </c>
      <c r="O913">
        <f t="shared" si="128"/>
        <v>5.5864010973470067E-3</v>
      </c>
      <c r="Q913" s="1">
        <v>1.21653E-5</v>
      </c>
      <c r="R913">
        <f t="shared" si="129"/>
        <v>3.7182266411362269E-2</v>
      </c>
      <c r="CH913" s="1">
        <v>1.12614E-5</v>
      </c>
      <c r="CI913">
        <v>20.0456</v>
      </c>
      <c r="CJ913">
        <f t="shared" si="130"/>
        <v>1557.9240863118168</v>
      </c>
      <c r="CL913" s="1">
        <v>1.12614E-5</v>
      </c>
      <c r="CM913">
        <v>2.954E-2</v>
      </c>
      <c r="CN913">
        <f t="shared" si="131"/>
        <v>2.2958194072340596</v>
      </c>
    </row>
    <row r="914" spans="4:92" x14ac:dyDescent="0.35">
      <c r="D914" s="1">
        <v>1.23228E-5</v>
      </c>
      <c r="E914">
        <v>13.449</v>
      </c>
      <c r="F914">
        <v>0.97632300000000005</v>
      </c>
      <c r="G914">
        <v>11.1342</v>
      </c>
      <c r="I914" s="1">
        <v>1.23228E-5</v>
      </c>
      <c r="J914">
        <f t="shared" si="127"/>
        <v>2.386988816613287E-2</v>
      </c>
      <c r="K914">
        <v>5.1815807320588275E-3</v>
      </c>
      <c r="L914">
        <v>3.6605608569479892E-2</v>
      </c>
      <c r="N914" s="1">
        <v>1.23228E-5</v>
      </c>
      <c r="O914">
        <f t="shared" si="128"/>
        <v>5.1815807320588275E-3</v>
      </c>
      <c r="Q914" s="1">
        <v>1.23228E-5</v>
      </c>
      <c r="R914">
        <f t="shared" si="129"/>
        <v>3.6605608569479892E-2</v>
      </c>
      <c r="CH914" s="1">
        <v>1.14073E-5</v>
      </c>
      <c r="CI914">
        <v>19.182099999999998</v>
      </c>
      <c r="CJ914">
        <f t="shared" si="130"/>
        <v>1490.8137255079369</v>
      </c>
      <c r="CL914" s="1">
        <v>1.14073E-5</v>
      </c>
      <c r="CM914">
        <v>5.1389999999999998E-2</v>
      </c>
      <c r="CN914">
        <f t="shared" si="131"/>
        <v>3.9939796661394151</v>
      </c>
    </row>
    <row r="915" spans="4:92" x14ac:dyDescent="0.35">
      <c r="D915" s="1">
        <v>1.2482399999999999E-5</v>
      </c>
      <c r="E915">
        <v>13.626799999999999</v>
      </c>
      <c r="F915">
        <v>1.0892500000000001</v>
      </c>
      <c r="G915">
        <v>11.349600000000001</v>
      </c>
      <c r="I915" s="1">
        <v>1.2482399999999999E-5</v>
      </c>
      <c r="J915">
        <f t="shared" si="127"/>
        <v>2.4185455577534345E-2</v>
      </c>
      <c r="K915">
        <v>5.780911452864552E-3</v>
      </c>
      <c r="L915">
        <v>3.7313773330833737E-2</v>
      </c>
      <c r="N915" s="1">
        <v>1.2482399999999999E-5</v>
      </c>
      <c r="O915">
        <f t="shared" si="128"/>
        <v>5.780911452864552E-3</v>
      </c>
      <c r="Q915" s="1">
        <v>1.2482399999999999E-5</v>
      </c>
      <c r="R915">
        <f t="shared" si="129"/>
        <v>3.7313773330833737E-2</v>
      </c>
      <c r="CH915" s="1">
        <v>1.1555E-5</v>
      </c>
      <c r="CI915">
        <v>18.6645</v>
      </c>
      <c r="CJ915">
        <f t="shared" si="130"/>
        <v>1450.5863685281013</v>
      </c>
      <c r="CL915" s="1">
        <v>1.1555E-5</v>
      </c>
      <c r="CM915">
        <v>2.8309999999999998E-2</v>
      </c>
      <c r="CN915">
        <f t="shared" si="131"/>
        <v>2.2002250311034608</v>
      </c>
    </row>
    <row r="916" spans="4:92" x14ac:dyDescent="0.35">
      <c r="D916" s="1">
        <v>1.2644E-5</v>
      </c>
      <c r="E916">
        <v>13.7257</v>
      </c>
      <c r="F916">
        <v>1.27607</v>
      </c>
      <c r="G916">
        <v>11.483599999999999</v>
      </c>
      <c r="I916" s="1">
        <v>1.2644E-5</v>
      </c>
      <c r="J916">
        <f t="shared" si="127"/>
        <v>2.4360987731570374E-2</v>
      </c>
      <c r="K916">
        <v>6.772410078179361E-3</v>
      </c>
      <c r="L916">
        <v>3.7754321511063144E-2</v>
      </c>
      <c r="N916" s="1">
        <v>1.2644E-5</v>
      </c>
      <c r="O916">
        <f t="shared" si="128"/>
        <v>6.772410078179361E-3</v>
      </c>
      <c r="Q916" s="1">
        <v>1.2644E-5</v>
      </c>
      <c r="R916">
        <f t="shared" si="129"/>
        <v>3.7754321511063144E-2</v>
      </c>
      <c r="CH916" s="1">
        <v>1.17046E-5</v>
      </c>
      <c r="CI916">
        <v>18.834</v>
      </c>
      <c r="CJ916">
        <f t="shared" si="130"/>
        <v>1463.7597398729276</v>
      </c>
      <c r="CL916" s="1">
        <v>1.17046E-5</v>
      </c>
      <c r="CM916">
        <v>2.9909999999999999E-2</v>
      </c>
      <c r="CN916">
        <f t="shared" si="131"/>
        <v>2.3245754390782238</v>
      </c>
    </row>
    <row r="917" spans="4:92" x14ac:dyDescent="0.35">
      <c r="D917" s="1">
        <v>1.28078E-5</v>
      </c>
      <c r="E917">
        <v>13.7804</v>
      </c>
      <c r="F917">
        <v>1.2926299999999999</v>
      </c>
      <c r="G917">
        <v>11.394399999999999</v>
      </c>
      <c r="I917" s="1">
        <v>1.28078E-5</v>
      </c>
      <c r="J917">
        <f t="shared" si="127"/>
        <v>2.4458071743964412E-2</v>
      </c>
      <c r="K917">
        <v>6.8602979768797841E-3</v>
      </c>
      <c r="L917">
        <v>3.7461061080641775E-2</v>
      </c>
      <c r="N917" s="1">
        <v>1.28078E-5</v>
      </c>
      <c r="O917">
        <f t="shared" si="128"/>
        <v>6.8602979768797841E-3</v>
      </c>
      <c r="Q917" s="1">
        <v>1.28078E-5</v>
      </c>
      <c r="R917">
        <f t="shared" si="129"/>
        <v>3.7461061080641775E-2</v>
      </c>
      <c r="CH917" s="1">
        <v>1.18562E-5</v>
      </c>
      <c r="CI917">
        <v>18.6751</v>
      </c>
      <c r="CJ917">
        <f t="shared" si="130"/>
        <v>1451.4101899809341</v>
      </c>
      <c r="CL917" s="1">
        <v>1.18562E-5</v>
      </c>
      <c r="CM917">
        <v>4.9869999999999998E-2</v>
      </c>
      <c r="CN917">
        <f t="shared" si="131"/>
        <v>3.8758467785633903</v>
      </c>
    </row>
    <row r="918" spans="4:92" x14ac:dyDescent="0.35">
      <c r="D918" s="1">
        <v>1.2973600000000001E-5</v>
      </c>
      <c r="E918">
        <v>13.5619</v>
      </c>
      <c r="F918">
        <v>1.3590800000000001</v>
      </c>
      <c r="G918">
        <v>11.1015</v>
      </c>
      <c r="I918" s="1">
        <v>1.2973600000000001E-5</v>
      </c>
      <c r="J918">
        <f t="shared" si="127"/>
        <v>2.4070268147838306E-2</v>
      </c>
      <c r="K918">
        <v>7.2129640921360155E-3</v>
      </c>
      <c r="L918">
        <v>3.649810166281197E-2</v>
      </c>
      <c r="N918" s="1">
        <v>1.2973600000000001E-5</v>
      </c>
      <c r="O918">
        <f t="shared" si="128"/>
        <v>7.2129640921360155E-3</v>
      </c>
      <c r="Q918" s="1">
        <v>1.2973600000000001E-5</v>
      </c>
      <c r="R918">
        <f t="shared" si="129"/>
        <v>3.649810166281197E-2</v>
      </c>
      <c r="CH918" s="1">
        <v>1.20097E-5</v>
      </c>
      <c r="CI918">
        <v>19.2775</v>
      </c>
      <c r="CJ918">
        <f t="shared" si="130"/>
        <v>1498.2281185834322</v>
      </c>
      <c r="CL918" s="1">
        <v>1.20097E-5</v>
      </c>
      <c r="CM918">
        <v>2.8729999999999999E-2</v>
      </c>
      <c r="CN918">
        <f t="shared" si="131"/>
        <v>2.2328670131968358</v>
      </c>
    </row>
    <row r="919" spans="4:92" x14ac:dyDescent="0.35">
      <c r="D919" s="1">
        <v>1.31416E-5</v>
      </c>
      <c r="E919">
        <v>13.696300000000001</v>
      </c>
      <c r="F919">
        <v>1.2417400000000001</v>
      </c>
      <c r="G919">
        <v>11.4476</v>
      </c>
      <c r="I919" s="1">
        <v>1.31416E-5</v>
      </c>
      <c r="J919">
        <f t="shared" si="127"/>
        <v>2.4308807293464619E-2</v>
      </c>
      <c r="K919">
        <v>6.5902125200642909E-3</v>
      </c>
      <c r="L919">
        <v>3.7635965283538825E-2</v>
      </c>
      <c r="N919" s="1">
        <v>1.31416E-5</v>
      </c>
      <c r="O919">
        <f t="shared" si="128"/>
        <v>6.5902125200642909E-3</v>
      </c>
      <c r="Q919" s="1">
        <v>1.31416E-5</v>
      </c>
      <c r="R919">
        <f t="shared" si="129"/>
        <v>3.7635965283538825E-2</v>
      </c>
      <c r="CH919" s="1">
        <v>1.21653E-5</v>
      </c>
      <c r="CI919">
        <v>18.608899999999998</v>
      </c>
      <c r="CJ919">
        <f t="shared" si="130"/>
        <v>1446.265191850978</v>
      </c>
      <c r="CL919" s="1">
        <v>1.21653E-5</v>
      </c>
      <c r="CM919">
        <v>3.0540000000000001E-2</v>
      </c>
      <c r="CN919">
        <f t="shared" si="131"/>
        <v>2.3735384122182865</v>
      </c>
    </row>
    <row r="920" spans="4:92" x14ac:dyDescent="0.35">
      <c r="D920" s="1">
        <v>1.33118E-5</v>
      </c>
      <c r="E920">
        <v>13.5768</v>
      </c>
      <c r="F920">
        <v>1.3962399999999999</v>
      </c>
      <c r="G920">
        <v>11.5261</v>
      </c>
      <c r="I920" s="1">
        <v>1.33118E-5</v>
      </c>
      <c r="J920">
        <f t="shared" si="127"/>
        <v>2.4096713335857892E-2</v>
      </c>
      <c r="K920">
        <v>7.4101811401860009E-3</v>
      </c>
      <c r="L920">
        <v>3.789404761300158E-2</v>
      </c>
      <c r="N920" s="1">
        <v>1.33118E-5</v>
      </c>
      <c r="O920">
        <f t="shared" si="128"/>
        <v>7.4101811401860009E-3</v>
      </c>
      <c r="Q920" s="1">
        <v>1.33118E-5</v>
      </c>
      <c r="R920">
        <f t="shared" si="129"/>
        <v>3.789404761300158E-2</v>
      </c>
      <c r="CH920" s="1">
        <v>1.23228E-5</v>
      </c>
      <c r="CI920">
        <v>19.179300000000001</v>
      </c>
      <c r="CJ920">
        <f t="shared" si="130"/>
        <v>1490.5961122939812</v>
      </c>
      <c r="CL920" s="1">
        <v>1.23228E-5</v>
      </c>
      <c r="CM920">
        <v>3.1820000000000001E-2</v>
      </c>
      <c r="CN920">
        <f t="shared" si="131"/>
        <v>2.4730187385980971</v>
      </c>
    </row>
    <row r="921" spans="4:92" x14ac:dyDescent="0.35">
      <c r="D921" s="1">
        <v>1.34842E-5</v>
      </c>
      <c r="E921">
        <v>13.4902</v>
      </c>
      <c r="F921">
        <v>1.30104</v>
      </c>
      <c r="G921">
        <v>11.3963</v>
      </c>
      <c r="I921" s="1">
        <v>1.34842E-5</v>
      </c>
      <c r="J921">
        <f t="shared" si="127"/>
        <v>2.3943011773274268E-2</v>
      </c>
      <c r="K921">
        <v>6.9049318674637566E-3</v>
      </c>
      <c r="L921">
        <v>3.7467307659316676E-2</v>
      </c>
      <c r="N921" s="1">
        <v>1.34842E-5</v>
      </c>
      <c r="O921">
        <f t="shared" si="128"/>
        <v>6.9049318674637566E-3</v>
      </c>
      <c r="Q921" s="1">
        <v>1.34842E-5</v>
      </c>
      <c r="R921">
        <f t="shared" si="129"/>
        <v>3.7467307659316676E-2</v>
      </c>
      <c r="CH921" s="1">
        <v>1.2482399999999999E-5</v>
      </c>
      <c r="CI921">
        <v>18.9284</v>
      </c>
      <c r="CJ921">
        <f t="shared" si="130"/>
        <v>1471.0964139434386</v>
      </c>
      <c r="CL921" s="1">
        <v>1.2482399999999999E-5</v>
      </c>
      <c r="CM921">
        <v>3.1550000000000002E-2</v>
      </c>
      <c r="CN921">
        <f t="shared" si="131"/>
        <v>2.4520346072523558</v>
      </c>
    </row>
    <row r="922" spans="4:92" x14ac:dyDescent="0.35">
      <c r="D922" s="1">
        <v>1.36588E-5</v>
      </c>
      <c r="E922">
        <v>13.6569</v>
      </c>
      <c r="F922">
        <v>1.34988</v>
      </c>
      <c r="G922">
        <v>11.4497</v>
      </c>
      <c r="I922" s="1">
        <v>1.36588E-5</v>
      </c>
      <c r="J922">
        <f t="shared" si="127"/>
        <v>2.423887840702357E-2</v>
      </c>
      <c r="K922">
        <v>7.1641374817468916E-3</v>
      </c>
      <c r="L922">
        <v>3.7642869396811079E-2</v>
      </c>
      <c r="N922" s="1">
        <v>1.36588E-5</v>
      </c>
      <c r="O922">
        <f t="shared" si="128"/>
        <v>7.1641374817468916E-3</v>
      </c>
      <c r="Q922" s="1">
        <v>1.36588E-5</v>
      </c>
      <c r="R922">
        <f t="shared" si="129"/>
        <v>3.7642869396811079E-2</v>
      </c>
      <c r="CH922" s="1">
        <v>1.2644E-5</v>
      </c>
      <c r="CI922">
        <v>20.063199999999998</v>
      </c>
      <c r="CJ922">
        <f t="shared" si="130"/>
        <v>1559.2919407995391</v>
      </c>
      <c r="CL922" s="1">
        <v>1.2644E-5</v>
      </c>
      <c r="CM922">
        <v>2.8199999999999999E-2</v>
      </c>
      <c r="CN922">
        <f t="shared" si="131"/>
        <v>2.191675940555196</v>
      </c>
    </row>
    <row r="923" spans="4:92" x14ac:dyDescent="0.35">
      <c r="D923" s="1">
        <v>1.38357E-5</v>
      </c>
      <c r="E923">
        <v>13.581200000000001</v>
      </c>
      <c r="F923">
        <v>1.2525900000000001</v>
      </c>
      <c r="G923">
        <v>11.337899999999999</v>
      </c>
      <c r="I923" s="1">
        <v>1.38357E-5</v>
      </c>
      <c r="J923">
        <f t="shared" si="127"/>
        <v>2.4104522653125418E-2</v>
      </c>
      <c r="K923">
        <v>6.6477960768818994E-3</v>
      </c>
      <c r="L923">
        <v>3.7275307556888328E-2</v>
      </c>
      <c r="N923" s="1">
        <v>1.38357E-5</v>
      </c>
      <c r="O923">
        <f t="shared" si="128"/>
        <v>6.6477960768818994E-3</v>
      </c>
      <c r="Q923" s="1">
        <v>1.38357E-5</v>
      </c>
      <c r="R923">
        <f t="shared" si="129"/>
        <v>3.7275307556888328E-2</v>
      </c>
      <c r="CH923" s="1">
        <v>1.28078E-5</v>
      </c>
      <c r="CI923">
        <v>20.45</v>
      </c>
      <c r="CJ923">
        <f t="shared" si="130"/>
        <v>1589.353651927438</v>
      </c>
      <c r="CL923" s="1">
        <v>1.28078E-5</v>
      </c>
      <c r="CM923">
        <v>2.605E-2</v>
      </c>
      <c r="CN923">
        <f t="shared" si="131"/>
        <v>2.024580079839108</v>
      </c>
    </row>
    <row r="924" spans="4:92" x14ac:dyDescent="0.35">
      <c r="D924" s="1">
        <v>1.40149E-5</v>
      </c>
      <c r="E924">
        <v>13.624700000000001</v>
      </c>
      <c r="F924">
        <v>1.22536</v>
      </c>
      <c r="G924">
        <v>11.3674</v>
      </c>
      <c r="I924" s="1">
        <v>1.40149E-5</v>
      </c>
      <c r="J924">
        <f t="shared" si="127"/>
        <v>2.4181728403383933E-2</v>
      </c>
      <c r="K924">
        <v>6.5032799246106101E-3</v>
      </c>
      <c r="L924">
        <v>3.7372293909998536E-2</v>
      </c>
      <c r="N924" s="1">
        <v>1.40149E-5</v>
      </c>
      <c r="O924">
        <f t="shared" si="128"/>
        <v>6.5032799246106101E-3</v>
      </c>
      <c r="Q924" s="1">
        <v>1.40149E-5</v>
      </c>
      <c r="R924">
        <f t="shared" si="129"/>
        <v>3.7372293909998536E-2</v>
      </c>
      <c r="CH924" s="1">
        <v>1.2973600000000001E-5</v>
      </c>
      <c r="CI924">
        <v>20.207000000000001</v>
      </c>
      <c r="CJ924">
        <f t="shared" si="130"/>
        <v>1570.4679337162711</v>
      </c>
      <c r="CL924" s="1">
        <v>1.2973600000000001E-5</v>
      </c>
      <c r="CM924">
        <v>3.1559999999999998E-2</v>
      </c>
      <c r="CN924">
        <f t="shared" si="131"/>
        <v>2.4528117973021977</v>
      </c>
    </row>
    <row r="925" spans="4:92" x14ac:dyDescent="0.35">
      <c r="D925" s="1">
        <v>1.41964E-5</v>
      </c>
      <c r="E925">
        <v>13.6022</v>
      </c>
      <c r="F925">
        <v>1.3976200000000001</v>
      </c>
      <c r="G925">
        <v>11.4064</v>
      </c>
      <c r="I925" s="1">
        <v>1.41964E-5</v>
      </c>
      <c r="J925">
        <f t="shared" si="127"/>
        <v>2.4141794394629532E-2</v>
      </c>
      <c r="K925">
        <v>7.4175051317443693E-3</v>
      </c>
      <c r="L925">
        <v>3.7500513156483214E-2</v>
      </c>
      <c r="N925" s="1">
        <v>1.41964E-5</v>
      </c>
      <c r="O925">
        <f t="shared" si="128"/>
        <v>7.4175051317443693E-3</v>
      </c>
      <c r="Q925" s="1">
        <v>1.41964E-5</v>
      </c>
      <c r="R925">
        <f t="shared" si="129"/>
        <v>3.7500513156483214E-2</v>
      </c>
      <c r="CH925" s="1">
        <v>1.31416E-5</v>
      </c>
      <c r="CI925">
        <v>19.669</v>
      </c>
      <c r="CJ925">
        <f t="shared" si="130"/>
        <v>1528.6551090347571</v>
      </c>
      <c r="CL925" s="1">
        <v>1.31416E-5</v>
      </c>
      <c r="CM925">
        <v>2.8930000000000001E-2</v>
      </c>
      <c r="CN925">
        <f t="shared" si="131"/>
        <v>2.2484108141936816</v>
      </c>
    </row>
    <row r="926" spans="4:92" x14ac:dyDescent="0.35">
      <c r="D926" s="1">
        <v>1.43802E-5</v>
      </c>
      <c r="E926">
        <v>13.544700000000001</v>
      </c>
      <c r="F926">
        <v>1.3029900000000001</v>
      </c>
      <c r="G926">
        <v>11.162699999999999</v>
      </c>
      <c r="I926" s="1">
        <v>1.43802E-5</v>
      </c>
      <c r="J926">
        <f t="shared" si="127"/>
        <v>2.4039740816701606E-2</v>
      </c>
      <c r="K926">
        <v>6.9152809859701478E-3</v>
      </c>
      <c r="L926">
        <v>3.6699307249603311E-2</v>
      </c>
      <c r="N926" s="1">
        <v>1.43802E-5</v>
      </c>
      <c r="O926">
        <f t="shared" si="128"/>
        <v>6.9152809859701478E-3</v>
      </c>
      <c r="Q926" s="1">
        <v>1.43802E-5</v>
      </c>
      <c r="R926">
        <f t="shared" si="129"/>
        <v>3.6699307249603311E-2</v>
      </c>
      <c r="CH926" s="1">
        <v>1.33118E-5</v>
      </c>
      <c r="CI926">
        <v>20.062999999999999</v>
      </c>
      <c r="CJ926">
        <f t="shared" si="130"/>
        <v>1559.2763969985422</v>
      </c>
      <c r="CL926" s="1">
        <v>1.33118E-5</v>
      </c>
      <c r="CM926">
        <v>2.8119999999999999E-2</v>
      </c>
      <c r="CN926">
        <f t="shared" si="131"/>
        <v>2.1854584201564577</v>
      </c>
    </row>
    <row r="927" spans="4:92" x14ac:dyDescent="0.35">
      <c r="D927" s="1">
        <v>1.45665E-5</v>
      </c>
      <c r="E927">
        <v>13.4556</v>
      </c>
      <c r="F927">
        <v>1.4607699999999999</v>
      </c>
      <c r="G927">
        <v>11.525700000000001</v>
      </c>
      <c r="I927" s="1">
        <v>1.45665E-5</v>
      </c>
      <c r="J927">
        <f t="shared" si="127"/>
        <v>2.3881602142034164E-2</v>
      </c>
      <c r="K927">
        <v>7.7526573541436316E-3</v>
      </c>
      <c r="L927">
        <v>3.7892732543806866E-2</v>
      </c>
      <c r="N927" s="1">
        <v>1.45665E-5</v>
      </c>
      <c r="O927">
        <f t="shared" si="128"/>
        <v>7.7526573541436316E-3</v>
      </c>
      <c r="Q927" s="1">
        <v>1.45665E-5</v>
      </c>
      <c r="R927">
        <f t="shared" si="129"/>
        <v>3.7892732543806866E-2</v>
      </c>
      <c r="CH927" s="1">
        <v>1.34842E-5</v>
      </c>
      <c r="CI927">
        <v>20.855699999999999</v>
      </c>
      <c r="CJ927">
        <f t="shared" si="130"/>
        <v>1620.8842522495388</v>
      </c>
      <c r="CL927" s="1">
        <v>1.34842E-5</v>
      </c>
      <c r="CM927">
        <v>2.5579999999999999E-2</v>
      </c>
      <c r="CN927">
        <f t="shared" si="131"/>
        <v>1.9880521474965216</v>
      </c>
    </row>
    <row r="928" spans="4:92" x14ac:dyDescent="0.35">
      <c r="D928" s="1">
        <v>1.47551E-5</v>
      </c>
      <c r="E928">
        <v>13.6632</v>
      </c>
      <c r="F928">
        <v>1.43028</v>
      </c>
      <c r="G928">
        <v>11.599600000000001</v>
      </c>
      <c r="I928" s="1">
        <v>1.47551E-5</v>
      </c>
      <c r="J928">
        <f t="shared" si="127"/>
        <v>2.4250059929474804E-2</v>
      </c>
      <c r="K928">
        <v>7.5908395986257612E-3</v>
      </c>
      <c r="L928">
        <v>3.8135691577530398E-2</v>
      </c>
      <c r="N928" s="1">
        <v>1.47551E-5</v>
      </c>
      <c r="O928">
        <f t="shared" si="128"/>
        <v>7.5908395986257612E-3</v>
      </c>
      <c r="Q928" s="1">
        <v>1.47551E-5</v>
      </c>
      <c r="R928">
        <f t="shared" si="129"/>
        <v>3.8135691577530398E-2</v>
      </c>
      <c r="CH928" s="1">
        <v>1.36588E-5</v>
      </c>
      <c r="CI928">
        <v>19.6846</v>
      </c>
      <c r="CJ928">
        <f t="shared" si="130"/>
        <v>1529.8675255125108</v>
      </c>
      <c r="CL928" s="1">
        <v>1.36588E-5</v>
      </c>
      <c r="CM928">
        <v>3.082E-2</v>
      </c>
      <c r="CN928">
        <f t="shared" si="131"/>
        <v>2.3952997336138702</v>
      </c>
    </row>
    <row r="929" spans="4:92" x14ac:dyDescent="0.35">
      <c r="D929" s="1">
        <v>1.4946199999999999E-5</v>
      </c>
      <c r="E929">
        <v>13.567</v>
      </c>
      <c r="F929">
        <v>1.42472</v>
      </c>
      <c r="G929">
        <v>11.6959</v>
      </c>
      <c r="I929" s="1">
        <v>1.4946199999999999E-5</v>
      </c>
      <c r="J929">
        <f t="shared" si="127"/>
        <v>2.4079319856489305E-2</v>
      </c>
      <c r="K929">
        <v>7.5613313427818993E-3</v>
      </c>
      <c r="L929">
        <v>3.8452294486157952E-2</v>
      </c>
      <c r="N929" s="1">
        <v>1.4946199999999999E-5</v>
      </c>
      <c r="O929">
        <f t="shared" si="128"/>
        <v>7.5613313427818993E-3</v>
      </c>
      <c r="Q929" s="1">
        <v>1.4946199999999999E-5</v>
      </c>
      <c r="R929">
        <f t="shared" si="129"/>
        <v>3.8452294486157952E-2</v>
      </c>
      <c r="CH929" s="1">
        <v>1.38357E-5</v>
      </c>
      <c r="CI929">
        <v>19.721800000000002</v>
      </c>
      <c r="CJ929">
        <f t="shared" si="130"/>
        <v>1532.7586724979244</v>
      </c>
      <c r="CL929" s="1">
        <v>1.38357E-5</v>
      </c>
      <c r="CM929">
        <v>2.5680000000000001E-2</v>
      </c>
      <c r="CN929">
        <f t="shared" si="131"/>
        <v>1.9958240479949445</v>
      </c>
    </row>
    <row r="930" spans="4:92" x14ac:dyDescent="0.35">
      <c r="D930" s="1">
        <v>1.51397E-5</v>
      </c>
      <c r="E930">
        <v>13.784700000000001</v>
      </c>
      <c r="F930">
        <v>1.42818</v>
      </c>
      <c r="G930">
        <v>11.3438</v>
      </c>
      <c r="I930" s="1">
        <v>1.51397E-5</v>
      </c>
      <c r="J930">
        <f t="shared" si="127"/>
        <v>2.4465703576748592E-2</v>
      </c>
      <c r="K930">
        <v>7.5796943940804181E-3</v>
      </c>
      <c r="L930">
        <v>3.7294704827510371E-2</v>
      </c>
      <c r="N930" s="1">
        <v>1.51397E-5</v>
      </c>
      <c r="O930">
        <f t="shared" si="128"/>
        <v>7.5796943940804181E-3</v>
      </c>
      <c r="Q930" s="1">
        <v>1.51397E-5</v>
      </c>
      <c r="R930">
        <f t="shared" si="129"/>
        <v>3.7294704827510371E-2</v>
      </c>
      <c r="CH930" s="1">
        <v>1.40149E-5</v>
      </c>
      <c r="CI930">
        <v>19.019200000000001</v>
      </c>
      <c r="CJ930">
        <f t="shared" si="130"/>
        <v>1478.1532995960065</v>
      </c>
      <c r="CL930" s="1">
        <v>1.40149E-5</v>
      </c>
      <c r="CM930">
        <v>2.8760000000000001E-2</v>
      </c>
      <c r="CN930">
        <f t="shared" si="131"/>
        <v>2.2351985833463628</v>
      </c>
    </row>
    <row r="931" spans="4:92" x14ac:dyDescent="0.35">
      <c r="D931" s="1">
        <v>1.53358E-5</v>
      </c>
      <c r="E931">
        <v>13.806900000000001</v>
      </c>
      <c r="F931">
        <v>1.4037200000000001</v>
      </c>
      <c r="G931">
        <v>11.3018</v>
      </c>
      <c r="I931" s="1">
        <v>1.53358E-5</v>
      </c>
      <c r="J931">
        <f t="shared" si="127"/>
        <v>2.4505105132052937E-2</v>
      </c>
      <c r="K931">
        <v>7.4498792973284635E-3</v>
      </c>
      <c r="L931">
        <v>3.7156622562065339E-2</v>
      </c>
      <c r="N931" s="1">
        <v>1.53358E-5</v>
      </c>
      <c r="O931">
        <f t="shared" si="128"/>
        <v>7.4498792973284635E-3</v>
      </c>
      <c r="Q931" s="1">
        <v>1.53358E-5</v>
      </c>
      <c r="R931">
        <f t="shared" si="129"/>
        <v>3.7156622562065339E-2</v>
      </c>
      <c r="CH931" s="1">
        <v>1.41964E-5</v>
      </c>
      <c r="CI931">
        <v>20.2928</v>
      </c>
      <c r="CJ931">
        <f t="shared" si="130"/>
        <v>1577.1362243439178</v>
      </c>
      <c r="CL931" s="1">
        <v>1.41964E-5</v>
      </c>
      <c r="CM931">
        <v>2.844E-2</v>
      </c>
      <c r="CN931">
        <f t="shared" si="131"/>
        <v>2.2103285017514103</v>
      </c>
    </row>
    <row r="932" spans="4:92" x14ac:dyDescent="0.35">
      <c r="D932" s="1">
        <v>1.5534400000000002E-5</v>
      </c>
      <c r="E932">
        <v>13.575799999999999</v>
      </c>
      <c r="F932">
        <v>1.4306000000000001</v>
      </c>
      <c r="G932">
        <v>11.4834</v>
      </c>
      <c r="I932" s="1">
        <v>1.5534400000000002E-5</v>
      </c>
      <c r="J932">
        <f t="shared" si="127"/>
        <v>2.409493849102436E-2</v>
      </c>
      <c r="K932">
        <v>7.5925379155088622E-3</v>
      </c>
      <c r="L932">
        <v>3.775366397646579E-2</v>
      </c>
      <c r="N932" s="1">
        <v>1.5534400000000002E-5</v>
      </c>
      <c r="O932">
        <f t="shared" si="128"/>
        <v>7.5925379155088622E-3</v>
      </c>
      <c r="Q932" s="1">
        <v>1.5534400000000002E-5</v>
      </c>
      <c r="R932">
        <f t="shared" si="129"/>
        <v>3.775366397646579E-2</v>
      </c>
      <c r="CH932" s="1">
        <v>1.43802E-5</v>
      </c>
      <c r="CI932">
        <v>18.928999999999998</v>
      </c>
      <c r="CJ932">
        <f t="shared" si="130"/>
        <v>1471.1430453464291</v>
      </c>
      <c r="CL932" s="1">
        <v>1.43802E-5</v>
      </c>
      <c r="CM932">
        <v>3.0300000000000001E-2</v>
      </c>
      <c r="CN932">
        <f t="shared" si="131"/>
        <v>2.3548858510220723</v>
      </c>
    </row>
    <row r="933" spans="4:92" x14ac:dyDescent="0.35">
      <c r="D933" s="1">
        <v>1.5735599999999999E-5</v>
      </c>
      <c r="E933">
        <v>13.6023</v>
      </c>
      <c r="F933">
        <v>1.50848</v>
      </c>
      <c r="G933">
        <v>11.632400000000001</v>
      </c>
      <c r="I933" s="1">
        <v>1.5735599999999999E-5</v>
      </c>
      <c r="J933">
        <f t="shared" si="127"/>
        <v>2.4141971879112881E-2</v>
      </c>
      <c r="K933">
        <v>8.0058657869333198E-3</v>
      </c>
      <c r="L933">
        <v>3.8243527251497003E-2</v>
      </c>
      <c r="N933" s="1">
        <v>1.5735599999999999E-5</v>
      </c>
      <c r="O933">
        <f t="shared" si="128"/>
        <v>8.0058657869333198E-3</v>
      </c>
      <c r="Q933" s="1">
        <v>1.5735599999999999E-5</v>
      </c>
      <c r="R933">
        <f t="shared" si="129"/>
        <v>3.8243527251497003E-2</v>
      </c>
      <c r="CH933" s="1">
        <v>1.45665E-5</v>
      </c>
      <c r="CI933">
        <v>19.977399999999999</v>
      </c>
      <c r="CJ933">
        <f t="shared" si="130"/>
        <v>1552.6236501718925</v>
      </c>
      <c r="CL933" s="1">
        <v>1.45665E-5</v>
      </c>
      <c r="CM933">
        <v>2.8819999999999998E-2</v>
      </c>
      <c r="CN933">
        <f t="shared" si="131"/>
        <v>2.2398617236454164</v>
      </c>
    </row>
    <row r="934" spans="4:92" x14ac:dyDescent="0.35">
      <c r="D934" s="1">
        <v>1.5939299999999998E-5</v>
      </c>
      <c r="E934">
        <v>13.599</v>
      </c>
      <c r="F934">
        <v>1.3619399999999999</v>
      </c>
      <c r="G934">
        <v>11.5321</v>
      </c>
      <c r="I934" s="1">
        <v>1.5939299999999998E-5</v>
      </c>
      <c r="J934">
        <f t="shared" si="127"/>
        <v>2.4136114891162234E-2</v>
      </c>
      <c r="K934">
        <v>7.2281427992787212E-3</v>
      </c>
      <c r="L934">
        <v>3.79137736509223E-2</v>
      </c>
      <c r="N934" s="1">
        <v>1.5939299999999998E-5</v>
      </c>
      <c r="O934">
        <f t="shared" si="128"/>
        <v>7.2281427992787212E-3</v>
      </c>
      <c r="Q934" s="1">
        <v>1.5939299999999998E-5</v>
      </c>
      <c r="R934">
        <f t="shared" si="129"/>
        <v>3.79137736509223E-2</v>
      </c>
      <c r="CH934" s="1">
        <v>1.47551E-5</v>
      </c>
      <c r="CI934">
        <v>20.1114</v>
      </c>
      <c r="CJ934">
        <f t="shared" si="130"/>
        <v>1563.037996839779</v>
      </c>
      <c r="CL934" s="1">
        <v>1.47551E-5</v>
      </c>
      <c r="CM934">
        <v>2.4639999999999999E-2</v>
      </c>
      <c r="CN934">
        <f t="shared" si="131"/>
        <v>1.9149962828113483</v>
      </c>
    </row>
    <row r="935" spans="4:92" x14ac:dyDescent="0.35">
      <c r="D935" s="1">
        <v>1.61458E-5</v>
      </c>
      <c r="E935">
        <v>13.197100000000001</v>
      </c>
      <c r="F935">
        <v>1.37398</v>
      </c>
      <c r="G935">
        <v>11.5641</v>
      </c>
      <c r="I935" s="1">
        <v>1.61458E-5</v>
      </c>
      <c r="J935">
        <f t="shared" si="127"/>
        <v>2.3422804752566893E-2</v>
      </c>
      <c r="K935">
        <v>7.292041972005359E-3</v>
      </c>
      <c r="L935">
        <v>3.801897918649947E-2</v>
      </c>
      <c r="N935" s="1">
        <v>1.61458E-5</v>
      </c>
      <c r="O935">
        <f t="shared" si="128"/>
        <v>7.292041972005359E-3</v>
      </c>
      <c r="Q935" s="1">
        <v>1.61458E-5</v>
      </c>
      <c r="R935">
        <f t="shared" si="129"/>
        <v>3.801897918649947E-2</v>
      </c>
      <c r="CH935" s="1">
        <v>1.4946199999999999E-5</v>
      </c>
      <c r="CI935">
        <v>21.266100000000002</v>
      </c>
      <c r="CJ935">
        <f t="shared" si="130"/>
        <v>1652.7801318950658</v>
      </c>
      <c r="CL935" s="1">
        <v>1.4946199999999999E-5</v>
      </c>
      <c r="CM935">
        <v>2.5930000000000002E-2</v>
      </c>
      <c r="CN935">
        <f t="shared" si="131"/>
        <v>2.0152537992410013</v>
      </c>
    </row>
    <row r="936" spans="4:92" x14ac:dyDescent="0.35">
      <c r="D936" s="1">
        <v>1.6354900000000002E-5</v>
      </c>
      <c r="E936">
        <v>13.5029</v>
      </c>
      <c r="F936">
        <v>1.4410000000000001</v>
      </c>
      <c r="G936">
        <v>11.661</v>
      </c>
      <c r="I936" s="1">
        <v>1.6354900000000002E-5</v>
      </c>
      <c r="J936">
        <f t="shared" si="127"/>
        <v>2.3965552302660089E-2</v>
      </c>
      <c r="K936">
        <v>7.6477332142096122E-3</v>
      </c>
      <c r="L936">
        <v>3.8337554698919099E-2</v>
      </c>
      <c r="N936" s="1">
        <v>1.6354900000000002E-5</v>
      </c>
      <c r="O936">
        <f t="shared" si="128"/>
        <v>7.6477332142096122E-3</v>
      </c>
      <c r="Q936" s="1">
        <v>1.6354900000000002E-5</v>
      </c>
      <c r="R936">
        <f t="shared" si="129"/>
        <v>3.8337554698919099E-2</v>
      </c>
      <c r="CH936" s="1">
        <v>1.51397E-5</v>
      </c>
      <c r="CI936">
        <v>20.6203</v>
      </c>
      <c r="CJ936">
        <f t="shared" si="130"/>
        <v>1602.589198476252</v>
      </c>
      <c r="CL936" s="1">
        <v>1.51397E-5</v>
      </c>
      <c r="CM936">
        <v>3.492E-2</v>
      </c>
      <c r="CN936">
        <f t="shared" si="131"/>
        <v>2.7139476540491998</v>
      </c>
    </row>
    <row r="937" spans="4:92" x14ac:dyDescent="0.35">
      <c r="D937" s="1">
        <v>1.6566600000000002E-5</v>
      </c>
      <c r="E937">
        <v>13.6157</v>
      </c>
      <c r="F937">
        <v>1.43347</v>
      </c>
      <c r="G937">
        <v>11.5318</v>
      </c>
      <c r="I937" s="1">
        <v>1.6566600000000002E-5</v>
      </c>
      <c r="J937">
        <f t="shared" si="127"/>
        <v>2.4165754799882172E-2</v>
      </c>
      <c r="K937">
        <v>7.6077696950541647E-3</v>
      </c>
      <c r="L937">
        <v>3.7912787349026263E-2</v>
      </c>
      <c r="N937" s="1">
        <v>1.6566600000000002E-5</v>
      </c>
      <c r="O937">
        <f t="shared" si="128"/>
        <v>7.6077696950541647E-3</v>
      </c>
      <c r="Q937" s="1">
        <v>1.6566600000000002E-5</v>
      </c>
      <c r="R937">
        <f t="shared" si="129"/>
        <v>3.7912787349026263E-2</v>
      </c>
      <c r="CH937" s="1">
        <v>1.53358E-5</v>
      </c>
      <c r="CI937">
        <v>20.22</v>
      </c>
      <c r="CJ937">
        <f t="shared" si="130"/>
        <v>1571.4782807810659</v>
      </c>
      <c r="CL937" s="1">
        <v>1.53358E-5</v>
      </c>
      <c r="CM937">
        <v>2.7980000000000001E-2</v>
      </c>
      <c r="CN937">
        <f t="shared" si="131"/>
        <v>2.1745777594586659</v>
      </c>
    </row>
    <row r="938" spans="4:92" x14ac:dyDescent="0.35">
      <c r="D938" s="1">
        <v>1.6781200000000001E-5</v>
      </c>
      <c r="E938">
        <v>13.4399</v>
      </c>
      <c r="F938">
        <v>1.3697699999999999</v>
      </c>
      <c r="G938">
        <v>11.289</v>
      </c>
      <c r="I938" s="1">
        <v>1.6781200000000001E-5</v>
      </c>
      <c r="J938">
        <f t="shared" si="127"/>
        <v>2.3853737078147755E-2</v>
      </c>
      <c r="K938">
        <v>7.2696984905120743E-3</v>
      </c>
      <c r="L938">
        <v>3.7114540347834464E-2</v>
      </c>
      <c r="N938" s="1">
        <v>1.6781200000000001E-5</v>
      </c>
      <c r="O938">
        <f t="shared" si="128"/>
        <v>7.2696984905120743E-3</v>
      </c>
      <c r="Q938" s="1">
        <v>1.6781200000000001E-5</v>
      </c>
      <c r="R938">
        <f t="shared" si="129"/>
        <v>3.7114540347834464E-2</v>
      </c>
      <c r="CH938" s="1">
        <v>1.5534400000000002E-5</v>
      </c>
      <c r="CI938">
        <v>20.237500000000001</v>
      </c>
      <c r="CJ938">
        <f t="shared" si="130"/>
        <v>1572.8383633682899</v>
      </c>
      <c r="CL938" s="1">
        <v>1.5534400000000002E-5</v>
      </c>
      <c r="CM938">
        <v>2.9479999999999999E-2</v>
      </c>
      <c r="CN938">
        <f t="shared" si="131"/>
        <v>2.2911562669350061</v>
      </c>
    </row>
    <row r="939" spans="4:92" x14ac:dyDescent="0.35">
      <c r="D939" s="1">
        <v>1.69985E-5</v>
      </c>
      <c r="E939">
        <v>13.8962</v>
      </c>
      <c r="F939">
        <v>1.3951</v>
      </c>
      <c r="G939">
        <v>11.9659</v>
      </c>
      <c r="I939" s="1">
        <v>1.69985E-5</v>
      </c>
      <c r="J939">
        <f t="shared" si="127"/>
        <v>2.4663598775687086E-2</v>
      </c>
      <c r="K939">
        <v>7.4041308862899573E-3</v>
      </c>
      <c r="L939">
        <v>3.9339966192590343E-2</v>
      </c>
      <c r="N939" s="1">
        <v>1.69985E-5</v>
      </c>
      <c r="O939">
        <f t="shared" si="128"/>
        <v>7.4041308862899573E-3</v>
      </c>
      <c r="Q939" s="1">
        <v>1.69985E-5</v>
      </c>
      <c r="R939">
        <f t="shared" si="129"/>
        <v>3.9339966192590343E-2</v>
      </c>
      <c r="CH939" s="1">
        <v>1.5735599999999999E-5</v>
      </c>
      <c r="CI939">
        <v>20.248999999999999</v>
      </c>
      <c r="CJ939">
        <f t="shared" si="130"/>
        <v>1573.7321319256084</v>
      </c>
      <c r="CL939" s="1">
        <v>1.5735599999999999E-5</v>
      </c>
      <c r="CM939">
        <v>2.852E-2</v>
      </c>
      <c r="CN939">
        <f t="shared" si="131"/>
        <v>2.2165460221501485</v>
      </c>
    </row>
    <row r="940" spans="4:92" x14ac:dyDescent="0.35">
      <c r="D940" s="1">
        <v>1.7218600000000001E-5</v>
      </c>
      <c r="E940">
        <v>13.6029</v>
      </c>
      <c r="F940">
        <v>1.45949</v>
      </c>
      <c r="G940">
        <v>11.5078</v>
      </c>
      <c r="I940" s="1">
        <v>1.7218600000000001E-5</v>
      </c>
      <c r="J940">
        <f t="shared" si="127"/>
        <v>2.4143036786012997E-2</v>
      </c>
      <c r="K940">
        <v>7.7458640866112311E-3</v>
      </c>
      <c r="L940">
        <v>3.7833883197343383E-2</v>
      </c>
      <c r="N940" s="1">
        <v>1.7218600000000001E-5</v>
      </c>
      <c r="O940">
        <f t="shared" si="128"/>
        <v>7.7458640866112311E-3</v>
      </c>
      <c r="Q940" s="1">
        <v>1.7218600000000001E-5</v>
      </c>
      <c r="R940">
        <f t="shared" si="129"/>
        <v>3.7833883197343383E-2</v>
      </c>
      <c r="CH940" s="1">
        <v>1.5939299999999998E-5</v>
      </c>
      <c r="CI940">
        <v>19.4954</v>
      </c>
      <c r="CJ940">
        <f t="shared" si="130"/>
        <v>1515.1630897694952</v>
      </c>
      <c r="CL940" s="1">
        <v>1.5939299999999998E-5</v>
      </c>
      <c r="CM940">
        <v>3.848E-2</v>
      </c>
      <c r="CN940">
        <f t="shared" si="131"/>
        <v>2.9906273117930473</v>
      </c>
    </row>
    <row r="941" spans="4:92" x14ac:dyDescent="0.35">
      <c r="D941" s="1">
        <v>1.7441599999999999E-5</v>
      </c>
      <c r="E941">
        <v>13.8093</v>
      </c>
      <c r="F941">
        <v>1.5706100000000001</v>
      </c>
      <c r="G941">
        <v>11.5763</v>
      </c>
      <c r="I941" s="1">
        <v>1.7441599999999999E-5</v>
      </c>
      <c r="J941">
        <f t="shared" si="127"/>
        <v>2.4509364759653408E-2</v>
      </c>
      <c r="K941">
        <v>8.3356046242677017E-3</v>
      </c>
      <c r="L941">
        <v>3.805908879693827E-2</v>
      </c>
      <c r="N941" s="1">
        <v>1.7441599999999999E-5</v>
      </c>
      <c r="O941">
        <f t="shared" si="128"/>
        <v>8.3356046242677017E-3</v>
      </c>
      <c r="Q941" s="1">
        <v>1.7441599999999999E-5</v>
      </c>
      <c r="R941">
        <f t="shared" si="129"/>
        <v>3.805908879693827E-2</v>
      </c>
      <c r="CH941" s="1">
        <v>1.61458E-5</v>
      </c>
      <c r="CI941">
        <v>20.401599999999998</v>
      </c>
      <c r="CJ941">
        <f t="shared" si="130"/>
        <v>1585.5920520862014</v>
      </c>
      <c r="CL941" s="1">
        <v>1.61458E-5</v>
      </c>
      <c r="CM941">
        <v>2.545E-2</v>
      </c>
      <c r="CN941">
        <f t="shared" si="131"/>
        <v>1.9779486768485721</v>
      </c>
    </row>
    <row r="942" spans="4:92" x14ac:dyDescent="0.35">
      <c r="D942" s="1">
        <v>1.76675E-5</v>
      </c>
      <c r="E942">
        <v>13.5136</v>
      </c>
      <c r="F942">
        <v>1.3518399999999999</v>
      </c>
      <c r="G942">
        <v>11.4946</v>
      </c>
      <c r="I942" s="1">
        <v>1.76675E-5</v>
      </c>
      <c r="J942">
        <f t="shared" si="127"/>
        <v>2.3984543142378852E-2</v>
      </c>
      <c r="K942">
        <v>7.1745396726558778E-3</v>
      </c>
      <c r="L942">
        <v>3.7790485913917801E-2</v>
      </c>
      <c r="N942" s="1">
        <v>1.76675E-5</v>
      </c>
      <c r="O942">
        <f t="shared" si="128"/>
        <v>7.1745396726558778E-3</v>
      </c>
      <c r="Q942" s="1">
        <v>1.76675E-5</v>
      </c>
      <c r="R942">
        <f t="shared" si="129"/>
        <v>3.7790485913917801E-2</v>
      </c>
      <c r="CH942" s="1">
        <v>1.6354900000000002E-5</v>
      </c>
      <c r="CI942">
        <v>20.123799999999999</v>
      </c>
      <c r="CJ942">
        <f t="shared" si="130"/>
        <v>1564.0017125015834</v>
      </c>
      <c r="CL942" s="1">
        <v>1.6354900000000002E-5</v>
      </c>
      <c r="CM942">
        <v>3.057E-2</v>
      </c>
      <c r="CN942">
        <f t="shared" si="131"/>
        <v>2.3758699823678135</v>
      </c>
    </row>
    <row r="943" spans="4:92" x14ac:dyDescent="0.35">
      <c r="D943" s="1">
        <v>1.78963E-5</v>
      </c>
      <c r="E943">
        <v>13.5586</v>
      </c>
      <c r="F943">
        <v>1.3999200000000001</v>
      </c>
      <c r="G943">
        <v>11.326700000000001</v>
      </c>
      <c r="I943" s="1">
        <v>1.78963E-5</v>
      </c>
      <c r="J943">
        <f t="shared" si="127"/>
        <v>2.4064411159887663E-2</v>
      </c>
      <c r="K943">
        <v>7.429711784341651E-3</v>
      </c>
      <c r="L943">
        <v>3.7238485619436323E-2</v>
      </c>
      <c r="N943" s="1">
        <v>1.78963E-5</v>
      </c>
      <c r="O943">
        <f t="shared" si="128"/>
        <v>7.429711784341651E-3</v>
      </c>
      <c r="Q943" s="1">
        <v>1.78963E-5</v>
      </c>
      <c r="R943">
        <f t="shared" si="129"/>
        <v>3.7238485619436323E-2</v>
      </c>
      <c r="CH943" s="1">
        <v>1.6566600000000002E-5</v>
      </c>
      <c r="CI943">
        <v>20.789899999999999</v>
      </c>
      <c r="CJ943">
        <f t="shared" si="130"/>
        <v>1615.7703417215769</v>
      </c>
      <c r="CL943" s="1">
        <v>1.6566600000000002E-5</v>
      </c>
      <c r="CM943">
        <v>3.0269999999999998E-2</v>
      </c>
      <c r="CN943">
        <f t="shared" si="131"/>
        <v>2.3525542808725453</v>
      </c>
    </row>
    <row r="944" spans="4:92" x14ac:dyDescent="0.35">
      <c r="D944" s="1">
        <v>1.8128E-5</v>
      </c>
      <c r="E944">
        <v>13.555300000000001</v>
      </c>
      <c r="F944">
        <v>1.53464</v>
      </c>
      <c r="G944">
        <v>11.436400000000001</v>
      </c>
      <c r="I944" s="1">
        <v>1.8128E-5</v>
      </c>
      <c r="J944">
        <f t="shared" si="127"/>
        <v>2.4058554171937016E-2</v>
      </c>
      <c r="K944">
        <v>8.144703192126743E-3</v>
      </c>
      <c r="L944">
        <v>3.759914334608682E-2</v>
      </c>
      <c r="N944" s="1">
        <v>1.8128E-5</v>
      </c>
      <c r="O944">
        <f t="shared" si="128"/>
        <v>8.144703192126743E-3</v>
      </c>
      <c r="Q944" s="1">
        <v>1.8128E-5</v>
      </c>
      <c r="R944">
        <f t="shared" si="129"/>
        <v>3.759914334608682E-2</v>
      </c>
      <c r="CH944" s="1">
        <v>1.6781200000000001E-5</v>
      </c>
      <c r="CI944">
        <v>19.311199999999999</v>
      </c>
      <c r="CJ944">
        <f t="shared" si="130"/>
        <v>1500.8472490514007</v>
      </c>
      <c r="CL944" s="1">
        <v>1.6781200000000001E-5</v>
      </c>
      <c r="CM944">
        <v>2.8340000000000001E-2</v>
      </c>
      <c r="CN944">
        <f t="shared" si="131"/>
        <v>2.2025566012529878</v>
      </c>
    </row>
    <row r="945" spans="4:92" x14ac:dyDescent="0.35">
      <c r="D945" s="1">
        <v>1.83628E-5</v>
      </c>
      <c r="E945">
        <v>13.7658</v>
      </c>
      <c r="F945">
        <v>1.4780199999999999</v>
      </c>
      <c r="G945">
        <v>11.3413</v>
      </c>
      <c r="I945" s="1">
        <v>1.83628E-5</v>
      </c>
      <c r="J945">
        <f t="shared" si="127"/>
        <v>2.443215900939489E-2</v>
      </c>
      <c r="K945">
        <v>7.8442072486232407E-3</v>
      </c>
      <c r="L945">
        <v>3.7286485645043409E-2</v>
      </c>
      <c r="N945" s="1">
        <v>1.83628E-5</v>
      </c>
      <c r="O945">
        <f t="shared" si="128"/>
        <v>7.8442072486232407E-3</v>
      </c>
      <c r="Q945" s="1">
        <v>1.83628E-5</v>
      </c>
      <c r="R945">
        <f t="shared" si="129"/>
        <v>3.7286485645043409E-2</v>
      </c>
      <c r="CH945" s="1">
        <v>1.69985E-5</v>
      </c>
      <c r="CI945">
        <v>20.432099999999998</v>
      </c>
      <c r="CJ945">
        <f t="shared" si="130"/>
        <v>1587.9624817382203</v>
      </c>
      <c r="CL945" s="1">
        <v>1.69985E-5</v>
      </c>
      <c r="CM945">
        <v>2.3470000000000001E-2</v>
      </c>
      <c r="CN945">
        <f t="shared" si="131"/>
        <v>1.8240650469798032</v>
      </c>
    </row>
    <row r="946" spans="4:92" x14ac:dyDescent="0.35">
      <c r="D946" s="1">
        <v>1.8600599999999999E-5</v>
      </c>
      <c r="E946">
        <v>13.5367</v>
      </c>
      <c r="F946">
        <v>1.4903</v>
      </c>
      <c r="G946">
        <v>11.721299999999999</v>
      </c>
      <c r="I946" s="1">
        <v>1.8600599999999999E-5</v>
      </c>
      <c r="J946">
        <f t="shared" si="127"/>
        <v>2.4025542058033374E-2</v>
      </c>
      <c r="K946">
        <v>7.9093801590122016E-3</v>
      </c>
      <c r="L946">
        <v>3.8535801380022328E-2</v>
      </c>
      <c r="N946" s="1">
        <v>1.8600599999999999E-5</v>
      </c>
      <c r="O946">
        <f t="shared" si="128"/>
        <v>7.9093801590122016E-3</v>
      </c>
      <c r="Q946" s="1">
        <v>1.8600599999999999E-5</v>
      </c>
      <c r="R946">
        <f t="shared" si="129"/>
        <v>3.8535801380022328E-2</v>
      </c>
      <c r="CH946" s="1">
        <v>1.7218600000000001E-5</v>
      </c>
      <c r="CI946">
        <v>20.763999999999999</v>
      </c>
      <c r="CJ946">
        <f t="shared" si="130"/>
        <v>1613.7574194924853</v>
      </c>
      <c r="CL946" s="1">
        <v>1.7218600000000001E-5</v>
      </c>
      <c r="CM946">
        <v>2.741E-2</v>
      </c>
      <c r="CN946">
        <f t="shared" si="131"/>
        <v>2.1302779266176568</v>
      </c>
    </row>
    <row r="947" spans="4:92" x14ac:dyDescent="0.35">
      <c r="D947" s="1">
        <v>1.8841499999999999E-5</v>
      </c>
      <c r="E947">
        <v>13.768000000000001</v>
      </c>
      <c r="F947">
        <v>1.48824</v>
      </c>
      <c r="G947">
        <v>11.488799999999999</v>
      </c>
      <c r="I947" s="1">
        <v>1.8841499999999999E-5</v>
      </c>
      <c r="J947">
        <f t="shared" si="127"/>
        <v>2.4436063668028658E-2</v>
      </c>
      <c r="K947">
        <v>7.8984472440772457E-3</v>
      </c>
      <c r="L947">
        <v>3.7771417410594435E-2</v>
      </c>
      <c r="N947" s="1">
        <v>1.8841499999999999E-5</v>
      </c>
      <c r="O947">
        <f t="shared" si="128"/>
        <v>7.8984472440772457E-3</v>
      </c>
      <c r="Q947" s="1">
        <v>1.8841499999999999E-5</v>
      </c>
      <c r="R947">
        <f t="shared" si="129"/>
        <v>3.7771417410594435E-2</v>
      </c>
      <c r="CH947" s="1">
        <v>1.7441599999999999E-5</v>
      </c>
      <c r="CI947">
        <v>20.196999999999999</v>
      </c>
      <c r="CJ947">
        <f t="shared" si="130"/>
        <v>1569.6907436664287</v>
      </c>
      <c r="CL947" s="1">
        <v>1.7441599999999999E-5</v>
      </c>
      <c r="CM947">
        <v>3.2710000000000003E-2</v>
      </c>
      <c r="CN947">
        <f t="shared" si="131"/>
        <v>2.5421886530340592</v>
      </c>
    </row>
    <row r="948" spans="4:92" x14ac:dyDescent="0.35">
      <c r="D948" s="1">
        <v>1.9085499999999999E-5</v>
      </c>
      <c r="E948">
        <v>13.719099999999999</v>
      </c>
      <c r="F948">
        <v>1.0069600000000001</v>
      </c>
      <c r="G948">
        <v>11.5261</v>
      </c>
      <c r="I948" s="1">
        <v>1.9085499999999999E-5</v>
      </c>
      <c r="J948">
        <f t="shared" si="127"/>
        <v>2.4349273755669081E-2</v>
      </c>
      <c r="K948">
        <v>5.3441786518948712E-3</v>
      </c>
      <c r="L948">
        <v>3.789404761300158E-2</v>
      </c>
      <c r="N948" s="1">
        <v>1.9085499999999999E-5</v>
      </c>
      <c r="O948">
        <f t="shared" si="128"/>
        <v>5.3441786518948712E-3</v>
      </c>
      <c r="Q948" s="1">
        <v>1.9085499999999999E-5</v>
      </c>
      <c r="R948">
        <f t="shared" si="129"/>
        <v>3.789404761300158E-2</v>
      </c>
      <c r="CH948" s="1">
        <v>1.76675E-5</v>
      </c>
      <c r="CI948">
        <v>20.549299999999999</v>
      </c>
      <c r="CJ948">
        <f t="shared" si="130"/>
        <v>1597.0711491223717</v>
      </c>
      <c r="CL948" s="1">
        <v>1.76675E-5</v>
      </c>
      <c r="CM948">
        <v>2.8889999999999999E-2</v>
      </c>
      <c r="CN948">
        <f t="shared" si="131"/>
        <v>2.2453020539943123</v>
      </c>
    </row>
    <row r="949" spans="4:92" x14ac:dyDescent="0.35">
      <c r="D949" s="1">
        <v>1.9332599999999999E-5</v>
      </c>
      <c r="E949">
        <v>13.3962</v>
      </c>
      <c r="F949">
        <v>1.30616</v>
      </c>
      <c r="G949">
        <v>11.3713</v>
      </c>
      <c r="I949" s="1">
        <v>1.9332599999999999E-5</v>
      </c>
      <c r="J949">
        <f t="shared" si="127"/>
        <v>2.3776176358922534E-2</v>
      </c>
      <c r="K949">
        <v>6.9321049375933559E-3</v>
      </c>
      <c r="L949">
        <v>3.7385115834647008E-2</v>
      </c>
      <c r="N949" s="1">
        <v>1.9332599999999999E-5</v>
      </c>
      <c r="O949">
        <f t="shared" si="128"/>
        <v>6.9321049375933559E-3</v>
      </c>
      <c r="Q949" s="1">
        <v>1.9332599999999999E-5</v>
      </c>
      <c r="R949">
        <f t="shared" si="129"/>
        <v>3.7385115834647008E-2</v>
      </c>
      <c r="CH949" s="1">
        <v>1.78963E-5</v>
      </c>
      <c r="CI949">
        <v>20.6219</v>
      </c>
      <c r="CJ949">
        <f t="shared" si="130"/>
        <v>1602.7135488842268</v>
      </c>
      <c r="CL949" s="1">
        <v>1.78963E-5</v>
      </c>
      <c r="CM949">
        <v>3.0380000000000001E-2</v>
      </c>
      <c r="CN949">
        <f t="shared" si="131"/>
        <v>2.3611033714208105</v>
      </c>
    </row>
    <row r="950" spans="4:92" x14ac:dyDescent="0.35">
      <c r="D950" s="1">
        <v>1.9582999999999999E-5</v>
      </c>
      <c r="E950">
        <v>13.698499999999999</v>
      </c>
      <c r="F950">
        <v>1.7064699999999999</v>
      </c>
      <c r="G950">
        <v>11.730600000000001</v>
      </c>
      <c r="I950" s="1">
        <v>1.9582999999999999E-5</v>
      </c>
      <c r="J950">
        <f t="shared" si="127"/>
        <v>2.431271195209838E-2</v>
      </c>
      <c r="K950">
        <v>9.0566462859488373E-3</v>
      </c>
      <c r="L950">
        <v>3.8566376738799452E-2</v>
      </c>
      <c r="N950" s="1">
        <v>1.9582999999999999E-5</v>
      </c>
      <c r="O950">
        <f t="shared" si="128"/>
        <v>9.0566462859488373E-3</v>
      </c>
      <c r="Q950" s="1">
        <v>1.9582999999999999E-5</v>
      </c>
      <c r="R950">
        <f t="shared" si="129"/>
        <v>3.8566376738799452E-2</v>
      </c>
      <c r="CH950" s="1">
        <v>1.8128E-5</v>
      </c>
      <c r="CI950">
        <v>20.338999999999999</v>
      </c>
      <c r="CJ950">
        <f t="shared" si="130"/>
        <v>1580.7268423741889</v>
      </c>
      <c r="CL950" s="1">
        <v>1.8128E-5</v>
      </c>
      <c r="CM950">
        <v>2.495E-2</v>
      </c>
      <c r="CN950">
        <f t="shared" si="131"/>
        <v>1.9390891743564587</v>
      </c>
    </row>
    <row r="951" spans="4:92" x14ac:dyDescent="0.35">
      <c r="D951" s="1">
        <v>1.9836599999999999E-5</v>
      </c>
      <c r="E951">
        <v>13.773199999999999</v>
      </c>
      <c r="F951">
        <v>1.6867399999999999</v>
      </c>
      <c r="G951">
        <v>11.588699999999999</v>
      </c>
      <c r="I951" s="1">
        <v>1.9836599999999999E-5</v>
      </c>
      <c r="J951">
        <f t="shared" si="127"/>
        <v>2.4445292861163006E-2</v>
      </c>
      <c r="K951">
        <v>8.9519344356252042E-3</v>
      </c>
      <c r="L951">
        <v>3.8099855941974424E-2</v>
      </c>
      <c r="N951" s="1">
        <v>1.9836599999999999E-5</v>
      </c>
      <c r="O951">
        <f t="shared" si="128"/>
        <v>8.9519344356252042E-3</v>
      </c>
      <c r="Q951" s="1">
        <v>1.9836599999999999E-5</v>
      </c>
      <c r="R951">
        <f t="shared" si="129"/>
        <v>3.8099855941974424E-2</v>
      </c>
      <c r="CH951" s="1">
        <v>1.83628E-5</v>
      </c>
      <c r="CI951">
        <v>21.734300000000001</v>
      </c>
      <c r="CJ951">
        <f t="shared" si="130"/>
        <v>1689.1681700286806</v>
      </c>
      <c r="CL951" s="1">
        <v>1.83628E-5</v>
      </c>
      <c r="CM951">
        <v>2.6919999999999999E-2</v>
      </c>
      <c r="CN951">
        <f t="shared" si="131"/>
        <v>2.0921956141753855</v>
      </c>
    </row>
    <row r="952" spans="4:92" x14ac:dyDescent="0.35">
      <c r="D952" s="1">
        <v>2.00935E-5</v>
      </c>
      <c r="E952">
        <v>14.036099999999999</v>
      </c>
      <c r="F952">
        <v>1.59466</v>
      </c>
      <c r="G952">
        <v>12.0075</v>
      </c>
      <c r="I952" s="1">
        <v>2.00935E-5</v>
      </c>
      <c r="J952">
        <f t="shared" si="127"/>
        <v>2.4911899567897806E-2</v>
      </c>
      <c r="K952">
        <v>8.4632437525131842E-3</v>
      </c>
      <c r="L952">
        <v>3.9476733388840675E-2</v>
      </c>
      <c r="N952" s="1">
        <v>2.00935E-5</v>
      </c>
      <c r="O952">
        <f t="shared" si="128"/>
        <v>8.4632437525131842E-3</v>
      </c>
      <c r="Q952" s="1">
        <v>2.00935E-5</v>
      </c>
      <c r="R952">
        <f t="shared" si="129"/>
        <v>3.9476733388840675E-2</v>
      </c>
      <c r="CH952" s="1">
        <v>1.8600599999999999E-5</v>
      </c>
      <c r="CI952">
        <v>21.6875</v>
      </c>
      <c r="CJ952">
        <f t="shared" si="130"/>
        <v>1685.5309205954188</v>
      </c>
      <c r="CL952" s="1">
        <v>1.8600599999999999E-5</v>
      </c>
      <c r="CM952">
        <v>2.5149999999999999E-2</v>
      </c>
      <c r="CN952">
        <f t="shared" si="131"/>
        <v>1.954632975353304</v>
      </c>
    </row>
    <row r="953" spans="4:92" x14ac:dyDescent="0.35">
      <c r="D953" s="1">
        <v>2.0353700000000001E-5</v>
      </c>
      <c r="E953">
        <v>13.491400000000001</v>
      </c>
      <c r="F953">
        <v>0.85076399999999996</v>
      </c>
      <c r="G953">
        <v>10.778700000000001</v>
      </c>
      <c r="I953" s="1">
        <v>2.0353700000000001E-5</v>
      </c>
      <c r="J953">
        <f t="shared" si="127"/>
        <v>2.3945141587074503E-2</v>
      </c>
      <c r="K953">
        <v>4.5152089522927314E-3</v>
      </c>
      <c r="L953">
        <v>3.5436840822677243E-2</v>
      </c>
      <c r="N953" s="1">
        <v>2.0353700000000001E-5</v>
      </c>
      <c r="O953">
        <f t="shared" si="128"/>
        <v>4.5152089522927314E-3</v>
      </c>
      <c r="Q953" s="1">
        <v>2.0353700000000001E-5</v>
      </c>
      <c r="R953">
        <f t="shared" si="129"/>
        <v>3.5436840822677243E-2</v>
      </c>
      <c r="CH953" s="1">
        <v>1.8841499999999999E-5</v>
      </c>
      <c r="CI953">
        <v>19.897400000000001</v>
      </c>
      <c r="CJ953">
        <f t="shared" si="130"/>
        <v>1546.4061297731546</v>
      </c>
      <c r="CL953" s="1">
        <v>1.8841499999999999E-5</v>
      </c>
      <c r="CM953">
        <v>3.5090000000000003E-2</v>
      </c>
      <c r="CN953">
        <f t="shared" si="131"/>
        <v>2.7271598848965186</v>
      </c>
    </row>
    <row r="954" spans="4:92" x14ac:dyDescent="0.35">
      <c r="D954" s="1">
        <v>2.06173E-5</v>
      </c>
      <c r="E954">
        <v>12.1197</v>
      </c>
      <c r="F954">
        <v>7.0971800000000002E-2</v>
      </c>
      <c r="G954">
        <v>8.0997500000000002</v>
      </c>
      <c r="I954" s="1">
        <v>2.06173E-5</v>
      </c>
      <c r="J954">
        <f t="shared" si="127"/>
        <v>2.1510586928922638E-2</v>
      </c>
      <c r="K954">
        <v>3.7666439426248553E-4</v>
      </c>
      <c r="L954">
        <v>2.6629329274725149E-2</v>
      </c>
      <c r="N954" s="1">
        <v>2.06173E-5</v>
      </c>
      <c r="O954">
        <f t="shared" si="128"/>
        <v>3.7666439426248553E-4</v>
      </c>
      <c r="Q954" s="1">
        <v>2.06173E-5</v>
      </c>
      <c r="R954">
        <f t="shared" si="129"/>
        <v>2.6629329274725149E-2</v>
      </c>
      <c r="CH954" s="1">
        <v>1.9085499999999999E-5</v>
      </c>
      <c r="CI954">
        <v>19.639700000000001</v>
      </c>
      <c r="CJ954">
        <f t="shared" si="130"/>
        <v>1526.3779421887193</v>
      </c>
      <c r="CL954" s="1">
        <v>1.9085499999999999E-5</v>
      </c>
      <c r="CM954">
        <v>2.7140000000000001E-2</v>
      </c>
      <c r="CN954">
        <f t="shared" si="131"/>
        <v>2.1092937952719155</v>
      </c>
    </row>
    <row r="955" spans="4:92" x14ac:dyDescent="0.35">
      <c r="D955" s="1">
        <v>2.0884299999999999E-5</v>
      </c>
      <c r="E955">
        <v>12.3353</v>
      </c>
      <c r="F955">
        <v>9.6369999999999997E-2</v>
      </c>
      <c r="G955">
        <v>8.2668400000000002</v>
      </c>
      <c r="I955" s="1">
        <v>2.0884299999999999E-5</v>
      </c>
      <c r="J955">
        <f t="shared" si="127"/>
        <v>2.189324347503151E-2</v>
      </c>
      <c r="K955">
        <v>5.114587438260793E-4</v>
      </c>
      <c r="L955">
        <v>2.7178666554087329E-2</v>
      </c>
      <c r="N955" s="1">
        <v>2.0884299999999999E-5</v>
      </c>
      <c r="O955">
        <f t="shared" si="128"/>
        <v>5.114587438260793E-4</v>
      </c>
      <c r="Q955" s="1">
        <v>2.0884299999999999E-5</v>
      </c>
      <c r="R955">
        <f t="shared" si="129"/>
        <v>2.7178666554087329E-2</v>
      </c>
      <c r="CH955" s="1">
        <v>1.9332599999999999E-5</v>
      </c>
      <c r="CI955">
        <v>19.819500000000001</v>
      </c>
      <c r="CJ955">
        <f t="shared" si="130"/>
        <v>1540.3518192848833</v>
      </c>
      <c r="CL955" s="1">
        <v>1.9332599999999999E-5</v>
      </c>
      <c r="CM955">
        <v>2.9700000000000001E-2</v>
      </c>
      <c r="CN955">
        <f t="shared" si="131"/>
        <v>2.3082544480315361</v>
      </c>
    </row>
    <row r="956" spans="4:92" x14ac:dyDescent="0.35">
      <c r="D956" s="1">
        <v>2.1154699999999999E-5</v>
      </c>
      <c r="E956">
        <v>13.504300000000001</v>
      </c>
      <c r="F956">
        <v>1.05047</v>
      </c>
      <c r="G956">
        <v>10.902900000000001</v>
      </c>
      <c r="I956" s="1">
        <v>2.1154699999999999E-5</v>
      </c>
      <c r="J956">
        <f t="shared" si="127"/>
        <v>2.3968037085427035E-2</v>
      </c>
      <c r="K956">
        <v>5.5750966755938724E-3</v>
      </c>
      <c r="L956">
        <v>3.5845169807636142E-2</v>
      </c>
      <c r="N956" s="1">
        <v>2.1154699999999999E-5</v>
      </c>
      <c r="O956">
        <f t="shared" si="128"/>
        <v>5.5750966755938724E-3</v>
      </c>
      <c r="Q956" s="1">
        <v>2.1154699999999999E-5</v>
      </c>
      <c r="R956">
        <f t="shared" si="129"/>
        <v>3.5845169807636142E-2</v>
      </c>
      <c r="CH956" s="1">
        <v>1.9582999999999999E-5</v>
      </c>
      <c r="CI956">
        <v>21.0185</v>
      </c>
      <c r="CJ956">
        <f t="shared" si="130"/>
        <v>1633.5369062609711</v>
      </c>
      <c r="CL956" s="1">
        <v>1.9582999999999999E-5</v>
      </c>
      <c r="CM956">
        <v>2.53E-2</v>
      </c>
      <c r="CN956">
        <f t="shared" si="131"/>
        <v>1.9662908261009382</v>
      </c>
    </row>
    <row r="957" spans="4:92" x14ac:dyDescent="0.35">
      <c r="D957" s="1">
        <v>2.14287E-5</v>
      </c>
      <c r="E957">
        <v>13.8262</v>
      </c>
      <c r="F957">
        <v>1.9571799999999999</v>
      </c>
      <c r="G957">
        <v>11.9345</v>
      </c>
      <c r="I957" s="1">
        <v>2.14287E-5</v>
      </c>
      <c r="J957">
        <f t="shared" si="127"/>
        <v>2.4539359637340049E-2</v>
      </c>
      <c r="K957">
        <v>1.0387224491455077E-2</v>
      </c>
      <c r="L957">
        <v>3.9236733260805248E-2</v>
      </c>
      <c r="N957" s="1">
        <v>2.14287E-5</v>
      </c>
      <c r="O957">
        <f t="shared" si="128"/>
        <v>1.0387224491455077E-2</v>
      </c>
      <c r="Q957" s="1">
        <v>2.14287E-5</v>
      </c>
      <c r="R957">
        <f t="shared" si="129"/>
        <v>3.9236733260805248E-2</v>
      </c>
      <c r="CH957" s="1">
        <v>1.9836599999999999E-5</v>
      </c>
      <c r="CI957">
        <v>21.1662</v>
      </c>
      <c r="CJ957">
        <f t="shared" si="130"/>
        <v>1645.0160032971414</v>
      </c>
      <c r="CL957" s="1">
        <v>1.9836599999999999E-5</v>
      </c>
      <c r="CM957">
        <v>2.8740000000000002E-2</v>
      </c>
      <c r="CN957">
        <f t="shared" si="131"/>
        <v>2.2336442032466786</v>
      </c>
    </row>
    <row r="958" spans="4:92" x14ac:dyDescent="0.35">
      <c r="D958" s="1">
        <v>2.1706199999999999E-5</v>
      </c>
      <c r="E958">
        <v>13.862299999999999</v>
      </c>
      <c r="F958">
        <v>2.2333400000000001</v>
      </c>
      <c r="G958">
        <v>12.4009</v>
      </c>
      <c r="I958" s="1">
        <v>2.1706199999999999E-5</v>
      </c>
      <c r="J958">
        <f t="shared" si="127"/>
        <v>2.4603431535830448E-2</v>
      </c>
      <c r="K958">
        <v>1.1852871961570362E-2</v>
      </c>
      <c r="L958">
        <v>4.0770103941842536E-2</v>
      </c>
      <c r="N958" s="1">
        <v>2.1706199999999999E-5</v>
      </c>
      <c r="O958">
        <f t="shared" si="128"/>
        <v>1.1852871961570362E-2</v>
      </c>
      <c r="Q958" s="1">
        <v>2.1706199999999999E-5</v>
      </c>
      <c r="R958">
        <f t="shared" si="129"/>
        <v>4.0770103941842536E-2</v>
      </c>
      <c r="CH958" s="1">
        <v>2.00935E-5</v>
      </c>
      <c r="CI958">
        <v>21.738800000000001</v>
      </c>
      <c r="CJ958">
        <f t="shared" si="130"/>
        <v>1689.5179055511098</v>
      </c>
      <c r="CL958" s="1">
        <v>2.00935E-5</v>
      </c>
      <c r="CM958">
        <v>2.1919999999999999E-2</v>
      </c>
      <c r="CN958">
        <f t="shared" si="131"/>
        <v>1.7036005892542514</v>
      </c>
    </row>
    <row r="959" spans="4:92" x14ac:dyDescent="0.35">
      <c r="D959" s="1">
        <v>2.1987299999999999E-5</v>
      </c>
      <c r="E959">
        <v>14.146599999999999</v>
      </c>
      <c r="F959">
        <v>2.3760699999999999</v>
      </c>
      <c r="G959">
        <v>12.383699999999999</v>
      </c>
      <c r="I959" s="1">
        <v>2.1987299999999999E-5</v>
      </c>
      <c r="J959">
        <f t="shared" si="127"/>
        <v>2.5108019922002772E-2</v>
      </c>
      <c r="K959">
        <v>1.2610374363835553E-2</v>
      </c>
      <c r="L959">
        <v>4.0713555966469805E-2</v>
      </c>
      <c r="N959" s="1">
        <v>2.1987299999999999E-5</v>
      </c>
      <c r="O959">
        <f t="shared" si="128"/>
        <v>1.2610374363835553E-2</v>
      </c>
      <c r="Q959" s="1">
        <v>2.1987299999999999E-5</v>
      </c>
      <c r="R959">
        <f t="shared" si="129"/>
        <v>4.0713555966469805E-2</v>
      </c>
      <c r="CH959" s="1">
        <v>2.0353700000000001E-5</v>
      </c>
      <c r="CI959">
        <v>19.735499999999998</v>
      </c>
      <c r="CJ959">
        <f t="shared" si="130"/>
        <v>1533.8234228662079</v>
      </c>
      <c r="CL959" s="1">
        <v>2.0353700000000001E-5</v>
      </c>
      <c r="CM959">
        <v>2.988E-2</v>
      </c>
      <c r="CN959">
        <f t="shared" si="131"/>
        <v>2.3222438689286968</v>
      </c>
    </row>
    <row r="960" spans="4:92" x14ac:dyDescent="0.35">
      <c r="D960" s="1">
        <v>2.2272E-5</v>
      </c>
      <c r="E960">
        <v>14.1403</v>
      </c>
      <c r="F960">
        <v>2.3564400000000001</v>
      </c>
      <c r="G960">
        <v>12.607100000000001</v>
      </c>
      <c r="I960" s="1">
        <v>2.2272E-5</v>
      </c>
      <c r="J960">
        <f t="shared" si="127"/>
        <v>2.5096838399551537E-2</v>
      </c>
      <c r="K960">
        <v>1.2506193237537889E-2</v>
      </c>
      <c r="L960">
        <v>4.1448022111717941E-2</v>
      </c>
      <c r="N960" s="1">
        <v>2.2272E-5</v>
      </c>
      <c r="O960">
        <f t="shared" si="128"/>
        <v>1.2506193237537889E-2</v>
      </c>
      <c r="Q960" s="1">
        <v>2.2272E-5</v>
      </c>
      <c r="R960">
        <f t="shared" si="129"/>
        <v>4.1448022111717941E-2</v>
      </c>
      <c r="CH960" s="1">
        <v>2.06173E-5</v>
      </c>
      <c r="CI960">
        <v>15.0946</v>
      </c>
      <c r="CJ960">
        <f t="shared" si="130"/>
        <v>1173.13729263491</v>
      </c>
      <c r="CL960" s="1">
        <v>2.06173E-5</v>
      </c>
      <c r="CM960">
        <v>3.669E-2</v>
      </c>
      <c r="CN960">
        <f t="shared" si="131"/>
        <v>2.8515102928712817</v>
      </c>
    </row>
    <row r="961" spans="4:92" x14ac:dyDescent="0.35">
      <c r="D961" s="1">
        <v>2.2560399999999998E-5</v>
      </c>
      <c r="E961">
        <v>13.7951</v>
      </c>
      <c r="F961">
        <v>2.4208400000000001</v>
      </c>
      <c r="G961">
        <v>12.516500000000001</v>
      </c>
      <c r="I961" s="1">
        <v>2.2560399999999998E-5</v>
      </c>
      <c r="J961">
        <f t="shared" si="127"/>
        <v>2.4484161963017292E-2</v>
      </c>
      <c r="K961">
        <v>1.2847979510261759E-2</v>
      </c>
      <c r="L961">
        <v>4.1150158939115083E-2</v>
      </c>
      <c r="N961" s="1">
        <v>2.2560399999999998E-5</v>
      </c>
      <c r="O961">
        <f t="shared" si="128"/>
        <v>1.2847979510261759E-2</v>
      </c>
      <c r="Q961" s="1">
        <v>2.2560399999999998E-5</v>
      </c>
      <c r="R961">
        <f t="shared" si="129"/>
        <v>4.1150158939115083E-2</v>
      </c>
      <c r="CH961" s="1">
        <v>2.0884299999999999E-5</v>
      </c>
      <c r="CI961">
        <v>15.406700000000001</v>
      </c>
      <c r="CJ961">
        <f t="shared" si="130"/>
        <v>1197.3933940904872</v>
      </c>
      <c r="CL961" s="1">
        <v>2.0884299999999999E-5</v>
      </c>
      <c r="CM961">
        <v>3.5630000000000002E-2</v>
      </c>
      <c r="CN961">
        <f t="shared" si="131"/>
        <v>2.7691281475880012</v>
      </c>
    </row>
    <row r="962" spans="4:92" x14ac:dyDescent="0.35">
      <c r="D962" s="1">
        <v>2.2852599999999999E-5</v>
      </c>
      <c r="E962">
        <v>14.1158</v>
      </c>
      <c r="F962">
        <v>2.3970199999999999</v>
      </c>
      <c r="G962">
        <v>12.540100000000001</v>
      </c>
      <c r="I962" s="1">
        <v>2.2852599999999999E-5</v>
      </c>
      <c r="J962">
        <f t="shared" si="127"/>
        <v>2.5053354701130078E-2</v>
      </c>
      <c r="K962">
        <v>1.2721561047276005E-2</v>
      </c>
      <c r="L962">
        <v>4.1227748021603242E-2</v>
      </c>
      <c r="N962" s="1">
        <v>2.2852599999999999E-5</v>
      </c>
      <c r="O962">
        <f t="shared" si="128"/>
        <v>1.2721561047276005E-2</v>
      </c>
      <c r="Q962" s="1">
        <v>2.2852599999999999E-5</v>
      </c>
      <c r="R962">
        <f t="shared" si="129"/>
        <v>4.1227748021603242E-2</v>
      </c>
      <c r="CH962" s="1">
        <v>2.1154699999999999E-5</v>
      </c>
      <c r="CI962">
        <v>21.001799999999999</v>
      </c>
      <c r="CJ962">
        <f t="shared" si="130"/>
        <v>1632.2389988777345</v>
      </c>
      <c r="CL962" s="1">
        <v>2.1154699999999999E-5</v>
      </c>
      <c r="CM962">
        <v>2.546E-2</v>
      </c>
      <c r="CN962">
        <f t="shared" si="131"/>
        <v>1.9787258668984145</v>
      </c>
    </row>
    <row r="963" spans="4:92" x14ac:dyDescent="0.35">
      <c r="D963" s="1">
        <v>2.3148600000000001E-5</v>
      </c>
      <c r="E963">
        <v>13.912800000000001</v>
      </c>
      <c r="F963">
        <v>2.35155</v>
      </c>
      <c r="G963">
        <v>11.980600000000001</v>
      </c>
      <c r="I963" s="1">
        <v>2.3148600000000001E-5</v>
      </c>
      <c r="J963">
        <f t="shared" si="127"/>
        <v>2.469306119992367E-2</v>
      </c>
      <c r="K963">
        <v>1.2480240832668014E-2</v>
      </c>
      <c r="L963">
        <v>3.9388294985496113E-2</v>
      </c>
      <c r="N963" s="1">
        <v>2.3148600000000001E-5</v>
      </c>
      <c r="O963">
        <f t="shared" si="128"/>
        <v>1.2480240832668014E-2</v>
      </c>
      <c r="Q963" s="1">
        <v>2.3148600000000001E-5</v>
      </c>
      <c r="R963">
        <f t="shared" si="129"/>
        <v>3.9388294985496113E-2</v>
      </c>
      <c r="CH963" s="1">
        <v>2.14287E-5</v>
      </c>
      <c r="CI963">
        <v>22.729399999999998</v>
      </c>
      <c r="CJ963">
        <f t="shared" si="130"/>
        <v>1766.5063518884847</v>
      </c>
      <c r="CL963" s="1">
        <v>2.14287E-5</v>
      </c>
      <c r="CM963">
        <v>3.04E-2</v>
      </c>
      <c r="CN963">
        <f t="shared" si="131"/>
        <v>2.3626577515204947</v>
      </c>
    </row>
    <row r="964" spans="4:92" x14ac:dyDescent="0.35">
      <c r="D964" s="1">
        <v>2.34483E-5</v>
      </c>
      <c r="E964">
        <v>13.688499999999999</v>
      </c>
      <c r="F964">
        <v>2.34605</v>
      </c>
      <c r="G964">
        <v>12.369899999999999</v>
      </c>
      <c r="I964" s="1">
        <v>2.34483E-5</v>
      </c>
      <c r="J964">
        <f t="shared" ref="J964:J1027" si="132">E964/SUM($E$3:$E$2002)/$C$3</f>
        <v>2.429496350376309E-2</v>
      </c>
      <c r="K964">
        <v>1.2451051011239736E-2</v>
      </c>
      <c r="L964">
        <v>4.0668186079252149E-2</v>
      </c>
      <c r="N964" s="1">
        <v>2.34483E-5</v>
      </c>
      <c r="O964">
        <f t="shared" ref="O964:O1027" si="133">F964/SUM($F$3:$F$2002)/$C$3</f>
        <v>1.2451051011239736E-2</v>
      </c>
      <c r="Q964" s="1">
        <v>2.34483E-5</v>
      </c>
      <c r="R964">
        <f t="shared" ref="R964:R1027" si="134">G964/SUM($G$3:$G$2002)/$C$3</f>
        <v>4.0668186079252149E-2</v>
      </c>
      <c r="CH964" s="1">
        <v>2.1706199999999999E-5</v>
      </c>
      <c r="CI964">
        <v>22.8948</v>
      </c>
      <c r="CJ964">
        <f t="shared" si="130"/>
        <v>1779.3610753128758</v>
      </c>
      <c r="CL964" s="1">
        <v>2.1706199999999999E-5</v>
      </c>
      <c r="CM964">
        <v>2.801E-2</v>
      </c>
      <c r="CN964">
        <f t="shared" si="131"/>
        <v>2.1769093296081929</v>
      </c>
    </row>
    <row r="965" spans="4:92" x14ac:dyDescent="0.35">
      <c r="D965" s="1">
        <v>2.3751999999999999E-5</v>
      </c>
      <c r="E965">
        <v>13.639200000000001</v>
      </c>
      <c r="F965">
        <v>2.6715399999999998</v>
      </c>
      <c r="G965">
        <v>12.0433</v>
      </c>
      <c r="I965" s="1">
        <v>2.3751999999999999E-5</v>
      </c>
      <c r="J965">
        <f t="shared" si="132"/>
        <v>2.420746365347011E-2</v>
      </c>
      <c r="K965">
        <v>1.4178504643365401E-2</v>
      </c>
      <c r="L965">
        <v>3.9594432081767633E-2</v>
      </c>
      <c r="N965" s="1">
        <v>2.3751999999999999E-5</v>
      </c>
      <c r="O965">
        <f t="shared" si="133"/>
        <v>1.4178504643365401E-2</v>
      </c>
      <c r="Q965" s="1">
        <v>2.3751999999999999E-5</v>
      </c>
      <c r="R965">
        <f t="shared" si="134"/>
        <v>3.9594432081767633E-2</v>
      </c>
      <c r="CH965" s="1">
        <v>2.1987299999999999E-5</v>
      </c>
      <c r="CI965">
        <v>22.907800000000002</v>
      </c>
      <c r="CJ965">
        <f t="shared" si="130"/>
        <v>1780.3714223776708</v>
      </c>
      <c r="CL965" s="1">
        <v>2.1987299999999999E-5</v>
      </c>
      <c r="CM965">
        <v>2.5700000000000001E-2</v>
      </c>
      <c r="CN965">
        <f t="shared" si="131"/>
        <v>1.997378428094629</v>
      </c>
    </row>
    <row r="966" spans="4:92" x14ac:dyDescent="0.35">
      <c r="D966" s="1">
        <v>2.4059599999999999E-5</v>
      </c>
      <c r="E966">
        <v>13.549099999999999</v>
      </c>
      <c r="F966">
        <v>2.49926</v>
      </c>
      <c r="G966">
        <v>12.163500000000001</v>
      </c>
      <c r="I966" s="1">
        <v>2.4059599999999999E-5</v>
      </c>
      <c r="J966">
        <f t="shared" si="132"/>
        <v>2.4047550133969132E-2</v>
      </c>
      <c r="K966">
        <v>1.326417329142645E-2</v>
      </c>
      <c r="L966">
        <v>3.998961037477939E-2</v>
      </c>
      <c r="N966" s="1">
        <v>2.4059599999999999E-5</v>
      </c>
      <c r="O966">
        <f t="shared" si="133"/>
        <v>1.326417329142645E-2</v>
      </c>
      <c r="Q966" s="1">
        <v>2.4059599999999999E-5</v>
      </c>
      <c r="R966">
        <f t="shared" si="134"/>
        <v>3.998961037477939E-2</v>
      </c>
      <c r="CH966" s="1">
        <v>2.2272E-5</v>
      </c>
      <c r="CI966">
        <v>23.267299999999999</v>
      </c>
      <c r="CJ966">
        <f t="shared" si="130"/>
        <v>1808.3114046695002</v>
      </c>
      <c r="CL966" s="1">
        <v>2.2272E-5</v>
      </c>
      <c r="CM966">
        <v>2.7400000000000001E-2</v>
      </c>
      <c r="CN966">
        <f t="shared" si="131"/>
        <v>2.1295007365678145</v>
      </c>
    </row>
    <row r="967" spans="4:92" x14ac:dyDescent="0.35">
      <c r="D967" s="1">
        <v>2.4371100000000001E-5</v>
      </c>
      <c r="E967">
        <v>13.583500000000001</v>
      </c>
      <c r="F967">
        <v>2.6246299999999998</v>
      </c>
      <c r="G967">
        <v>12.021599999999999</v>
      </c>
      <c r="I967" s="1">
        <v>2.4371100000000001E-5</v>
      </c>
      <c r="J967">
        <f t="shared" si="132"/>
        <v>2.4108604796242536E-2</v>
      </c>
      <c r="K967">
        <v>1.3929542002783462E-2</v>
      </c>
      <c r="L967">
        <v>3.9523089577954362E-2</v>
      </c>
      <c r="N967" s="1">
        <v>2.4371100000000001E-5</v>
      </c>
      <c r="O967">
        <f t="shared" si="133"/>
        <v>1.3929542002783462E-2</v>
      </c>
      <c r="Q967" s="1">
        <v>2.4371100000000001E-5</v>
      </c>
      <c r="R967">
        <f t="shared" si="134"/>
        <v>3.9523089577954362E-2</v>
      </c>
      <c r="CH967" s="1">
        <v>2.2560399999999998E-5</v>
      </c>
      <c r="CI967">
        <v>22.282399999999999</v>
      </c>
      <c r="CJ967">
        <f t="shared" si="130"/>
        <v>1731.7659566605353</v>
      </c>
      <c r="CL967" s="1">
        <v>2.2560399999999998E-5</v>
      </c>
      <c r="CM967">
        <v>2.3009999999999999E-2</v>
      </c>
      <c r="CN967">
        <f t="shared" si="131"/>
        <v>1.7883143046870587</v>
      </c>
    </row>
    <row r="968" spans="4:92" x14ac:dyDescent="0.35">
      <c r="D968" s="1">
        <v>2.4686799999999999E-5</v>
      </c>
      <c r="E968">
        <v>13.5975</v>
      </c>
      <c r="F968">
        <v>2.5863399999999999</v>
      </c>
      <c r="G968">
        <v>12.1839</v>
      </c>
      <c r="I968" s="1">
        <v>2.4686799999999999E-5</v>
      </c>
      <c r="J968">
        <f t="shared" si="132"/>
        <v>2.4133452623911943E-2</v>
      </c>
      <c r="K968">
        <v>1.3726327773240031E-2</v>
      </c>
      <c r="L968">
        <v>4.0056678903709828E-2</v>
      </c>
      <c r="N968" s="1">
        <v>2.4686799999999999E-5</v>
      </c>
      <c r="O968">
        <f t="shared" si="133"/>
        <v>1.3726327773240031E-2</v>
      </c>
      <c r="Q968" s="1">
        <v>2.4686799999999999E-5</v>
      </c>
      <c r="R968">
        <f t="shared" si="134"/>
        <v>4.0056678903709828E-2</v>
      </c>
      <c r="CH968" s="1">
        <v>2.2852599999999999E-5</v>
      </c>
      <c r="CI968">
        <v>22.16</v>
      </c>
      <c r="CJ968">
        <f t="shared" si="130"/>
        <v>1722.2531504504659</v>
      </c>
      <c r="CL968" s="1">
        <v>2.2852599999999999E-5</v>
      </c>
      <c r="CM968">
        <v>2.41E-2</v>
      </c>
      <c r="CN968">
        <f t="shared" si="131"/>
        <v>1.8730280201198659</v>
      </c>
    </row>
    <row r="969" spans="4:92" x14ac:dyDescent="0.35">
      <c r="D969" s="1">
        <v>2.5006499999999999E-5</v>
      </c>
      <c r="E969">
        <v>13.8605</v>
      </c>
      <c r="F969">
        <v>2.66527</v>
      </c>
      <c r="G969">
        <v>12.3741</v>
      </c>
      <c r="I969" s="1">
        <v>2.5006499999999999E-5</v>
      </c>
      <c r="J969">
        <f t="shared" si="132"/>
        <v>2.4600236815130096E-2</v>
      </c>
      <c r="K969">
        <v>1.4145228246937163E-2</v>
      </c>
      <c r="L969">
        <v>4.0681994305796651E-2</v>
      </c>
      <c r="N969" s="1">
        <v>2.5006499999999999E-5</v>
      </c>
      <c r="O969">
        <f t="shared" si="133"/>
        <v>1.4145228246937163E-2</v>
      </c>
      <c r="Q969" s="1">
        <v>2.5006499999999999E-5</v>
      </c>
      <c r="R969">
        <f t="shared" si="134"/>
        <v>4.0681994305796651E-2</v>
      </c>
      <c r="CH969" s="1">
        <v>2.3148600000000001E-5</v>
      </c>
      <c r="CI969">
        <v>22.075800000000001</v>
      </c>
      <c r="CJ969">
        <f t="shared" si="130"/>
        <v>1715.709210230794</v>
      </c>
      <c r="CL969" s="1">
        <v>2.3148600000000001E-5</v>
      </c>
      <c r="CM969">
        <v>2.656E-2</v>
      </c>
      <c r="CN969">
        <f t="shared" si="131"/>
        <v>2.064216772381064</v>
      </c>
    </row>
    <row r="970" spans="4:92" x14ac:dyDescent="0.35">
      <c r="D970" s="1">
        <v>2.53303E-5</v>
      </c>
      <c r="E970">
        <v>13.8865</v>
      </c>
      <c r="F970">
        <v>2.5814499999999998</v>
      </c>
      <c r="G970">
        <v>12.548299999999999</v>
      </c>
      <c r="I970" s="1">
        <v>2.53303E-5</v>
      </c>
      <c r="J970">
        <f t="shared" si="132"/>
        <v>2.4646382780801852E-2</v>
      </c>
      <c r="K970">
        <v>1.370037536837016E-2</v>
      </c>
      <c r="L970">
        <v>4.1254706940094893E-2</v>
      </c>
      <c r="N970" s="1">
        <v>2.53303E-5</v>
      </c>
      <c r="O970">
        <f t="shared" si="133"/>
        <v>1.370037536837016E-2</v>
      </c>
      <c r="Q970" s="1">
        <v>2.53303E-5</v>
      </c>
      <c r="R970">
        <f t="shared" si="134"/>
        <v>4.1254706940094893E-2</v>
      </c>
      <c r="CH970" s="1">
        <v>2.34483E-5</v>
      </c>
      <c r="CI970">
        <v>22.924399999999999</v>
      </c>
      <c r="CJ970">
        <f t="shared" ref="CJ970:CJ1033" si="135">CI970/$CG$9</f>
        <v>1781.6615578604087</v>
      </c>
      <c r="CL970" s="1">
        <v>2.34483E-5</v>
      </c>
      <c r="CM970">
        <v>2.4629999999999999E-2</v>
      </c>
      <c r="CN970">
        <f t="shared" ref="CN970:CN1033" si="136">CM970/$CG$9</f>
        <v>1.9142190927615061</v>
      </c>
    </row>
    <row r="971" spans="4:92" x14ac:dyDescent="0.35">
      <c r="D971" s="1">
        <v>2.5658300000000001E-5</v>
      </c>
      <c r="E971">
        <v>14.277699999999999</v>
      </c>
      <c r="F971">
        <v>2.8386</v>
      </c>
      <c r="G971">
        <v>12.4709</v>
      </c>
      <c r="I971" s="1">
        <v>2.5658300000000001E-5</v>
      </c>
      <c r="J971">
        <f t="shared" si="132"/>
        <v>2.5340702079678437E-2</v>
      </c>
      <c r="K971">
        <v>1.5065132201148789E-2</v>
      </c>
      <c r="L971">
        <v>4.1000241050917603E-2</v>
      </c>
      <c r="N971" s="1">
        <v>2.5658300000000001E-5</v>
      </c>
      <c r="O971">
        <f t="shared" si="133"/>
        <v>1.5065132201148789E-2</v>
      </c>
      <c r="Q971" s="1">
        <v>2.5658300000000001E-5</v>
      </c>
      <c r="R971">
        <f t="shared" si="134"/>
        <v>4.1000241050917603E-2</v>
      </c>
      <c r="CH971" s="1">
        <v>2.3751999999999999E-5</v>
      </c>
      <c r="CI971">
        <v>22.277699999999999</v>
      </c>
      <c r="CJ971">
        <f t="shared" si="135"/>
        <v>1731.4006773371095</v>
      </c>
      <c r="CL971" s="1">
        <v>2.3751999999999999E-5</v>
      </c>
      <c r="CM971">
        <v>2.3820000000000001E-2</v>
      </c>
      <c r="CN971">
        <f t="shared" si="136"/>
        <v>1.8512666987242825</v>
      </c>
    </row>
    <row r="972" spans="4:92" x14ac:dyDescent="0.35">
      <c r="D972" s="1">
        <v>2.5990600000000002E-5</v>
      </c>
      <c r="E972">
        <v>14.1593</v>
      </c>
      <c r="F972">
        <v>2.6442600000000001</v>
      </c>
      <c r="G972">
        <v>12.6409</v>
      </c>
      <c r="I972" s="1">
        <v>2.5990600000000002E-5</v>
      </c>
      <c r="J972">
        <f t="shared" si="132"/>
        <v>2.5130560451388593E-2</v>
      </c>
      <c r="K972">
        <v>1.4033723129081127E-2</v>
      </c>
      <c r="L972">
        <v>4.1559145458671336E-2</v>
      </c>
      <c r="N972" s="1">
        <v>2.5990600000000002E-5</v>
      </c>
      <c r="O972">
        <f t="shared" si="133"/>
        <v>1.4033723129081127E-2</v>
      </c>
      <c r="Q972" s="1">
        <v>2.5990600000000002E-5</v>
      </c>
      <c r="R972">
        <f t="shared" si="134"/>
        <v>4.1559145458671336E-2</v>
      </c>
      <c r="CH972" s="1">
        <v>2.4059599999999999E-5</v>
      </c>
      <c r="CI972">
        <v>22.242000000000001</v>
      </c>
      <c r="CJ972">
        <f t="shared" si="135"/>
        <v>1728.6261088591727</v>
      </c>
      <c r="CL972" s="1">
        <v>2.4059599999999999E-5</v>
      </c>
      <c r="CM972">
        <v>2.9100000000000001E-2</v>
      </c>
      <c r="CN972">
        <f t="shared" si="136"/>
        <v>2.261623045041</v>
      </c>
    </row>
    <row r="973" spans="4:92" x14ac:dyDescent="0.35">
      <c r="D973" s="1">
        <v>2.6327200000000001E-5</v>
      </c>
      <c r="E973">
        <v>13.9588</v>
      </c>
      <c r="F973">
        <v>2.7804199999999999</v>
      </c>
      <c r="G973">
        <v>12.4473</v>
      </c>
      <c r="I973" s="1">
        <v>2.6327200000000001E-5</v>
      </c>
      <c r="J973">
        <f t="shared" si="132"/>
        <v>2.4774704062266006E-2</v>
      </c>
      <c r="K973">
        <v>1.4756356962840172E-2</v>
      </c>
      <c r="L973">
        <v>4.0922651968429438E-2</v>
      </c>
      <c r="N973" s="1">
        <v>2.6327200000000001E-5</v>
      </c>
      <c r="O973">
        <f t="shared" si="133"/>
        <v>1.4756356962840172E-2</v>
      </c>
      <c r="Q973" s="1">
        <v>2.6327200000000001E-5</v>
      </c>
      <c r="R973">
        <f t="shared" si="134"/>
        <v>4.0922651968429438E-2</v>
      </c>
      <c r="CH973" s="1">
        <v>2.4371100000000001E-5</v>
      </c>
      <c r="CI973">
        <v>23.043900000000001</v>
      </c>
      <c r="CJ973">
        <f t="shared" si="135"/>
        <v>1790.9489789560241</v>
      </c>
      <c r="CL973" s="1">
        <v>2.4371100000000001E-5</v>
      </c>
      <c r="CM973">
        <v>2.4420000000000001E-2</v>
      </c>
      <c r="CN973">
        <f t="shared" si="136"/>
        <v>1.8978981017148187</v>
      </c>
    </row>
    <row r="974" spans="4:92" x14ac:dyDescent="0.35">
      <c r="D974" s="1">
        <v>2.66681E-5</v>
      </c>
      <c r="E974">
        <v>14.1944</v>
      </c>
      <c r="F974">
        <v>2.7548400000000002</v>
      </c>
      <c r="G974">
        <v>12.5214</v>
      </c>
      <c r="I974" s="1">
        <v>2.66681E-5</v>
      </c>
      <c r="J974">
        <f t="shared" si="132"/>
        <v>2.5192857505045463E-2</v>
      </c>
      <c r="K974">
        <v>1.4620597756997367E-2</v>
      </c>
      <c r="L974">
        <v>4.1166268536750331E-2</v>
      </c>
      <c r="N974" s="1">
        <v>2.66681E-5</v>
      </c>
      <c r="O974">
        <f t="shared" si="133"/>
        <v>1.4620597756997367E-2</v>
      </c>
      <c r="Q974" s="1">
        <v>2.66681E-5</v>
      </c>
      <c r="R974">
        <f t="shared" si="134"/>
        <v>4.1166268536750331E-2</v>
      </c>
      <c r="CH974" s="1">
        <v>2.4686799999999999E-5</v>
      </c>
      <c r="CI974">
        <v>23.595600000000001</v>
      </c>
      <c r="CJ974">
        <f t="shared" si="135"/>
        <v>1833.8265540058221</v>
      </c>
      <c r="CL974" s="1">
        <v>2.4686799999999999E-5</v>
      </c>
      <c r="CM974">
        <v>2.708E-2</v>
      </c>
      <c r="CN974">
        <f t="shared" si="136"/>
        <v>2.1046306549728619</v>
      </c>
    </row>
    <row r="975" spans="4:92" x14ac:dyDescent="0.35">
      <c r="D975" s="1">
        <v>2.7013500000000001E-5</v>
      </c>
      <c r="E975">
        <v>13.9003</v>
      </c>
      <c r="F975">
        <v>2.8303099999999999</v>
      </c>
      <c r="G975">
        <v>12.491899999999999</v>
      </c>
      <c r="I975" s="1">
        <v>2.7013500000000001E-5</v>
      </c>
      <c r="J975">
        <f t="shared" si="132"/>
        <v>2.4670875639504555E-2</v>
      </c>
      <c r="K975">
        <v>1.5021135179395977E-2</v>
      </c>
      <c r="L975">
        <v>4.1069282183640116E-2</v>
      </c>
      <c r="N975" s="1">
        <v>2.7013500000000001E-5</v>
      </c>
      <c r="O975">
        <f t="shared" si="133"/>
        <v>1.5021135179395977E-2</v>
      </c>
      <c r="Q975" s="1">
        <v>2.7013500000000001E-5</v>
      </c>
      <c r="R975">
        <f t="shared" si="134"/>
        <v>4.1069282183640116E-2</v>
      </c>
      <c r="CH975" s="1">
        <v>2.5006499999999999E-5</v>
      </c>
      <c r="CI975">
        <v>22.0852</v>
      </c>
      <c r="CJ975">
        <f t="shared" si="135"/>
        <v>1716.4397688776457</v>
      </c>
      <c r="CL975" s="1">
        <v>2.5006499999999999E-5</v>
      </c>
      <c r="CM975">
        <v>2.792E-2</v>
      </c>
      <c r="CN975">
        <f t="shared" si="136"/>
        <v>2.1699146191596124</v>
      </c>
    </row>
    <row r="976" spans="4:92" x14ac:dyDescent="0.35">
      <c r="D976" s="1">
        <v>2.7363299999999999E-5</v>
      </c>
      <c r="E976">
        <v>14.2895</v>
      </c>
      <c r="F976">
        <v>2.7762899999999999</v>
      </c>
      <c r="G976">
        <v>12.522399999999999</v>
      </c>
      <c r="I976" s="1">
        <v>2.7363299999999999E-5</v>
      </c>
      <c r="J976">
        <f t="shared" si="132"/>
        <v>2.5361645248714083E-2</v>
      </c>
      <c r="K976">
        <v>1.4734438060567663E-2</v>
      </c>
      <c r="L976">
        <v>4.116955620973712E-2</v>
      </c>
      <c r="N976" s="1">
        <v>2.7363299999999999E-5</v>
      </c>
      <c r="O976">
        <f t="shared" si="133"/>
        <v>1.4734438060567663E-2</v>
      </c>
      <c r="Q976" s="1">
        <v>2.7363299999999999E-5</v>
      </c>
      <c r="R976">
        <f t="shared" si="134"/>
        <v>4.116955620973712E-2</v>
      </c>
      <c r="CH976" s="1">
        <v>2.53303E-5</v>
      </c>
      <c r="CI976">
        <v>22.456099999999999</v>
      </c>
      <c r="CJ976">
        <f t="shared" si="135"/>
        <v>1745.2657478262954</v>
      </c>
      <c r="CL976" s="1">
        <v>2.53303E-5</v>
      </c>
      <c r="CM976">
        <v>2.7009999999999999E-2</v>
      </c>
      <c r="CN976">
        <f t="shared" si="136"/>
        <v>2.099190324623966</v>
      </c>
    </row>
    <row r="977" spans="4:92" x14ac:dyDescent="0.35">
      <c r="D977" s="1">
        <v>2.7717700000000001E-5</v>
      </c>
      <c r="E977">
        <v>14.372</v>
      </c>
      <c r="F977">
        <v>2.3796200000000001</v>
      </c>
      <c r="G977">
        <v>12.902699999999999</v>
      </c>
      <c r="I977" s="1">
        <v>2.7717700000000001E-5</v>
      </c>
      <c r="J977">
        <f t="shared" si="132"/>
        <v>2.5508069947480231E-2</v>
      </c>
      <c r="K977">
        <v>1.2629215066757444E-2</v>
      </c>
      <c r="L977">
        <v>4.2419858246612076E-2</v>
      </c>
      <c r="N977" s="1">
        <v>2.7717700000000001E-5</v>
      </c>
      <c r="O977">
        <f t="shared" si="133"/>
        <v>1.2629215066757444E-2</v>
      </c>
      <c r="Q977" s="1">
        <v>2.7717700000000001E-5</v>
      </c>
      <c r="R977">
        <f t="shared" si="134"/>
        <v>4.2419858246612076E-2</v>
      </c>
      <c r="CH977" s="1">
        <v>2.5658300000000001E-5</v>
      </c>
      <c r="CI977">
        <v>23.281500000000001</v>
      </c>
      <c r="CJ977">
        <f t="shared" si="135"/>
        <v>1809.4150145402764</v>
      </c>
      <c r="CL977" s="1">
        <v>2.5658300000000001E-5</v>
      </c>
      <c r="CM977">
        <v>2.9180000000000001E-2</v>
      </c>
      <c r="CN977">
        <f t="shared" si="136"/>
        <v>2.2678405654397382</v>
      </c>
    </row>
    <row r="978" spans="4:92" x14ac:dyDescent="0.35">
      <c r="D978" s="1">
        <v>2.8076600000000002E-5</v>
      </c>
      <c r="E978">
        <v>14.304600000000001</v>
      </c>
      <c r="F978">
        <v>3.0186600000000001</v>
      </c>
      <c r="G978">
        <v>12.699299999999999</v>
      </c>
      <c r="I978" s="1">
        <v>2.8076600000000002E-5</v>
      </c>
      <c r="J978">
        <f t="shared" si="132"/>
        <v>2.5388445405700372E-2</v>
      </c>
      <c r="K978">
        <v>1.6020753882308111E-2</v>
      </c>
      <c r="L978">
        <v>4.175114556109967E-2</v>
      </c>
      <c r="N978" s="1">
        <v>2.8076600000000002E-5</v>
      </c>
      <c r="O978">
        <f t="shared" si="133"/>
        <v>1.6020753882308111E-2</v>
      </c>
      <c r="Q978" s="1">
        <v>2.8076600000000002E-5</v>
      </c>
      <c r="R978">
        <f t="shared" si="134"/>
        <v>4.175114556109967E-2</v>
      </c>
      <c r="CH978" s="1">
        <v>2.5990600000000002E-5</v>
      </c>
      <c r="CI978">
        <v>23.634399999999999</v>
      </c>
      <c r="CJ978">
        <f t="shared" si="135"/>
        <v>1836.8420513992098</v>
      </c>
      <c r="CL978" s="1">
        <v>2.5990600000000002E-5</v>
      </c>
      <c r="CM978">
        <v>2.681E-2</v>
      </c>
      <c r="CN978">
        <f t="shared" si="136"/>
        <v>2.0836465236271207</v>
      </c>
    </row>
    <row r="979" spans="4:92" x14ac:dyDescent="0.35">
      <c r="D979" s="1">
        <v>2.8440199999999999E-5</v>
      </c>
      <c r="E979">
        <v>13.917</v>
      </c>
      <c r="F979">
        <v>2.89534</v>
      </c>
      <c r="G979">
        <v>12.515499999999999</v>
      </c>
      <c r="I979" s="1">
        <v>2.8440199999999999E-5</v>
      </c>
      <c r="J979">
        <f t="shared" si="132"/>
        <v>2.4700515548224489E-2</v>
      </c>
      <c r="K979">
        <v>1.5366265013483454E-2</v>
      </c>
      <c r="L979">
        <v>4.1146871266128288E-2</v>
      </c>
      <c r="N979" s="1">
        <v>2.8440199999999999E-5</v>
      </c>
      <c r="O979">
        <f t="shared" si="133"/>
        <v>1.5366265013483454E-2</v>
      </c>
      <c r="Q979" s="1">
        <v>2.8440199999999999E-5</v>
      </c>
      <c r="R979">
        <f t="shared" si="134"/>
        <v>4.1146871266128288E-2</v>
      </c>
      <c r="CH979" s="1">
        <v>2.6327200000000001E-5</v>
      </c>
      <c r="CI979">
        <v>22.701000000000001</v>
      </c>
      <c r="CJ979">
        <f t="shared" si="135"/>
        <v>1764.2991321469326</v>
      </c>
      <c r="CL979" s="1">
        <v>2.6327200000000001E-5</v>
      </c>
      <c r="CM979">
        <v>2.886E-2</v>
      </c>
      <c r="CN979">
        <f t="shared" si="136"/>
        <v>2.2429704838447857</v>
      </c>
    </row>
    <row r="980" spans="4:92" x14ac:dyDescent="0.35">
      <c r="D980" s="1">
        <v>2.88085E-5</v>
      </c>
      <c r="E980">
        <v>13.8574</v>
      </c>
      <c r="F980">
        <v>2.7989000000000002</v>
      </c>
      <c r="G980">
        <v>12.4034</v>
      </c>
      <c r="I980" s="1">
        <v>2.88085E-5</v>
      </c>
      <c r="J980">
        <f t="shared" si="132"/>
        <v>2.4594734796146159E-2</v>
      </c>
      <c r="K980">
        <v>1.4854434762839196E-2</v>
      </c>
      <c r="L980">
        <v>4.0778323124309498E-2</v>
      </c>
      <c r="N980" s="1">
        <v>2.88085E-5</v>
      </c>
      <c r="O980">
        <f t="shared" si="133"/>
        <v>1.4854434762839196E-2</v>
      </c>
      <c r="Q980" s="1">
        <v>2.88085E-5</v>
      </c>
      <c r="R980">
        <f t="shared" si="134"/>
        <v>4.0778323124309498E-2</v>
      </c>
      <c r="CH980" s="1">
        <v>2.66681E-5</v>
      </c>
      <c r="CI980">
        <v>22.8767</v>
      </c>
      <c r="CJ980">
        <f t="shared" si="135"/>
        <v>1777.9543613226613</v>
      </c>
      <c r="CL980" s="1">
        <v>2.66681E-5</v>
      </c>
      <c r="CM980">
        <v>2.649E-2</v>
      </c>
      <c r="CN980">
        <f t="shared" si="136"/>
        <v>2.0587764420321681</v>
      </c>
    </row>
    <row r="981" spans="4:92" x14ac:dyDescent="0.35">
      <c r="D981" s="1">
        <v>2.9181599999999999E-5</v>
      </c>
      <c r="E981">
        <v>14.1633</v>
      </c>
      <c r="F981">
        <v>3.00081</v>
      </c>
      <c r="G981">
        <v>12.6004</v>
      </c>
      <c r="I981" s="1">
        <v>2.9181599999999999E-5</v>
      </c>
      <c r="J981">
        <f t="shared" si="132"/>
        <v>2.5137659830722709E-2</v>
      </c>
      <c r="K981">
        <v>1.5926019643672688E-2</v>
      </c>
      <c r="L981">
        <v>4.1425994702706477E-2</v>
      </c>
      <c r="N981" s="1">
        <v>2.9181599999999999E-5</v>
      </c>
      <c r="O981">
        <f t="shared" si="133"/>
        <v>1.5926019643672688E-2</v>
      </c>
      <c r="Q981" s="1">
        <v>2.9181599999999999E-5</v>
      </c>
      <c r="R981">
        <f t="shared" si="134"/>
        <v>4.1425994702706477E-2</v>
      </c>
      <c r="CH981" s="1">
        <v>2.7013500000000001E-5</v>
      </c>
      <c r="CI981">
        <v>24.0807</v>
      </c>
      <c r="CJ981">
        <f t="shared" si="135"/>
        <v>1871.5280433236703</v>
      </c>
      <c r="CL981" s="1">
        <v>2.7013500000000001E-5</v>
      </c>
      <c r="CM981">
        <v>2.691E-2</v>
      </c>
      <c r="CN981">
        <f t="shared" si="136"/>
        <v>2.0914184241255431</v>
      </c>
    </row>
    <row r="982" spans="4:92" x14ac:dyDescent="0.35">
      <c r="D982" s="1">
        <v>2.95595E-5</v>
      </c>
      <c r="E982">
        <v>14.132300000000001</v>
      </c>
      <c r="F982">
        <v>2.81772</v>
      </c>
      <c r="G982">
        <v>12.7097</v>
      </c>
      <c r="I982" s="1">
        <v>2.95595E-5</v>
      </c>
      <c r="J982">
        <f t="shared" si="132"/>
        <v>2.5082639640883309E-2</v>
      </c>
      <c r="K982">
        <v>1.4954317024526513E-2</v>
      </c>
      <c r="L982">
        <v>4.178533736016226E-2</v>
      </c>
      <c r="N982" s="1">
        <v>2.95595E-5</v>
      </c>
      <c r="O982">
        <f t="shared" si="133"/>
        <v>1.4954317024526513E-2</v>
      </c>
      <c r="Q982" s="1">
        <v>2.95595E-5</v>
      </c>
      <c r="R982">
        <f t="shared" si="134"/>
        <v>4.178533736016226E-2</v>
      </c>
      <c r="CH982" s="1">
        <v>2.7363299999999999E-5</v>
      </c>
      <c r="CI982">
        <v>22.787600000000001</v>
      </c>
      <c r="CJ982">
        <f t="shared" si="135"/>
        <v>1771.0295979785667</v>
      </c>
      <c r="CL982" s="1">
        <v>2.7363299999999999E-5</v>
      </c>
      <c r="CM982">
        <v>2.47E-2</v>
      </c>
      <c r="CN982">
        <f t="shared" si="136"/>
        <v>1.9196594231104021</v>
      </c>
    </row>
    <row r="983" spans="4:92" x14ac:dyDescent="0.35">
      <c r="D983" s="1">
        <v>2.99423E-5</v>
      </c>
      <c r="E983">
        <v>13.832000000000001</v>
      </c>
      <c r="F983">
        <v>2.73881</v>
      </c>
      <c r="G983">
        <v>12.6503</v>
      </c>
      <c r="I983" s="1">
        <v>2.99423E-5</v>
      </c>
      <c r="J983">
        <f t="shared" si="132"/>
        <v>2.454965373737452E-2</v>
      </c>
      <c r="K983">
        <v>1.4535522695634576E-2</v>
      </c>
      <c r="L983">
        <v>4.159004958474713E-2</v>
      </c>
      <c r="N983" s="1">
        <v>2.99423E-5</v>
      </c>
      <c r="O983">
        <f t="shared" si="133"/>
        <v>1.4535522695634576E-2</v>
      </c>
      <c r="Q983" s="1">
        <v>2.99423E-5</v>
      </c>
      <c r="R983">
        <f t="shared" si="134"/>
        <v>4.159004958474713E-2</v>
      </c>
      <c r="CH983" s="1">
        <v>2.7717700000000001E-5</v>
      </c>
      <c r="CI983">
        <v>22.718599999999999</v>
      </c>
      <c r="CJ983">
        <f t="shared" si="135"/>
        <v>1765.6669866346549</v>
      </c>
      <c r="CL983" s="1">
        <v>2.7717700000000001E-5</v>
      </c>
      <c r="CM983">
        <v>2.537E-2</v>
      </c>
      <c r="CN983">
        <f t="shared" si="136"/>
        <v>1.9717311564498341</v>
      </c>
    </row>
    <row r="984" spans="4:92" x14ac:dyDescent="0.35">
      <c r="D984" s="1">
        <v>3.0329999999999999E-5</v>
      </c>
      <c r="E984">
        <v>14.174099999999999</v>
      </c>
      <c r="F984">
        <v>2.9012600000000002</v>
      </c>
      <c r="G984">
        <v>12.808999999999999</v>
      </c>
      <c r="I984" s="1">
        <v>3.0329999999999999E-5</v>
      </c>
      <c r="J984">
        <f t="shared" si="132"/>
        <v>2.5156828154924822E-2</v>
      </c>
      <c r="K984">
        <v>1.5397683875820804E-2</v>
      </c>
      <c r="L984">
        <v>4.2111803287750167E-2</v>
      </c>
      <c r="N984" s="1">
        <v>3.0329999999999999E-5</v>
      </c>
      <c r="O984">
        <f t="shared" si="133"/>
        <v>1.5397683875820804E-2</v>
      </c>
      <c r="Q984" s="1">
        <v>3.0329999999999999E-5</v>
      </c>
      <c r="R984">
        <f t="shared" si="134"/>
        <v>4.2111803287750167E-2</v>
      </c>
      <c r="CH984" s="1">
        <v>2.8076600000000002E-5</v>
      </c>
      <c r="CI984">
        <v>23.349900000000002</v>
      </c>
      <c r="CJ984">
        <f t="shared" si="135"/>
        <v>1814.7309944811975</v>
      </c>
      <c r="CL984" s="1">
        <v>2.8076600000000002E-5</v>
      </c>
      <c r="CM984">
        <v>2.6950000000000002E-2</v>
      </c>
      <c r="CN984">
        <f t="shared" si="136"/>
        <v>2.0945271843249125</v>
      </c>
    </row>
    <row r="985" spans="4:92" x14ac:dyDescent="0.35">
      <c r="D985" s="1">
        <v>3.0722799999999997E-5</v>
      </c>
      <c r="E985">
        <v>13.7552</v>
      </c>
      <c r="F985">
        <v>2.7185800000000002</v>
      </c>
      <c r="G985">
        <v>12.520300000000001</v>
      </c>
      <c r="I985" s="1">
        <v>3.0722799999999997E-5</v>
      </c>
      <c r="J985">
        <f t="shared" si="132"/>
        <v>2.4413345654159483E-2</v>
      </c>
      <c r="K985">
        <v>1.4428157225181102E-2</v>
      </c>
      <c r="L985">
        <v>4.1162652096464865E-2</v>
      </c>
      <c r="N985" s="1">
        <v>3.0722799999999997E-5</v>
      </c>
      <c r="O985">
        <f t="shared" si="133"/>
        <v>1.4428157225181102E-2</v>
      </c>
      <c r="Q985" s="1">
        <v>3.0722799999999997E-5</v>
      </c>
      <c r="R985">
        <f t="shared" si="134"/>
        <v>4.1162652096464865E-2</v>
      </c>
      <c r="CH985" s="1">
        <v>2.8440199999999999E-5</v>
      </c>
      <c r="CI985">
        <v>23.004799999999999</v>
      </c>
      <c r="CJ985">
        <f t="shared" si="135"/>
        <v>1787.9101658611407</v>
      </c>
      <c r="CL985" s="1">
        <v>2.8440199999999999E-5</v>
      </c>
      <c r="CM985">
        <v>2.3349999999999999E-2</v>
      </c>
      <c r="CN985">
        <f t="shared" si="136"/>
        <v>1.8147387663816958</v>
      </c>
    </row>
    <row r="986" spans="4:92" x14ac:dyDescent="0.35">
      <c r="D986" s="1">
        <v>3.1120700000000002E-5</v>
      </c>
      <c r="E986">
        <v>14.0482</v>
      </c>
      <c r="F986">
        <v>2.7892600000000001</v>
      </c>
      <c r="G986">
        <v>12.6655</v>
      </c>
      <c r="I986" s="1">
        <v>3.1120700000000002E-5</v>
      </c>
      <c r="J986">
        <f t="shared" si="132"/>
        <v>2.4933375190383508E-2</v>
      </c>
      <c r="K986">
        <v>1.4803272966735809E-2</v>
      </c>
      <c r="L986">
        <v>4.164002221414629E-2</v>
      </c>
      <c r="N986" s="1">
        <v>3.1120700000000002E-5</v>
      </c>
      <c r="O986">
        <f t="shared" si="133"/>
        <v>1.4803272966735809E-2</v>
      </c>
      <c r="Q986" s="1">
        <v>3.1120700000000002E-5</v>
      </c>
      <c r="R986">
        <f t="shared" si="134"/>
        <v>4.164002221414629E-2</v>
      </c>
      <c r="CH986" s="1">
        <v>2.88085E-5</v>
      </c>
      <c r="CI986">
        <v>23.855399999999999</v>
      </c>
      <c r="CJ986">
        <f t="shared" si="135"/>
        <v>1854.0179515007242</v>
      </c>
      <c r="CL986" s="1">
        <v>2.88085E-5</v>
      </c>
      <c r="CM986">
        <v>2.3599999999999999E-2</v>
      </c>
      <c r="CN986">
        <f t="shared" si="136"/>
        <v>1.8341685176277525</v>
      </c>
    </row>
    <row r="987" spans="4:92" x14ac:dyDescent="0.35">
      <c r="D987" s="1">
        <v>3.1523699999999998E-5</v>
      </c>
      <c r="E987">
        <v>14.018800000000001</v>
      </c>
      <c r="F987">
        <v>2.7085400000000002</v>
      </c>
      <c r="G987">
        <v>12.809100000000001</v>
      </c>
      <c r="I987" s="1">
        <v>3.1523699999999998E-5</v>
      </c>
      <c r="J987">
        <f t="shared" si="132"/>
        <v>2.4881194752277753E-2</v>
      </c>
      <c r="K987">
        <v>1.4374872532973839E-2</v>
      </c>
      <c r="L987">
        <v>4.2112132055048851E-2</v>
      </c>
      <c r="N987" s="1">
        <v>3.1523699999999998E-5</v>
      </c>
      <c r="O987">
        <f t="shared" si="133"/>
        <v>1.4374872532973839E-2</v>
      </c>
      <c r="Q987" s="1">
        <v>3.1523699999999998E-5</v>
      </c>
      <c r="R987">
        <f t="shared" si="134"/>
        <v>4.2112132055048851E-2</v>
      </c>
      <c r="CH987" s="1">
        <v>2.9181599999999999E-5</v>
      </c>
      <c r="CI987">
        <v>23.749099999999999</v>
      </c>
      <c r="CJ987">
        <f t="shared" si="135"/>
        <v>1845.7564212709008</v>
      </c>
      <c r="CL987" s="1">
        <v>2.9181599999999999E-5</v>
      </c>
      <c r="CM987">
        <v>2.9239999999999999E-2</v>
      </c>
      <c r="CN987">
        <f t="shared" si="136"/>
        <v>2.2725037057387918</v>
      </c>
    </row>
    <row r="988" spans="4:92" x14ac:dyDescent="0.35">
      <c r="D988" s="1">
        <v>3.1931899999999998E-5</v>
      </c>
      <c r="E988">
        <v>14.026199999999999</v>
      </c>
      <c r="F988">
        <v>2.5735399999999999</v>
      </c>
      <c r="G988">
        <v>12.364100000000001</v>
      </c>
      <c r="I988" s="1">
        <v>3.1931899999999998E-5</v>
      </c>
      <c r="J988">
        <f t="shared" si="132"/>
        <v>2.4894328604045869E-2</v>
      </c>
      <c r="K988">
        <v>1.3658395097916031E-2</v>
      </c>
      <c r="L988">
        <v>4.0649117575928789E-2</v>
      </c>
      <c r="N988" s="1">
        <v>3.1931899999999998E-5</v>
      </c>
      <c r="O988">
        <f t="shared" si="133"/>
        <v>1.3658395097916031E-2</v>
      </c>
      <c r="Q988" s="1">
        <v>3.1931899999999998E-5</v>
      </c>
      <c r="R988">
        <f t="shared" si="134"/>
        <v>4.0649117575928789E-2</v>
      </c>
      <c r="CH988" s="1">
        <v>2.95595E-5</v>
      </c>
      <c r="CI988">
        <v>23.415199999999999</v>
      </c>
      <c r="CJ988">
        <f t="shared" si="135"/>
        <v>1819.8060455066673</v>
      </c>
      <c r="CL988" s="1">
        <v>2.95595E-5</v>
      </c>
      <c r="CM988">
        <v>2.7619999999999999E-2</v>
      </c>
      <c r="CN988">
        <f t="shared" si="136"/>
        <v>2.1465989176643441</v>
      </c>
    </row>
    <row r="989" spans="4:92" x14ac:dyDescent="0.35">
      <c r="D989" s="1">
        <v>3.2345399999999997E-5</v>
      </c>
      <c r="E989">
        <v>14.1744</v>
      </c>
      <c r="F989">
        <v>2.9499200000000001</v>
      </c>
      <c r="G989">
        <v>12.853400000000001</v>
      </c>
      <c r="I989" s="1">
        <v>3.2345399999999997E-5</v>
      </c>
      <c r="J989">
        <f t="shared" si="132"/>
        <v>2.5157360608374882E-2</v>
      </c>
      <c r="K989">
        <v>1.5655934186857193E-2</v>
      </c>
      <c r="L989">
        <v>4.2257775968363498E-2</v>
      </c>
      <c r="N989" s="1">
        <v>3.2345399999999997E-5</v>
      </c>
      <c r="O989">
        <f t="shared" si="133"/>
        <v>1.5655934186857193E-2</v>
      </c>
      <c r="Q989" s="1">
        <v>3.2345399999999997E-5</v>
      </c>
      <c r="R989">
        <f t="shared" si="134"/>
        <v>4.2257775968363498E-2</v>
      </c>
      <c r="CH989" s="1">
        <v>2.99423E-5</v>
      </c>
      <c r="CI989">
        <v>23.984100000000002</v>
      </c>
      <c r="CJ989">
        <f t="shared" si="135"/>
        <v>1864.0203874421943</v>
      </c>
      <c r="CL989" s="1">
        <v>2.99423E-5</v>
      </c>
      <c r="CM989">
        <v>2.5610000000000001E-2</v>
      </c>
      <c r="CN989">
        <f t="shared" si="136"/>
        <v>1.9903837176460486</v>
      </c>
    </row>
    <row r="990" spans="4:92" x14ac:dyDescent="0.35">
      <c r="D990" s="1">
        <v>3.2764300000000001E-5</v>
      </c>
      <c r="E990">
        <v>14.0686</v>
      </c>
      <c r="F990">
        <v>3.15788</v>
      </c>
      <c r="G990">
        <v>12.631500000000001</v>
      </c>
      <c r="I990" s="1">
        <v>3.2764300000000001E-5</v>
      </c>
      <c r="J990">
        <f t="shared" si="132"/>
        <v>2.4969582024987502E-2</v>
      </c>
      <c r="K990">
        <v>1.6759627871261795E-2</v>
      </c>
      <c r="L990">
        <v>4.1528241332595542E-2</v>
      </c>
      <c r="N990" s="1">
        <v>3.2764300000000001E-5</v>
      </c>
      <c r="O990">
        <f t="shared" si="133"/>
        <v>1.6759627871261795E-2</v>
      </c>
      <c r="Q990" s="1">
        <v>3.2764300000000001E-5</v>
      </c>
      <c r="R990">
        <f t="shared" si="134"/>
        <v>4.1528241332595542E-2</v>
      </c>
      <c r="CH990" s="1">
        <v>3.0329999999999999E-5</v>
      </c>
      <c r="CI990">
        <v>23.3367</v>
      </c>
      <c r="CJ990">
        <f t="shared" si="135"/>
        <v>1813.7051036154057</v>
      </c>
      <c r="CL990" s="1">
        <v>3.0329999999999999E-5</v>
      </c>
      <c r="CM990">
        <v>2.452E-2</v>
      </c>
      <c r="CN990">
        <f t="shared" si="136"/>
        <v>1.9056700022132413</v>
      </c>
    </row>
    <row r="991" spans="4:92" x14ac:dyDescent="0.35">
      <c r="D991" s="1">
        <v>3.3188600000000003E-5</v>
      </c>
      <c r="E991">
        <v>13.8169</v>
      </c>
      <c r="F991">
        <v>2.8576800000000002</v>
      </c>
      <c r="G991">
        <v>12.708600000000001</v>
      </c>
      <c r="I991" s="1">
        <v>3.3188600000000003E-5</v>
      </c>
      <c r="J991">
        <f t="shared" si="132"/>
        <v>2.4522853580388228E-2</v>
      </c>
      <c r="K991">
        <v>1.5166394345303626E-2</v>
      </c>
      <c r="L991">
        <v>4.1781720919876794E-2</v>
      </c>
      <c r="N991" s="1">
        <v>3.3188600000000003E-5</v>
      </c>
      <c r="O991">
        <f t="shared" si="133"/>
        <v>1.5166394345303626E-2</v>
      </c>
      <c r="Q991" s="1">
        <v>3.3188600000000003E-5</v>
      </c>
      <c r="R991">
        <f t="shared" si="134"/>
        <v>4.1781720919876794E-2</v>
      </c>
      <c r="CH991" s="1">
        <v>3.0722799999999997E-5</v>
      </c>
      <c r="CI991">
        <v>23.209900000000001</v>
      </c>
      <c r="CJ991">
        <f t="shared" si="135"/>
        <v>1803.8503337834059</v>
      </c>
      <c r="CL991" s="1">
        <v>3.0722799999999997E-5</v>
      </c>
      <c r="CM991">
        <v>2.6290000000000001E-2</v>
      </c>
      <c r="CN991">
        <f t="shared" si="136"/>
        <v>2.0432326410353228</v>
      </c>
    </row>
    <row r="992" spans="4:92" x14ac:dyDescent="0.35">
      <c r="D992" s="1">
        <v>3.3618400000000003E-5</v>
      </c>
      <c r="E992">
        <v>14.3727</v>
      </c>
      <c r="F992">
        <v>2.8525299999999998</v>
      </c>
      <c r="G992">
        <v>12.593400000000001</v>
      </c>
      <c r="I992" s="1">
        <v>3.3618400000000003E-5</v>
      </c>
      <c r="J992">
        <f t="shared" si="132"/>
        <v>2.5509312338863704E-2</v>
      </c>
      <c r="K992">
        <v>1.5139062057966231E-2</v>
      </c>
      <c r="L992">
        <v>4.1402980991798975E-2</v>
      </c>
      <c r="N992" s="1">
        <v>3.3618400000000003E-5</v>
      </c>
      <c r="O992">
        <f t="shared" si="133"/>
        <v>1.5139062057966231E-2</v>
      </c>
      <c r="Q992" s="1">
        <v>3.3618400000000003E-5</v>
      </c>
      <c r="R992">
        <f t="shared" si="134"/>
        <v>4.1402980991798975E-2</v>
      </c>
      <c r="CH992" s="1">
        <v>3.1120700000000002E-5</v>
      </c>
      <c r="CI992">
        <v>23.666699999999999</v>
      </c>
      <c r="CJ992">
        <f t="shared" si="135"/>
        <v>1839.3523752602005</v>
      </c>
      <c r="CL992" s="1">
        <v>3.1120700000000002E-5</v>
      </c>
      <c r="CM992">
        <v>2.247E-2</v>
      </c>
      <c r="CN992">
        <f t="shared" si="136"/>
        <v>1.7463460419955763</v>
      </c>
    </row>
    <row r="993" spans="4:92" x14ac:dyDescent="0.35">
      <c r="D993" s="1">
        <v>3.4053800000000003E-5</v>
      </c>
      <c r="E993">
        <v>14.3674</v>
      </c>
      <c r="F993">
        <v>2.6878000000000002</v>
      </c>
      <c r="G993">
        <v>12.886699999999999</v>
      </c>
      <c r="I993" s="1">
        <v>3.4053800000000003E-5</v>
      </c>
      <c r="J993">
        <f t="shared" si="132"/>
        <v>2.5499905661245999E-2</v>
      </c>
      <c r="K993">
        <v>1.426480036998792E-2</v>
      </c>
      <c r="L993">
        <v>4.2367255478823487E-2</v>
      </c>
      <c r="N993" s="1">
        <v>3.4053800000000003E-5</v>
      </c>
      <c r="O993">
        <f t="shared" si="133"/>
        <v>1.426480036998792E-2</v>
      </c>
      <c r="Q993" s="1">
        <v>3.4053800000000003E-5</v>
      </c>
      <c r="R993">
        <f t="shared" si="134"/>
        <v>4.2367255478823487E-2</v>
      </c>
      <c r="CH993" s="1">
        <v>3.1523699999999998E-5</v>
      </c>
      <c r="CI993">
        <v>24.642900000000001</v>
      </c>
      <c r="CJ993">
        <f t="shared" si="135"/>
        <v>1915.2216679258029</v>
      </c>
      <c r="CL993" s="1">
        <v>3.1523699999999998E-5</v>
      </c>
      <c r="CM993">
        <v>3.1040000000000002E-2</v>
      </c>
      <c r="CN993">
        <f t="shared" si="136"/>
        <v>2.4123979147104002</v>
      </c>
    </row>
    <row r="994" spans="4:92" x14ac:dyDescent="0.35">
      <c r="D994" s="1">
        <v>3.44948E-5</v>
      </c>
      <c r="E994">
        <v>13.925700000000001</v>
      </c>
      <c r="F994">
        <v>2.7928799999999998</v>
      </c>
      <c r="G994">
        <v>12.4712</v>
      </c>
      <c r="I994" s="1">
        <v>3.44948E-5</v>
      </c>
      <c r="J994">
        <f t="shared" si="132"/>
        <v>2.4715956698276195E-2</v>
      </c>
      <c r="K994">
        <v>1.4822485176475877E-2</v>
      </c>
      <c r="L994">
        <v>4.1001227352813641E-2</v>
      </c>
      <c r="N994" s="1">
        <v>3.44948E-5</v>
      </c>
      <c r="O994">
        <f t="shared" si="133"/>
        <v>1.4822485176475877E-2</v>
      </c>
      <c r="Q994" s="1">
        <v>3.44948E-5</v>
      </c>
      <c r="R994">
        <f t="shared" si="134"/>
        <v>4.1001227352813641E-2</v>
      </c>
      <c r="CH994" s="1">
        <v>3.1931899999999998E-5</v>
      </c>
      <c r="CI994">
        <v>23.923100000000002</v>
      </c>
      <c r="CJ994">
        <f t="shared" si="135"/>
        <v>1859.2795281381564</v>
      </c>
      <c r="CL994" s="1">
        <v>3.1931899999999998E-5</v>
      </c>
      <c r="CM994">
        <v>2.23E-2</v>
      </c>
      <c r="CN994">
        <f t="shared" si="136"/>
        <v>1.7331338111482577</v>
      </c>
    </row>
    <row r="995" spans="4:92" x14ac:dyDescent="0.35">
      <c r="D995" s="1">
        <v>3.4941499999999997E-5</v>
      </c>
      <c r="E995">
        <v>14.031499999999999</v>
      </c>
      <c r="F995">
        <v>2.61714</v>
      </c>
      <c r="G995">
        <v>12.370799999999999</v>
      </c>
      <c r="I995" s="1">
        <v>3.4941499999999997E-5</v>
      </c>
      <c r="J995">
        <f t="shared" si="132"/>
        <v>2.4903735281663571E-2</v>
      </c>
      <c r="K995">
        <v>1.3889790773238405E-2</v>
      </c>
      <c r="L995">
        <v>4.0671144984940254E-2</v>
      </c>
      <c r="N995" s="1">
        <v>3.4941499999999997E-5</v>
      </c>
      <c r="O995">
        <f t="shared" si="133"/>
        <v>1.3889790773238405E-2</v>
      </c>
      <c r="Q995" s="1">
        <v>3.4941499999999997E-5</v>
      </c>
      <c r="R995">
        <f t="shared" si="134"/>
        <v>4.0671144984940254E-2</v>
      </c>
      <c r="CH995" s="1">
        <v>3.2345399999999997E-5</v>
      </c>
      <c r="CI995">
        <v>24.21</v>
      </c>
      <c r="CJ995">
        <f t="shared" si="135"/>
        <v>1881.5771106681309</v>
      </c>
      <c r="CL995" s="1">
        <v>3.2345399999999997E-5</v>
      </c>
      <c r="CM995">
        <v>2.7140000000000001E-2</v>
      </c>
      <c r="CN995">
        <f t="shared" si="136"/>
        <v>2.1092937952719155</v>
      </c>
    </row>
    <row r="996" spans="4:92" x14ac:dyDescent="0.35">
      <c r="D996" s="1">
        <v>3.5394E-5</v>
      </c>
      <c r="E996">
        <v>14.2225</v>
      </c>
      <c r="F996">
        <v>3.5162499999999999</v>
      </c>
      <c r="G996">
        <v>12.9513</v>
      </c>
      <c r="I996" s="1">
        <v>3.5394E-5</v>
      </c>
      <c r="J996">
        <f t="shared" si="132"/>
        <v>2.5242730644867633E-2</v>
      </c>
      <c r="K996">
        <v>1.8661583563125986E-2</v>
      </c>
      <c r="L996">
        <v>4.2579639153769909E-2</v>
      </c>
      <c r="N996" s="1">
        <v>3.5394E-5</v>
      </c>
      <c r="O996">
        <f t="shared" si="133"/>
        <v>1.8661583563125986E-2</v>
      </c>
      <c r="Q996" s="1">
        <v>3.5394E-5</v>
      </c>
      <c r="R996">
        <f t="shared" si="134"/>
        <v>4.2579639153769909E-2</v>
      </c>
      <c r="CH996" s="1">
        <v>3.2764300000000001E-5</v>
      </c>
      <c r="CI996">
        <v>24.5151</v>
      </c>
      <c r="CJ996">
        <f t="shared" si="135"/>
        <v>1905.2891790888186</v>
      </c>
      <c r="CL996" s="1">
        <v>3.2764300000000001E-5</v>
      </c>
      <c r="CM996">
        <v>2.6179999999999998E-2</v>
      </c>
      <c r="CN996">
        <f t="shared" si="136"/>
        <v>2.0346835504870575</v>
      </c>
    </row>
    <row r="997" spans="4:92" x14ac:dyDescent="0.35">
      <c r="D997" s="1">
        <v>3.5852300000000002E-5</v>
      </c>
      <c r="E997">
        <v>14.244899999999999</v>
      </c>
      <c r="F997">
        <v>2.9232399999999998</v>
      </c>
      <c r="G997">
        <v>13.550700000000001</v>
      </c>
      <c r="I997" s="1">
        <v>3.5852300000000002E-5</v>
      </c>
      <c r="J997">
        <f t="shared" si="132"/>
        <v>2.5282487169138682E-2</v>
      </c>
      <c r="K997">
        <v>1.5514337016728731E-2</v>
      </c>
      <c r="L997">
        <v>4.4550270342049829E-2</v>
      </c>
      <c r="N997" s="1">
        <v>3.5852300000000002E-5</v>
      </c>
      <c r="O997">
        <f t="shared" si="133"/>
        <v>1.5514337016728731E-2</v>
      </c>
      <c r="Q997" s="1">
        <v>3.5852300000000002E-5</v>
      </c>
      <c r="R997">
        <f t="shared" si="134"/>
        <v>4.4550270342049829E-2</v>
      </c>
      <c r="CH997" s="1">
        <v>3.3188600000000003E-5</v>
      </c>
      <c r="CI997">
        <v>23.597999999999999</v>
      </c>
      <c r="CJ997">
        <f t="shared" si="135"/>
        <v>1834.0130796177841</v>
      </c>
      <c r="CL997" s="1">
        <v>3.3188600000000003E-5</v>
      </c>
      <c r="CM997">
        <v>2.6100000000000002E-2</v>
      </c>
      <c r="CN997">
        <f t="shared" si="136"/>
        <v>2.0284660300883197</v>
      </c>
    </row>
    <row r="998" spans="4:92" x14ac:dyDescent="0.35">
      <c r="D998" s="1">
        <v>3.6316599999999997E-5</v>
      </c>
      <c r="E998">
        <v>12.617599999999999</v>
      </c>
      <c r="F998">
        <v>0.15607399999999999</v>
      </c>
      <c r="G998">
        <v>8.6941400000000009</v>
      </c>
      <c r="I998" s="1">
        <v>3.6316599999999997E-5</v>
      </c>
      <c r="J998">
        <f t="shared" si="132"/>
        <v>2.2394282171536776E-2</v>
      </c>
      <c r="K998">
        <v>8.2832221629045857E-4</v>
      </c>
      <c r="L998">
        <v>2.8583489221341268E-2</v>
      </c>
      <c r="N998" s="1">
        <v>3.6316599999999997E-5</v>
      </c>
      <c r="O998">
        <f t="shared" si="133"/>
        <v>8.2832221629045857E-4</v>
      </c>
      <c r="Q998" s="1">
        <v>3.6316599999999997E-5</v>
      </c>
      <c r="R998">
        <f t="shared" si="134"/>
        <v>2.8583489221341268E-2</v>
      </c>
      <c r="CH998" s="1">
        <v>3.3618400000000003E-5</v>
      </c>
      <c r="CI998">
        <v>24.3811</v>
      </c>
      <c r="CJ998">
        <f t="shared" si="135"/>
        <v>1894.8748324209321</v>
      </c>
      <c r="CL998" s="1">
        <v>3.3618400000000003E-5</v>
      </c>
      <c r="CM998">
        <v>2.7199999999999998E-2</v>
      </c>
      <c r="CN998">
        <f t="shared" si="136"/>
        <v>2.1139569355709691</v>
      </c>
    </row>
    <row r="999" spans="4:92" x14ac:dyDescent="0.35">
      <c r="D999" s="1">
        <v>3.6786899999999998E-5</v>
      </c>
      <c r="E999">
        <v>12.429399999999999</v>
      </c>
      <c r="F999">
        <v>0.54463200000000001</v>
      </c>
      <c r="G999">
        <v>9.4231200000000008</v>
      </c>
      <c r="I999" s="1">
        <v>3.6786899999999998E-5</v>
      </c>
      <c r="J999">
        <f t="shared" si="132"/>
        <v>2.2060256373866598E-2</v>
      </c>
      <c r="K999">
        <v>2.8904928771140937E-3</v>
      </c>
      <c r="L999">
        <v>3.0980137075248996E-2</v>
      </c>
      <c r="N999" s="1">
        <v>3.6786899999999998E-5</v>
      </c>
      <c r="O999">
        <f t="shared" si="133"/>
        <v>2.8904928771140937E-3</v>
      </c>
      <c r="Q999" s="1">
        <v>3.6786899999999998E-5</v>
      </c>
      <c r="R999">
        <f t="shared" si="134"/>
        <v>3.0980137075248996E-2</v>
      </c>
      <c r="CH999" s="1">
        <v>3.4053800000000003E-5</v>
      </c>
      <c r="CI999">
        <v>23.517700000000001</v>
      </c>
      <c r="CJ999">
        <f t="shared" si="135"/>
        <v>1827.7722435175508</v>
      </c>
      <c r="CL999" s="1">
        <v>3.4053800000000003E-5</v>
      </c>
      <c r="CM999">
        <v>2.418E-2</v>
      </c>
      <c r="CN999">
        <f t="shared" si="136"/>
        <v>1.8792455405186042</v>
      </c>
    </row>
    <row r="1000" spans="4:92" x14ac:dyDescent="0.35">
      <c r="D1000" s="1">
        <v>3.7263299999999999E-5</v>
      </c>
      <c r="E1000">
        <v>13.991</v>
      </c>
      <c r="F1000">
        <v>2.6905899999999998</v>
      </c>
      <c r="G1000">
        <v>12.124499999999999</v>
      </c>
      <c r="I1000" s="1">
        <v>3.7263299999999999E-5</v>
      </c>
      <c r="J1000">
        <f t="shared" si="132"/>
        <v>2.4831854065905642E-2</v>
      </c>
      <c r="K1000">
        <v>1.4279607570312448E-2</v>
      </c>
      <c r="L1000">
        <v>3.9861391128294711E-2</v>
      </c>
      <c r="N1000" s="1">
        <v>3.7263299999999999E-5</v>
      </c>
      <c r="O1000">
        <f t="shared" si="133"/>
        <v>1.4279607570312448E-2</v>
      </c>
      <c r="Q1000" s="1">
        <v>3.7263299999999999E-5</v>
      </c>
      <c r="R1000">
        <f t="shared" si="134"/>
        <v>3.9861391128294711E-2</v>
      </c>
      <c r="CH1000" s="1">
        <v>3.44948E-5</v>
      </c>
      <c r="CI1000">
        <v>22.963899999999999</v>
      </c>
      <c r="CJ1000">
        <f t="shared" si="135"/>
        <v>1784.7314585572858</v>
      </c>
      <c r="CL1000" s="1">
        <v>3.44948E-5</v>
      </c>
      <c r="CM1000">
        <v>2.6270000000000002E-2</v>
      </c>
      <c r="CN1000">
        <f t="shared" si="136"/>
        <v>2.0416782609356381</v>
      </c>
    </row>
    <row r="1001" spans="4:92" x14ac:dyDescent="0.35">
      <c r="D1001" s="1">
        <v>3.7745900000000001E-5</v>
      </c>
      <c r="E1001">
        <v>14.2217</v>
      </c>
      <c r="F1001">
        <v>3.6686700000000001</v>
      </c>
      <c r="G1001">
        <v>12.810600000000001</v>
      </c>
      <c r="I1001" s="1">
        <v>3.7745900000000001E-5</v>
      </c>
      <c r="J1001">
        <f t="shared" si="132"/>
        <v>2.5241310769000807E-2</v>
      </c>
      <c r="K1001">
        <v>1.9470513123507546E-2</v>
      </c>
      <c r="L1001">
        <v>4.2117063564529031E-2</v>
      </c>
      <c r="N1001" s="1">
        <v>3.7745900000000001E-5</v>
      </c>
      <c r="O1001">
        <f t="shared" si="133"/>
        <v>1.9470513123507546E-2</v>
      </c>
      <c r="Q1001" s="1">
        <v>3.7745900000000001E-5</v>
      </c>
      <c r="R1001">
        <f t="shared" si="134"/>
        <v>4.2117063564529031E-2</v>
      </c>
      <c r="CH1001" s="1">
        <v>3.4941499999999997E-5</v>
      </c>
      <c r="CI1001">
        <v>23.473700000000001</v>
      </c>
      <c r="CJ1001">
        <f t="shared" si="135"/>
        <v>1824.3526072982447</v>
      </c>
      <c r="CL1001" s="1">
        <v>3.4941499999999997E-5</v>
      </c>
      <c r="CM1001">
        <v>3.5589999999999997E-2</v>
      </c>
      <c r="CN1001">
        <f t="shared" si="136"/>
        <v>2.7660193873886318</v>
      </c>
    </row>
    <row r="1002" spans="4:92" x14ac:dyDescent="0.35">
      <c r="D1002" s="1">
        <v>3.8234700000000002E-5</v>
      </c>
      <c r="E1002">
        <v>13.804600000000001</v>
      </c>
      <c r="F1002">
        <v>3.9732799999999999</v>
      </c>
      <c r="G1002">
        <v>13.133100000000001</v>
      </c>
      <c r="I1002" s="1">
        <v>3.8234700000000002E-5</v>
      </c>
      <c r="J1002">
        <f t="shared" si="132"/>
        <v>2.4501022988935819E-2</v>
      </c>
      <c r="K1002">
        <v>2.1087151579010938E-2</v>
      </c>
      <c r="L1002">
        <v>4.3177338102767721E-2</v>
      </c>
      <c r="N1002" s="1">
        <v>3.8234700000000002E-5</v>
      </c>
      <c r="O1002">
        <f t="shared" si="133"/>
        <v>2.1087151579010938E-2</v>
      </c>
      <c r="Q1002" s="1">
        <v>3.8234700000000002E-5</v>
      </c>
      <c r="R1002">
        <f t="shared" si="134"/>
        <v>4.3177338102767721E-2</v>
      </c>
      <c r="CH1002" s="1">
        <v>3.5394E-5</v>
      </c>
      <c r="CI1002">
        <v>24.785699999999999</v>
      </c>
      <c r="CJ1002">
        <f t="shared" si="135"/>
        <v>1926.3199418375502</v>
      </c>
      <c r="CL1002" s="1">
        <v>3.5394E-5</v>
      </c>
      <c r="CM1002">
        <v>2.9510000000000002E-2</v>
      </c>
      <c r="CN1002">
        <f t="shared" si="136"/>
        <v>2.2934878370845331</v>
      </c>
    </row>
    <row r="1003" spans="4:92" x14ac:dyDescent="0.35">
      <c r="D1003" s="1">
        <v>3.8729800000000003E-5</v>
      </c>
      <c r="E1003">
        <v>13.8849</v>
      </c>
      <c r="F1003">
        <v>3.8540899999999998</v>
      </c>
      <c r="G1003">
        <v>12.8775</v>
      </c>
      <c r="I1003" s="1">
        <v>3.8729800000000003E-5</v>
      </c>
      <c r="J1003">
        <f t="shared" si="132"/>
        <v>2.4643543029068207E-2</v>
      </c>
      <c r="K1003">
        <v>2.0454581612458791E-2</v>
      </c>
      <c r="L1003">
        <v>4.2337008887345054E-2</v>
      </c>
      <c r="N1003" s="1">
        <v>3.8729800000000003E-5</v>
      </c>
      <c r="O1003">
        <f t="shared" si="133"/>
        <v>2.0454581612458791E-2</v>
      </c>
      <c r="Q1003" s="1">
        <v>3.8729800000000003E-5</v>
      </c>
      <c r="R1003">
        <f t="shared" si="134"/>
        <v>4.2337008887345054E-2</v>
      </c>
      <c r="CH1003" s="1">
        <v>3.5852300000000002E-5</v>
      </c>
      <c r="CI1003">
        <v>26.451799999999999</v>
      </c>
      <c r="CJ1003">
        <f t="shared" si="135"/>
        <v>2055.8075760417705</v>
      </c>
      <c r="CL1003" s="1">
        <v>3.5852300000000002E-5</v>
      </c>
      <c r="CM1003">
        <v>2.5159999999999998E-2</v>
      </c>
      <c r="CN1003">
        <f t="shared" si="136"/>
        <v>1.9554101654031462</v>
      </c>
    </row>
    <row r="1004" spans="4:92" x14ac:dyDescent="0.35">
      <c r="D1004" s="1">
        <v>3.9231399999999998E-5</v>
      </c>
      <c r="E1004">
        <v>13.9031</v>
      </c>
      <c r="F1004">
        <v>3.7959200000000002</v>
      </c>
      <c r="G1004">
        <v>12.909599999999999</v>
      </c>
      <c r="I1004" s="1">
        <v>3.9231399999999998E-5</v>
      </c>
      <c r="J1004">
        <f t="shared" si="132"/>
        <v>2.4675845205038436E-2</v>
      </c>
      <c r="K1004">
        <v>2.0145859446552773E-2</v>
      </c>
      <c r="L1004">
        <v>4.2442543190220901E-2</v>
      </c>
      <c r="N1004" s="1">
        <v>3.9231399999999998E-5</v>
      </c>
      <c r="O1004">
        <f t="shared" si="133"/>
        <v>2.0145859446552773E-2</v>
      </c>
      <c r="Q1004" s="1">
        <v>3.9231399999999998E-5</v>
      </c>
      <c r="R1004">
        <f t="shared" si="134"/>
        <v>4.2442543190220901E-2</v>
      </c>
      <c r="CH1004" s="1">
        <v>3.6316599999999997E-5</v>
      </c>
      <c r="CI1004">
        <v>16.999600000000001</v>
      </c>
      <c r="CJ1004">
        <f t="shared" si="135"/>
        <v>1321.1919971298621</v>
      </c>
      <c r="CL1004" s="1">
        <v>3.6316599999999997E-5</v>
      </c>
      <c r="CM1004">
        <v>3.4860000000000002E-2</v>
      </c>
      <c r="CN1004">
        <f t="shared" si="136"/>
        <v>2.7092845137501467</v>
      </c>
    </row>
    <row r="1005" spans="4:92" x14ac:dyDescent="0.35">
      <c r="D1005" s="1">
        <v>3.9739400000000001E-5</v>
      </c>
      <c r="E1005">
        <v>14.1866</v>
      </c>
      <c r="F1005">
        <v>4.4652000000000003</v>
      </c>
      <c r="G1005">
        <v>13.412000000000001</v>
      </c>
      <c r="I1005" s="1">
        <v>3.9739400000000001E-5</v>
      </c>
      <c r="J1005">
        <f t="shared" si="132"/>
        <v>2.5179013715343937E-2</v>
      </c>
      <c r="K1005">
        <v>2.3697889207556389E-2</v>
      </c>
      <c r="L1005">
        <v>4.4094270098782522E-2</v>
      </c>
      <c r="N1005" s="1">
        <v>3.9739400000000001E-5</v>
      </c>
      <c r="O1005">
        <f t="shared" si="133"/>
        <v>2.3697889207556389E-2</v>
      </c>
      <c r="Q1005" s="1">
        <v>3.9739400000000001E-5</v>
      </c>
      <c r="R1005">
        <f t="shared" si="134"/>
        <v>4.4094270098782522E-2</v>
      </c>
      <c r="CH1005" s="1">
        <v>3.6786899999999998E-5</v>
      </c>
      <c r="CI1005">
        <v>19.2897</v>
      </c>
      <c r="CJ1005">
        <f t="shared" si="135"/>
        <v>1499.1762904442398</v>
      </c>
      <c r="CL1005" s="1">
        <v>3.6786899999999998E-5</v>
      </c>
      <c r="CM1005">
        <v>4.0529999999999997E-2</v>
      </c>
      <c r="CN1005">
        <f t="shared" si="136"/>
        <v>3.1499512720107119</v>
      </c>
    </row>
    <row r="1006" spans="4:92" x14ac:dyDescent="0.35">
      <c r="D1006" s="1">
        <v>4.0254099999999998E-5</v>
      </c>
      <c r="E1006">
        <v>14.3024</v>
      </c>
      <c r="F1006">
        <v>4.4592999999999998</v>
      </c>
      <c r="G1006">
        <v>13.0457</v>
      </c>
      <c r="I1006" s="1">
        <v>4.0254099999999998E-5</v>
      </c>
      <c r="J1006">
        <f t="shared" si="132"/>
        <v>2.5384540747066607E-2</v>
      </c>
      <c r="K1006">
        <v>2.3666576490024235E-2</v>
      </c>
      <c r="L1006">
        <v>4.2889995483722569E-2</v>
      </c>
      <c r="N1006" s="1">
        <v>4.0254099999999998E-5</v>
      </c>
      <c r="O1006">
        <f t="shared" si="133"/>
        <v>2.3666576490024235E-2</v>
      </c>
      <c r="Q1006" s="1">
        <v>4.0254099999999998E-5</v>
      </c>
      <c r="R1006">
        <f t="shared" si="134"/>
        <v>4.2889995483722569E-2</v>
      </c>
      <c r="CH1006" s="1">
        <v>3.7263299999999999E-5</v>
      </c>
      <c r="CI1006">
        <v>24.969200000000001</v>
      </c>
      <c r="CJ1006">
        <f t="shared" si="135"/>
        <v>1940.581379252156</v>
      </c>
      <c r="CL1006" s="1">
        <v>3.7263299999999999E-5</v>
      </c>
      <c r="CM1006">
        <v>2.2429999999999999E-2</v>
      </c>
      <c r="CN1006">
        <f t="shared" si="136"/>
        <v>1.7432372817962072</v>
      </c>
    </row>
    <row r="1007" spans="4:92" x14ac:dyDescent="0.35">
      <c r="D1007" s="1">
        <v>4.0775400000000003E-5</v>
      </c>
      <c r="E1007">
        <v>14.3611</v>
      </c>
      <c r="F1007">
        <v>4.44862</v>
      </c>
      <c r="G1007">
        <v>13.2453</v>
      </c>
      <c r="I1007" s="1">
        <v>4.0775400000000003E-5</v>
      </c>
      <c r="J1007">
        <f t="shared" si="132"/>
        <v>2.5488724138794765E-2</v>
      </c>
      <c r="K1007">
        <v>2.3609895164050772E-2</v>
      </c>
      <c r="L1007">
        <v>4.3546215011885187E-2</v>
      </c>
      <c r="N1007" s="1">
        <v>4.0775400000000003E-5</v>
      </c>
      <c r="O1007">
        <f t="shared" si="133"/>
        <v>2.3609895164050772E-2</v>
      </c>
      <c r="Q1007" s="1">
        <v>4.0775400000000003E-5</v>
      </c>
      <c r="R1007">
        <f t="shared" si="134"/>
        <v>4.3546215011885187E-2</v>
      </c>
      <c r="CH1007" s="1">
        <v>3.7745900000000001E-5</v>
      </c>
      <c r="CI1007">
        <v>24.4697</v>
      </c>
      <c r="CJ1007">
        <f t="shared" si="135"/>
        <v>1901.7607362625347</v>
      </c>
      <c r="CL1007" s="1">
        <v>3.7745900000000001E-5</v>
      </c>
      <c r="CM1007">
        <v>2.5680000000000001E-2</v>
      </c>
      <c r="CN1007">
        <f t="shared" si="136"/>
        <v>1.9958240479949445</v>
      </c>
    </row>
    <row r="1008" spans="4:92" x14ac:dyDescent="0.35">
      <c r="D1008" s="1">
        <v>4.1303400000000002E-5</v>
      </c>
      <c r="E1008">
        <v>14.2197</v>
      </c>
      <c r="F1008">
        <v>4.5272800000000002</v>
      </c>
      <c r="G1008">
        <v>13.038500000000001</v>
      </c>
      <c r="I1008" s="1">
        <v>4.1303400000000002E-5</v>
      </c>
      <c r="J1008">
        <f t="shared" si="132"/>
        <v>2.5237761079333745E-2</v>
      </c>
      <c r="K1008">
        <v>2.4027362682877789E-2</v>
      </c>
      <c r="L1008">
        <v>4.2866324238217707E-2</v>
      </c>
      <c r="N1008" s="1">
        <v>4.1303400000000002E-5</v>
      </c>
      <c r="O1008">
        <f t="shared" si="133"/>
        <v>2.4027362682877789E-2</v>
      </c>
      <c r="Q1008" s="1">
        <v>4.1303400000000002E-5</v>
      </c>
      <c r="R1008">
        <f t="shared" si="134"/>
        <v>4.2866324238217707E-2</v>
      </c>
      <c r="CH1008" s="1">
        <v>3.8234700000000002E-5</v>
      </c>
      <c r="CI1008">
        <v>24.747699999999998</v>
      </c>
      <c r="CJ1008">
        <f t="shared" si="135"/>
        <v>1923.3666196481495</v>
      </c>
      <c r="CL1008" s="1">
        <v>3.8234700000000002E-5</v>
      </c>
      <c r="CM1008">
        <v>2.3640000000000001E-2</v>
      </c>
      <c r="CN1008">
        <f t="shared" si="136"/>
        <v>1.8372772778271218</v>
      </c>
    </row>
    <row r="1009" spans="4:92" x14ac:dyDescent="0.35">
      <c r="D1009" s="1">
        <v>4.1838300000000002E-5</v>
      </c>
      <c r="E1009">
        <v>13.9535</v>
      </c>
      <c r="F1009">
        <v>4.4859900000000001</v>
      </c>
      <c r="G1009">
        <v>12.999000000000001</v>
      </c>
      <c r="I1009" s="1">
        <v>4.1838300000000002E-5</v>
      </c>
      <c r="J1009">
        <f t="shared" si="132"/>
        <v>2.4765297384648301E-2</v>
      </c>
      <c r="K1009">
        <v>2.3808226732555293E-2</v>
      </c>
      <c r="L1009">
        <v>4.2736461155239637E-2</v>
      </c>
      <c r="N1009" s="1">
        <v>4.1838300000000002E-5</v>
      </c>
      <c r="O1009">
        <f t="shared" si="133"/>
        <v>2.3808226732555293E-2</v>
      </c>
      <c r="Q1009" s="1">
        <v>4.1838300000000002E-5</v>
      </c>
      <c r="R1009">
        <f t="shared" si="134"/>
        <v>4.2736461155239637E-2</v>
      </c>
      <c r="CH1009" s="1">
        <v>3.8729800000000003E-5</v>
      </c>
      <c r="CI1009">
        <v>26.005600000000001</v>
      </c>
      <c r="CJ1009">
        <f t="shared" si="135"/>
        <v>2021.1293560178087</v>
      </c>
      <c r="CL1009" s="1">
        <v>3.8729800000000003E-5</v>
      </c>
      <c r="CM1009">
        <v>2.3730000000000001E-2</v>
      </c>
      <c r="CN1009">
        <f t="shared" si="136"/>
        <v>1.8442719882757022</v>
      </c>
    </row>
    <row r="1010" spans="4:92" x14ac:dyDescent="0.35">
      <c r="D1010" s="1">
        <v>4.2380099999999998E-5</v>
      </c>
      <c r="E1010">
        <v>14.1568</v>
      </c>
      <c r="F1010">
        <v>4.3697100000000004</v>
      </c>
      <c r="G1010">
        <v>13.0495</v>
      </c>
      <c r="I1010" s="1">
        <v>4.2380099999999998E-5</v>
      </c>
      <c r="J1010">
        <f t="shared" si="132"/>
        <v>2.5126123339304772E-2</v>
      </c>
      <c r="K1010">
        <v>2.3191100835158837E-2</v>
      </c>
      <c r="L1010">
        <v>4.2902488641072357E-2</v>
      </c>
      <c r="N1010" s="1">
        <v>4.2380099999999998E-5</v>
      </c>
      <c r="O1010">
        <f t="shared" si="133"/>
        <v>2.3191100835158837E-2</v>
      </c>
      <c r="Q1010" s="1">
        <v>4.2380099999999998E-5</v>
      </c>
      <c r="R1010">
        <f t="shared" si="134"/>
        <v>4.2902488641072357E-2</v>
      </c>
      <c r="CH1010" s="1">
        <v>3.9231399999999998E-5</v>
      </c>
      <c r="CI1010">
        <v>25.026199999999999</v>
      </c>
      <c r="CJ1010">
        <f t="shared" si="135"/>
        <v>1945.0113625362567</v>
      </c>
      <c r="CL1010" s="1">
        <v>3.9231399999999998E-5</v>
      </c>
      <c r="CM1010">
        <v>2.9239999999999999E-2</v>
      </c>
      <c r="CN1010">
        <f t="shared" si="136"/>
        <v>2.2725037057387918</v>
      </c>
    </row>
    <row r="1011" spans="4:92" x14ac:dyDescent="0.35">
      <c r="D1011" s="1">
        <v>4.2928900000000002E-5</v>
      </c>
      <c r="E1011">
        <v>14.1045</v>
      </c>
      <c r="F1011">
        <v>4.4813499999999999</v>
      </c>
      <c r="G1011">
        <v>13.3439</v>
      </c>
      <c r="I1011" s="1">
        <v>4.2928900000000002E-5</v>
      </c>
      <c r="J1011">
        <f t="shared" si="132"/>
        <v>2.5033298954511198E-2</v>
      </c>
      <c r="K1011">
        <v>2.378360113775034E-2</v>
      </c>
      <c r="L1011">
        <v>4.3870379568382342E-2</v>
      </c>
      <c r="N1011" s="1">
        <v>4.2928900000000002E-5</v>
      </c>
      <c r="O1011">
        <f t="shared" si="133"/>
        <v>2.378360113775034E-2</v>
      </c>
      <c r="Q1011" s="1">
        <v>4.2928900000000002E-5</v>
      </c>
      <c r="R1011">
        <f t="shared" si="134"/>
        <v>4.3870379568382342E-2</v>
      </c>
      <c r="CH1011" s="1">
        <v>3.9739400000000001E-5</v>
      </c>
      <c r="CI1011">
        <v>25.403099999999998</v>
      </c>
      <c r="CJ1011">
        <f t="shared" si="135"/>
        <v>1974.3036555148119</v>
      </c>
      <c r="CL1011" s="1">
        <v>3.9739400000000001E-5</v>
      </c>
      <c r="CM1011">
        <v>2.5520000000000001E-2</v>
      </c>
      <c r="CN1011">
        <f t="shared" si="136"/>
        <v>1.983389007197468</v>
      </c>
    </row>
    <row r="1012" spans="4:92" x14ac:dyDescent="0.35">
      <c r="D1012" s="1">
        <v>4.3484900000000001E-5</v>
      </c>
      <c r="E1012">
        <v>14.327299999999999</v>
      </c>
      <c r="F1012">
        <v>4.7310999999999996</v>
      </c>
      <c r="G1012">
        <v>12.9091</v>
      </c>
      <c r="I1012" s="1">
        <v>4.3484900000000001E-5</v>
      </c>
      <c r="J1012">
        <f t="shared" si="132"/>
        <v>2.5428734383421477E-2</v>
      </c>
      <c r="K1012">
        <v>2.5109084392607277E-2</v>
      </c>
      <c r="L1012">
        <v>4.2440899353727517E-2</v>
      </c>
      <c r="N1012" s="1">
        <v>4.3484900000000001E-5</v>
      </c>
      <c r="O1012">
        <f t="shared" si="133"/>
        <v>2.5109084392607277E-2</v>
      </c>
      <c r="Q1012" s="1">
        <v>4.3484900000000001E-5</v>
      </c>
      <c r="R1012">
        <f t="shared" si="134"/>
        <v>4.2440899353727517E-2</v>
      </c>
      <c r="CH1012" s="1">
        <v>4.0254099999999998E-5</v>
      </c>
      <c r="CI1012">
        <v>25.827300000000001</v>
      </c>
      <c r="CJ1012">
        <f t="shared" si="135"/>
        <v>2007.2720574291211</v>
      </c>
      <c r="CL1012" s="1">
        <v>4.0254099999999998E-5</v>
      </c>
      <c r="CM1012">
        <v>2.5319999999999999E-2</v>
      </c>
      <c r="CN1012">
        <f t="shared" si="136"/>
        <v>1.9678452062006226</v>
      </c>
    </row>
    <row r="1013" spans="4:92" x14ac:dyDescent="0.35">
      <c r="D1013" s="1">
        <v>4.4048000000000002E-5</v>
      </c>
      <c r="E1013">
        <v>14.361700000000001</v>
      </c>
      <c r="F1013">
        <v>4.58012</v>
      </c>
      <c r="G1013">
        <v>13.058400000000001</v>
      </c>
      <c r="I1013" s="1">
        <v>4.4048000000000002E-5</v>
      </c>
      <c r="J1013">
        <f t="shared" si="132"/>
        <v>2.5489789045694881E-2</v>
      </c>
      <c r="K1013">
        <v>2.4307797258199672E-2</v>
      </c>
      <c r="L1013">
        <v>4.293174893065476E-2</v>
      </c>
      <c r="N1013" s="1">
        <v>4.4048000000000002E-5</v>
      </c>
      <c r="O1013">
        <f t="shared" si="133"/>
        <v>2.4307797258199672E-2</v>
      </c>
      <c r="Q1013" s="1">
        <v>4.4048000000000002E-5</v>
      </c>
      <c r="R1013">
        <f t="shared" si="134"/>
        <v>4.293174893065476E-2</v>
      </c>
      <c r="CH1013" s="1">
        <v>4.0775400000000003E-5</v>
      </c>
      <c r="CI1013">
        <v>25.741399999999999</v>
      </c>
      <c r="CJ1013">
        <f t="shared" si="135"/>
        <v>2000.5959949009757</v>
      </c>
      <c r="CL1013" s="1">
        <v>4.0775400000000003E-5</v>
      </c>
      <c r="CM1013">
        <v>2.366E-2</v>
      </c>
      <c r="CN1013">
        <f t="shared" si="136"/>
        <v>1.8388316579268063</v>
      </c>
    </row>
    <row r="1014" spans="4:92" x14ac:dyDescent="0.35">
      <c r="D1014" s="1">
        <v>4.46184E-5</v>
      </c>
      <c r="E1014">
        <v>14.031499999999999</v>
      </c>
      <c r="F1014">
        <v>4.7749199999999998</v>
      </c>
      <c r="G1014">
        <v>12.935700000000001</v>
      </c>
      <c r="I1014" s="1">
        <v>4.46184E-5</v>
      </c>
      <c r="J1014">
        <f t="shared" si="132"/>
        <v>2.4903735281663571E-2</v>
      </c>
      <c r="K1014">
        <v>2.5341647660786785E-2</v>
      </c>
      <c r="L1014">
        <v>4.2528351455176042E-2</v>
      </c>
      <c r="N1014" s="1">
        <v>4.46184E-5</v>
      </c>
      <c r="O1014">
        <f t="shared" si="133"/>
        <v>2.5341647660786785E-2</v>
      </c>
      <c r="Q1014" s="1">
        <v>4.46184E-5</v>
      </c>
      <c r="R1014">
        <f t="shared" si="134"/>
        <v>4.2528351455176042E-2</v>
      </c>
      <c r="CH1014" s="1">
        <v>4.1303400000000002E-5</v>
      </c>
      <c r="CI1014">
        <v>25.6495</v>
      </c>
      <c r="CJ1014">
        <f t="shared" si="135"/>
        <v>1993.4536183429254</v>
      </c>
      <c r="CL1014" s="1">
        <v>4.1303400000000002E-5</v>
      </c>
      <c r="CM1014">
        <v>2.1760000000000002E-2</v>
      </c>
      <c r="CN1014">
        <f t="shared" si="136"/>
        <v>1.6911655484567754</v>
      </c>
    </row>
    <row r="1015" spans="4:92" x14ac:dyDescent="0.35">
      <c r="D1015" s="1">
        <v>4.5196199999999999E-5</v>
      </c>
      <c r="E1015">
        <v>14.294600000000001</v>
      </c>
      <c r="F1015">
        <v>4.6109999999999998</v>
      </c>
      <c r="G1015">
        <v>13.060499999999999</v>
      </c>
      <c r="I1015" s="1">
        <v>4.5196199999999999E-5</v>
      </c>
      <c r="J1015">
        <f t="shared" si="132"/>
        <v>2.5370696957365081E-2</v>
      </c>
      <c r="K1015">
        <v>2.4471684837418815E-2</v>
      </c>
      <c r="L1015">
        <v>4.2938653043927008E-2</v>
      </c>
      <c r="N1015" s="1">
        <v>4.5196199999999999E-5</v>
      </c>
      <c r="O1015">
        <f t="shared" si="133"/>
        <v>2.4471684837418815E-2</v>
      </c>
      <c r="Q1015" s="1">
        <v>4.5196199999999999E-5</v>
      </c>
      <c r="R1015">
        <f t="shared" si="134"/>
        <v>4.2938653043927008E-2</v>
      </c>
      <c r="CH1015" s="1">
        <v>4.1838300000000002E-5</v>
      </c>
      <c r="CI1015">
        <v>24.686800000000002</v>
      </c>
      <c r="CJ1015">
        <f t="shared" si="135"/>
        <v>1918.6335322446105</v>
      </c>
      <c r="CL1015" s="1">
        <v>4.1838300000000002E-5</v>
      </c>
      <c r="CM1015">
        <v>2.35E-2</v>
      </c>
      <c r="CN1015">
        <f t="shared" si="136"/>
        <v>1.82639661712933</v>
      </c>
    </row>
    <row r="1016" spans="4:92" x14ac:dyDescent="0.35">
      <c r="D1016" s="1">
        <v>4.5781500000000002E-5</v>
      </c>
      <c r="E1016">
        <v>14.0181</v>
      </c>
      <c r="F1016">
        <v>4.8859399999999997</v>
      </c>
      <c r="G1016">
        <v>13.301600000000001</v>
      </c>
      <c r="I1016" s="1">
        <v>4.5781500000000002E-5</v>
      </c>
      <c r="J1016">
        <f t="shared" si="132"/>
        <v>2.4879952360894284E-2</v>
      </c>
      <c r="K1016">
        <v>2.5930857474417281E-2</v>
      </c>
      <c r="L1016">
        <v>4.3731311001041273E-2</v>
      </c>
      <c r="N1016" s="1">
        <v>4.5781500000000002E-5</v>
      </c>
      <c r="O1016">
        <f t="shared" si="133"/>
        <v>2.5930857474417281E-2</v>
      </c>
      <c r="Q1016" s="1">
        <v>4.5781500000000002E-5</v>
      </c>
      <c r="R1016">
        <f t="shared" si="134"/>
        <v>4.3731311001041273E-2</v>
      </c>
      <c r="CH1016" s="1">
        <v>4.2380099999999998E-5</v>
      </c>
      <c r="CI1016">
        <v>24.639199999999999</v>
      </c>
      <c r="CJ1016">
        <f t="shared" si="135"/>
        <v>1914.9341076073611</v>
      </c>
      <c r="CL1016" s="1">
        <v>4.2380099999999998E-5</v>
      </c>
      <c r="CM1016">
        <v>2.6009999999999998E-2</v>
      </c>
      <c r="CN1016">
        <f t="shared" si="136"/>
        <v>2.0214713196397391</v>
      </c>
    </row>
    <row r="1017" spans="4:92" x14ac:dyDescent="0.35">
      <c r="D1017" s="1">
        <v>4.6374400000000001E-5</v>
      </c>
      <c r="E1017">
        <v>14.382099999999999</v>
      </c>
      <c r="F1017">
        <v>4.6174999999999997</v>
      </c>
      <c r="G1017">
        <v>12.978899999999999</v>
      </c>
      <c r="I1017" s="1">
        <v>4.6374400000000001E-5</v>
      </c>
      <c r="J1017">
        <f t="shared" si="132"/>
        <v>2.5525995880298875E-2</v>
      </c>
      <c r="K1017">
        <v>2.4506181899106787E-2</v>
      </c>
      <c r="L1017">
        <v>4.2670378928205223E-2</v>
      </c>
      <c r="N1017" s="1">
        <v>4.6374400000000001E-5</v>
      </c>
      <c r="O1017">
        <f t="shared" si="133"/>
        <v>2.4506181899106787E-2</v>
      </c>
      <c r="Q1017" s="1">
        <v>4.6374400000000001E-5</v>
      </c>
      <c r="R1017">
        <f t="shared" si="134"/>
        <v>4.2670378928205223E-2</v>
      </c>
      <c r="CH1017" s="1">
        <v>4.2928900000000002E-5</v>
      </c>
      <c r="CI1017">
        <v>24.844999999999999</v>
      </c>
      <c r="CJ1017">
        <f t="shared" si="135"/>
        <v>1930.9286788331149</v>
      </c>
      <c r="CL1017" s="1">
        <v>4.2928900000000002E-5</v>
      </c>
      <c r="CM1017">
        <v>2.3789999999999999E-2</v>
      </c>
      <c r="CN1017">
        <f t="shared" si="136"/>
        <v>1.8489351285747555</v>
      </c>
    </row>
    <row r="1018" spans="4:92" x14ac:dyDescent="0.35">
      <c r="D1018" s="1">
        <v>4.6974900000000003E-5</v>
      </c>
      <c r="E1018">
        <v>13.9643</v>
      </c>
      <c r="F1018">
        <v>4.6209699999999998</v>
      </c>
      <c r="G1018">
        <v>13.182</v>
      </c>
      <c r="I1018" s="1">
        <v>4.6974900000000003E-5</v>
      </c>
      <c r="J1018">
        <f t="shared" si="132"/>
        <v>2.4784465708850418E-2</v>
      </c>
      <c r="K1018">
        <v>2.45245980228079E-2</v>
      </c>
      <c r="L1018">
        <v>4.3338105311821591E-2</v>
      </c>
      <c r="N1018" s="1">
        <v>4.6974900000000003E-5</v>
      </c>
      <c r="O1018">
        <f t="shared" si="133"/>
        <v>2.45245980228079E-2</v>
      </c>
      <c r="Q1018" s="1">
        <v>4.6974900000000003E-5</v>
      </c>
      <c r="R1018">
        <f t="shared" si="134"/>
        <v>4.3338105311821591E-2</v>
      </c>
      <c r="CH1018" s="1">
        <v>4.3484900000000001E-5</v>
      </c>
      <c r="CI1018">
        <v>25.0379</v>
      </c>
      <c r="CJ1018">
        <f t="shared" si="135"/>
        <v>1945.9206748945724</v>
      </c>
      <c r="CL1018" s="1">
        <v>4.3484900000000001E-5</v>
      </c>
      <c r="CM1018">
        <v>2.2349999999999998E-2</v>
      </c>
      <c r="CN1018">
        <f t="shared" si="136"/>
        <v>1.7370197613974689</v>
      </c>
    </row>
    <row r="1019" spans="4:92" x14ac:dyDescent="0.35">
      <c r="D1019" s="1">
        <v>4.7583300000000002E-5</v>
      </c>
      <c r="E1019">
        <v>14.039400000000001</v>
      </c>
      <c r="F1019">
        <v>4.6760400000000004</v>
      </c>
      <c r="G1019">
        <v>13</v>
      </c>
      <c r="I1019" s="1">
        <v>4.7583300000000002E-5</v>
      </c>
      <c r="J1019">
        <f t="shared" si="132"/>
        <v>2.4917756555848453E-2</v>
      </c>
      <c r="K1019">
        <v>2.4816867743908892E-2</v>
      </c>
      <c r="L1019">
        <v>4.2739748828226419E-2</v>
      </c>
      <c r="N1019" s="1">
        <v>4.7583300000000002E-5</v>
      </c>
      <c r="O1019">
        <f t="shared" si="133"/>
        <v>2.4816867743908892E-2</v>
      </c>
      <c r="Q1019" s="1">
        <v>4.7583300000000002E-5</v>
      </c>
      <c r="R1019">
        <f t="shared" si="134"/>
        <v>4.2739748828226419E-2</v>
      </c>
      <c r="CH1019" s="1">
        <v>4.4048000000000002E-5</v>
      </c>
      <c r="CI1019">
        <v>24.865300000000001</v>
      </c>
      <c r="CJ1019">
        <f t="shared" si="135"/>
        <v>1932.5063746342948</v>
      </c>
      <c r="CL1019" s="1">
        <v>4.4048000000000002E-5</v>
      </c>
      <c r="CM1019">
        <v>2.409E-2</v>
      </c>
      <c r="CN1019">
        <f t="shared" si="136"/>
        <v>1.8722508300700238</v>
      </c>
    </row>
    <row r="1020" spans="4:92" x14ac:dyDescent="0.35">
      <c r="D1020" s="1">
        <v>4.8199499999999998E-5</v>
      </c>
      <c r="E1020">
        <v>14.0593</v>
      </c>
      <c r="F1020">
        <v>4.8045600000000004</v>
      </c>
      <c r="G1020">
        <v>12.970499999999999</v>
      </c>
      <c r="I1020" s="1">
        <v>4.8199499999999998E-5</v>
      </c>
      <c r="J1020">
        <f t="shared" si="132"/>
        <v>2.4953075968035685E-2</v>
      </c>
      <c r="K1020">
        <v>2.5498954262083925E-2</v>
      </c>
      <c r="L1020">
        <v>4.2642762475116211E-2</v>
      </c>
      <c r="N1020" s="1">
        <v>4.8199499999999998E-5</v>
      </c>
      <c r="O1020">
        <f t="shared" si="133"/>
        <v>2.5498954262083925E-2</v>
      </c>
      <c r="Q1020" s="1">
        <v>4.8199499999999998E-5</v>
      </c>
      <c r="R1020">
        <f t="shared" si="134"/>
        <v>4.2642762475116211E-2</v>
      </c>
      <c r="CH1020" s="1">
        <v>4.46184E-5</v>
      </c>
      <c r="CI1020">
        <v>24.944299999999998</v>
      </c>
      <c r="CJ1020">
        <f t="shared" si="135"/>
        <v>1938.6461760280486</v>
      </c>
      <c r="CL1020" s="1">
        <v>4.46184E-5</v>
      </c>
      <c r="CM1020">
        <v>2.0619999999999999E-2</v>
      </c>
      <c r="CN1020">
        <f t="shared" si="136"/>
        <v>1.6025658827747566</v>
      </c>
    </row>
    <row r="1021" spans="4:92" x14ac:dyDescent="0.35">
      <c r="D1021" s="1">
        <v>4.8823699999999998E-5</v>
      </c>
      <c r="E1021">
        <v>14.172599999999999</v>
      </c>
      <c r="F1021">
        <v>4.9620899999999999</v>
      </c>
      <c r="G1021">
        <v>13.0227</v>
      </c>
      <c r="I1021" s="1">
        <v>4.8823699999999998E-5</v>
      </c>
      <c r="J1021">
        <f t="shared" si="132"/>
        <v>2.5154165887674527E-2</v>
      </c>
      <c r="K1021">
        <v>2.6335003820192483E-2</v>
      </c>
      <c r="L1021">
        <v>4.2814379005026472E-2</v>
      </c>
      <c r="N1021" s="1">
        <v>4.8823699999999998E-5</v>
      </c>
      <c r="O1021">
        <f t="shared" si="133"/>
        <v>2.6335003820192483E-2</v>
      </c>
      <c r="Q1021" s="1">
        <v>4.8823699999999998E-5</v>
      </c>
      <c r="R1021">
        <f t="shared" si="134"/>
        <v>4.2814379005026472E-2</v>
      </c>
      <c r="CH1021" s="1">
        <v>4.5196199999999999E-5</v>
      </c>
      <c r="CI1021">
        <v>26.0244</v>
      </c>
      <c r="CJ1021">
        <f t="shared" si="135"/>
        <v>2022.5904733115121</v>
      </c>
      <c r="CL1021" s="1">
        <v>4.5196199999999999E-5</v>
      </c>
      <c r="CM1021">
        <v>2.5180000000000001E-2</v>
      </c>
      <c r="CN1021">
        <f t="shared" si="136"/>
        <v>1.9569645455028311</v>
      </c>
    </row>
    <row r="1022" spans="4:92" x14ac:dyDescent="0.35">
      <c r="D1022" s="1">
        <v>4.9455900000000002E-5</v>
      </c>
      <c r="E1022">
        <v>14.0045</v>
      </c>
      <c r="F1022">
        <v>4.7490100000000002</v>
      </c>
      <c r="G1022">
        <v>13.0497</v>
      </c>
      <c r="I1022" s="1">
        <v>4.9455900000000002E-5</v>
      </c>
      <c r="J1022">
        <f t="shared" si="132"/>
        <v>2.4855814471158286E-2</v>
      </c>
      <c r="K1022">
        <v>2.5204137065658286E-2</v>
      </c>
      <c r="L1022">
        <v>4.2903146175669718E-2</v>
      </c>
      <c r="N1022" s="1">
        <v>4.9455900000000002E-5</v>
      </c>
      <c r="O1022">
        <f t="shared" si="133"/>
        <v>2.5204137065658286E-2</v>
      </c>
      <c r="Q1022" s="1">
        <v>4.9455900000000002E-5</v>
      </c>
      <c r="R1022">
        <f t="shared" si="134"/>
        <v>4.2903146175669718E-2</v>
      </c>
      <c r="CH1022" s="1">
        <v>4.5781500000000002E-5</v>
      </c>
      <c r="CI1022">
        <v>25.816600000000001</v>
      </c>
      <c r="CJ1022">
        <f t="shared" si="135"/>
        <v>2006.4404640757898</v>
      </c>
      <c r="CL1022" s="1">
        <v>4.5781500000000002E-5</v>
      </c>
      <c r="CM1022">
        <v>2.332E-2</v>
      </c>
      <c r="CN1022">
        <f t="shared" si="136"/>
        <v>1.8124071962321691</v>
      </c>
    </row>
    <row r="1023" spans="4:92" x14ac:dyDescent="0.35">
      <c r="D1023" s="1">
        <v>5.0096399999999997E-5</v>
      </c>
      <c r="E1023">
        <v>14.2385</v>
      </c>
      <c r="F1023">
        <v>4.6767700000000003</v>
      </c>
      <c r="G1023">
        <v>13.2814</v>
      </c>
      <c r="I1023" s="1">
        <v>5.0096399999999997E-5</v>
      </c>
      <c r="J1023">
        <f t="shared" si="132"/>
        <v>2.5271128162204094E-2</v>
      </c>
      <c r="K1023">
        <v>2.4820742029298463E-2</v>
      </c>
      <c r="L1023">
        <v>4.3664900006708182E-2</v>
      </c>
      <c r="N1023" s="1">
        <v>5.0096399999999997E-5</v>
      </c>
      <c r="O1023">
        <f t="shared" si="133"/>
        <v>2.4820742029298463E-2</v>
      </c>
      <c r="Q1023" s="1">
        <v>5.0096399999999997E-5</v>
      </c>
      <c r="R1023">
        <f t="shared" si="134"/>
        <v>4.3664900006708182E-2</v>
      </c>
      <c r="CH1023" s="1">
        <v>4.6374400000000001E-5</v>
      </c>
      <c r="CI1023">
        <v>26.033999999999999</v>
      </c>
      <c r="CJ1023">
        <f t="shared" si="135"/>
        <v>2023.3365757593606</v>
      </c>
      <c r="CL1023" s="1">
        <v>4.6374400000000001E-5</v>
      </c>
      <c r="CM1023">
        <v>0.12914999999999999</v>
      </c>
      <c r="CN1023">
        <f t="shared" si="136"/>
        <v>10.037409493712891</v>
      </c>
    </row>
    <row r="1024" spans="4:92" x14ac:dyDescent="0.35">
      <c r="D1024" s="1">
        <v>5.0745200000000003E-5</v>
      </c>
      <c r="E1024">
        <v>14.2476</v>
      </c>
      <c r="F1024">
        <v>4.6088399999999998</v>
      </c>
      <c r="G1024">
        <v>13.407500000000001</v>
      </c>
      <c r="I1024" s="1">
        <v>5.0745200000000003E-5</v>
      </c>
      <c r="J1024">
        <f t="shared" si="132"/>
        <v>2.5287279250189209E-2</v>
      </c>
      <c r="K1024">
        <v>2.4460221198457893E-2</v>
      </c>
      <c r="L1024">
        <v>4.4079475570341982E-2</v>
      </c>
      <c r="N1024" s="1">
        <v>5.0745200000000003E-5</v>
      </c>
      <c r="O1024">
        <f t="shared" si="133"/>
        <v>2.4460221198457893E-2</v>
      </c>
      <c r="Q1024" s="1">
        <v>5.0745200000000003E-5</v>
      </c>
      <c r="R1024">
        <f t="shared" si="134"/>
        <v>4.4079475570341982E-2</v>
      </c>
      <c r="CH1024" s="1">
        <v>4.6974900000000003E-5</v>
      </c>
      <c r="CI1024">
        <v>25.623200000000001</v>
      </c>
      <c r="CJ1024">
        <f t="shared" si="135"/>
        <v>1991.4096085118404</v>
      </c>
      <c r="CL1024" s="1">
        <v>4.6974900000000003E-5</v>
      </c>
      <c r="CM1024">
        <v>2.2069999999999999E-2</v>
      </c>
      <c r="CN1024">
        <f t="shared" si="136"/>
        <v>1.7152584400018855</v>
      </c>
    </row>
    <row r="1025" spans="4:92" x14ac:dyDescent="0.35">
      <c r="D1025" s="1">
        <v>5.1402300000000001E-5</v>
      </c>
      <c r="E1025">
        <v>13.775499999999999</v>
      </c>
      <c r="F1025">
        <v>4.7537900000000004</v>
      </c>
      <c r="G1025">
        <v>13.2607</v>
      </c>
      <c r="I1025" s="1">
        <v>5.1402300000000001E-5</v>
      </c>
      <c r="J1025">
        <f t="shared" si="132"/>
        <v>2.4449375004280124E-2</v>
      </c>
      <c r="K1025">
        <v>2.5229505674099591E-2</v>
      </c>
      <c r="L1025">
        <v>4.3596845175881693E-2</v>
      </c>
      <c r="N1025" s="1">
        <v>5.1402300000000001E-5</v>
      </c>
      <c r="O1025">
        <f t="shared" si="133"/>
        <v>2.5229505674099591E-2</v>
      </c>
      <c r="Q1025" s="1">
        <v>5.1402300000000001E-5</v>
      </c>
      <c r="R1025">
        <f t="shared" si="134"/>
        <v>4.3596845175881693E-2</v>
      </c>
      <c r="CH1025" s="1">
        <v>4.7583300000000002E-5</v>
      </c>
      <c r="CI1025">
        <v>24.807099999999998</v>
      </c>
      <c r="CJ1025">
        <f t="shared" si="135"/>
        <v>1927.9831285442126</v>
      </c>
      <c r="CL1025" s="1">
        <v>4.7583300000000002E-5</v>
      </c>
      <c r="CM1025">
        <v>2.3089999999999999E-2</v>
      </c>
      <c r="CN1025">
        <f t="shared" si="136"/>
        <v>1.7945318250857969</v>
      </c>
    </row>
    <row r="1026" spans="4:92" x14ac:dyDescent="0.35">
      <c r="D1026" s="1">
        <v>5.2067999999999997E-5</v>
      </c>
      <c r="E1026">
        <v>14.2021</v>
      </c>
      <c r="F1026">
        <v>5.1403800000000004</v>
      </c>
      <c r="G1026">
        <v>12.992699999999999</v>
      </c>
      <c r="I1026" s="1">
        <v>5.2067999999999997E-5</v>
      </c>
      <c r="J1026">
        <f t="shared" si="132"/>
        <v>2.5206523810263635E-2</v>
      </c>
      <c r="K1026">
        <v>2.7281231686092158E-2</v>
      </c>
      <c r="L1026">
        <v>4.2715748815422873E-2</v>
      </c>
      <c r="N1026" s="1">
        <v>5.2067999999999997E-5</v>
      </c>
      <c r="O1026">
        <f t="shared" si="133"/>
        <v>2.7281231686092158E-2</v>
      </c>
      <c r="Q1026" s="1">
        <v>5.2067999999999997E-5</v>
      </c>
      <c r="R1026">
        <f t="shared" si="134"/>
        <v>4.2715748815422873E-2</v>
      </c>
      <c r="CH1026" s="1">
        <v>4.8199499999999998E-5</v>
      </c>
      <c r="CI1026">
        <v>25.068899999999999</v>
      </c>
      <c r="CJ1026">
        <f t="shared" si="135"/>
        <v>1948.3299640490832</v>
      </c>
      <c r="CL1026" s="1">
        <v>4.8199499999999998E-5</v>
      </c>
      <c r="CM1026">
        <v>2.2939999999999999E-2</v>
      </c>
      <c r="CN1026">
        <f t="shared" si="136"/>
        <v>1.7828739743381627</v>
      </c>
    </row>
    <row r="1027" spans="4:92" x14ac:dyDescent="0.35">
      <c r="D1027" s="1">
        <v>5.2742299999999998E-5</v>
      </c>
      <c r="E1027">
        <v>14.1736</v>
      </c>
      <c r="F1027">
        <v>5.4243600000000001</v>
      </c>
      <c r="G1027">
        <v>13.2387</v>
      </c>
      <c r="I1027" s="1">
        <v>5.2742299999999998E-5</v>
      </c>
      <c r="J1027">
        <f t="shared" si="132"/>
        <v>2.5155940732508059E-2</v>
      </c>
      <c r="K1027">
        <v>2.8788381775038202E-2</v>
      </c>
      <c r="L1027">
        <v>4.3524516370172392E-2</v>
      </c>
      <c r="N1027" s="1">
        <v>5.2742299999999998E-5</v>
      </c>
      <c r="O1027">
        <f t="shared" si="133"/>
        <v>2.8788381775038202E-2</v>
      </c>
      <c r="Q1027" s="1">
        <v>5.2742299999999998E-5</v>
      </c>
      <c r="R1027">
        <f t="shared" si="134"/>
        <v>4.3524516370172392E-2</v>
      </c>
      <c r="CH1027" s="1">
        <v>4.8823699999999998E-5</v>
      </c>
      <c r="CI1027">
        <v>26.4466</v>
      </c>
      <c r="CJ1027">
        <f t="shared" si="135"/>
        <v>2055.4034372158526</v>
      </c>
      <c r="CL1027" s="1">
        <v>4.8823699999999998E-5</v>
      </c>
      <c r="CM1027">
        <v>2.3980000000000001E-2</v>
      </c>
      <c r="CN1027">
        <f t="shared" si="136"/>
        <v>1.8637017395217588</v>
      </c>
    </row>
    <row r="1028" spans="4:92" x14ac:dyDescent="0.35">
      <c r="D1028" s="1">
        <v>5.3425299999999998E-5</v>
      </c>
      <c r="E1028">
        <v>14.2424</v>
      </c>
      <c r="F1028">
        <v>5.2528199999999998</v>
      </c>
      <c r="G1028">
        <v>13.015000000000001</v>
      </c>
      <c r="I1028" s="1">
        <v>5.3425299999999998E-5</v>
      </c>
      <c r="J1028">
        <f t="shared" ref="J1028:J1091" si="137">E1028/SUM($E$3:$E$2002)/$C$3</f>
        <v>2.5278050057054857E-2</v>
      </c>
      <c r="K1028">
        <v>2.7877977780891416E-2</v>
      </c>
      <c r="L1028">
        <v>4.2789063923028219E-2</v>
      </c>
      <c r="N1028" s="1">
        <v>5.3425299999999998E-5</v>
      </c>
      <c r="O1028">
        <f t="shared" ref="O1028:O1091" si="138">F1028/SUM($F$3:$F$2002)/$C$3</f>
        <v>2.7877977780891416E-2</v>
      </c>
      <c r="Q1028" s="1">
        <v>5.3425299999999998E-5</v>
      </c>
      <c r="R1028">
        <f t="shared" ref="R1028:R1091" si="139">G1028/SUM($G$3:$G$2002)/$C$3</f>
        <v>4.2789063923028219E-2</v>
      </c>
      <c r="CH1028" s="1">
        <v>4.9455900000000002E-5</v>
      </c>
      <c r="CI1028">
        <v>26.466999999999999</v>
      </c>
      <c r="CJ1028">
        <f t="shared" si="135"/>
        <v>2056.9889049175308</v>
      </c>
      <c r="CL1028" s="1">
        <v>4.9455900000000002E-5</v>
      </c>
      <c r="CM1028">
        <v>2.6870000000000002E-2</v>
      </c>
      <c r="CN1028">
        <f t="shared" si="136"/>
        <v>2.0883096639261742</v>
      </c>
    </row>
    <row r="1029" spans="4:92" x14ac:dyDescent="0.35">
      <c r="D1029" s="1">
        <v>5.4117099999999997E-5</v>
      </c>
      <c r="E1029">
        <v>13.8901</v>
      </c>
      <c r="F1029">
        <v>5.0796999999999999</v>
      </c>
      <c r="G1029">
        <v>13.162800000000001</v>
      </c>
      <c r="I1029" s="1">
        <v>5.4117099999999997E-5</v>
      </c>
      <c r="J1029">
        <f t="shared" si="137"/>
        <v>2.4652772222202558E-2</v>
      </c>
      <c r="K1029">
        <v>2.6959188347134323E-2</v>
      </c>
      <c r="L1029">
        <v>4.3274981990475282E-2</v>
      </c>
      <c r="N1029" s="1">
        <v>5.4117099999999997E-5</v>
      </c>
      <c r="O1029">
        <f t="shared" si="138"/>
        <v>2.6959188347134323E-2</v>
      </c>
      <c r="Q1029" s="1">
        <v>5.4117099999999997E-5</v>
      </c>
      <c r="R1029">
        <f t="shared" si="139"/>
        <v>4.3274981990475282E-2</v>
      </c>
      <c r="CH1029" s="1">
        <v>5.0096399999999997E-5</v>
      </c>
      <c r="CI1029">
        <v>26.4041</v>
      </c>
      <c r="CJ1029">
        <f t="shared" si="135"/>
        <v>2052.1003795040228</v>
      </c>
      <c r="CL1029" s="1">
        <v>5.0096399999999997E-5</v>
      </c>
      <c r="CM1029">
        <v>2.4590000000000001E-2</v>
      </c>
      <c r="CN1029">
        <f t="shared" si="136"/>
        <v>1.9111103325621372</v>
      </c>
    </row>
    <row r="1030" spans="4:92" x14ac:dyDescent="0.35">
      <c r="D1030" s="1">
        <v>5.4818000000000003E-5</v>
      </c>
      <c r="E1030">
        <v>14.2996</v>
      </c>
      <c r="F1030">
        <v>4.8260300000000003</v>
      </c>
      <c r="G1030">
        <v>13.229699999999999</v>
      </c>
      <c r="I1030" s="1">
        <v>5.4818000000000003E-5</v>
      </c>
      <c r="J1030">
        <f t="shared" si="137"/>
        <v>2.5379571181532726E-2</v>
      </c>
      <c r="K1030">
        <v>2.5612900710459414E-2</v>
      </c>
      <c r="L1030">
        <v>4.3494927313291312E-2</v>
      </c>
      <c r="N1030" s="1">
        <v>5.4818000000000003E-5</v>
      </c>
      <c r="O1030">
        <f t="shared" si="138"/>
        <v>2.5612900710459414E-2</v>
      </c>
      <c r="Q1030" s="1">
        <v>5.4818000000000003E-5</v>
      </c>
      <c r="R1030">
        <f t="shared" si="139"/>
        <v>4.3494927313291312E-2</v>
      </c>
      <c r="CH1030" s="1">
        <v>5.0745200000000003E-5</v>
      </c>
      <c r="CI1030">
        <v>26.158999999999999</v>
      </c>
      <c r="CJ1030">
        <f t="shared" si="135"/>
        <v>2033.0514513823889</v>
      </c>
      <c r="CL1030" s="1">
        <v>5.0745200000000003E-5</v>
      </c>
      <c r="CM1030">
        <v>2.4150000000000001E-2</v>
      </c>
      <c r="CN1030">
        <f t="shared" si="136"/>
        <v>1.8769139703690774</v>
      </c>
    </row>
    <row r="1031" spans="4:92" x14ac:dyDescent="0.35">
      <c r="D1031" s="1">
        <v>5.5527900000000001E-5</v>
      </c>
      <c r="E1031">
        <v>14.2501</v>
      </c>
      <c r="F1031">
        <v>4.6593900000000001</v>
      </c>
      <c r="G1031">
        <v>13.119199999999999</v>
      </c>
      <c r="I1031" s="1">
        <v>5.5527900000000001E-5</v>
      </c>
      <c r="J1031">
        <f t="shared" si="137"/>
        <v>2.5291716362273033E-2</v>
      </c>
      <c r="K1031">
        <v>2.4728502193585092E-2</v>
      </c>
      <c r="L1031">
        <v>4.3131639448251387E-2</v>
      </c>
      <c r="N1031" s="1">
        <v>5.5527900000000001E-5</v>
      </c>
      <c r="O1031">
        <f t="shared" si="138"/>
        <v>2.4728502193585092E-2</v>
      </c>
      <c r="Q1031" s="1">
        <v>5.5527900000000001E-5</v>
      </c>
      <c r="R1031">
        <f t="shared" si="139"/>
        <v>4.3131639448251387E-2</v>
      </c>
      <c r="CH1031" s="1">
        <v>5.1402300000000001E-5</v>
      </c>
      <c r="CI1031">
        <v>25.9055</v>
      </c>
      <c r="CJ1031">
        <f t="shared" si="135"/>
        <v>2013.3496836188874</v>
      </c>
      <c r="CL1031" s="1">
        <v>5.1402300000000001E-5</v>
      </c>
      <c r="CM1031">
        <v>2.462E-2</v>
      </c>
      <c r="CN1031">
        <f t="shared" si="136"/>
        <v>1.9134419027116638</v>
      </c>
    </row>
    <row r="1032" spans="4:92" x14ac:dyDescent="0.35">
      <c r="D1032" s="1">
        <v>5.6246899999999998E-5</v>
      </c>
      <c r="E1032">
        <v>14.2523</v>
      </c>
      <c r="F1032">
        <v>4.8724699999999999</v>
      </c>
      <c r="G1032">
        <v>13.000299999999999</v>
      </c>
      <c r="I1032" s="1">
        <v>5.6246899999999998E-5</v>
      </c>
      <c r="J1032">
        <f t="shared" si="137"/>
        <v>2.5295621020906798E-2</v>
      </c>
      <c r="K1032">
        <v>2.5859368948119296E-2</v>
      </c>
      <c r="L1032">
        <v>4.2740735130122456E-2</v>
      </c>
      <c r="N1032" s="1">
        <v>5.6246899999999998E-5</v>
      </c>
      <c r="O1032">
        <f t="shared" si="138"/>
        <v>2.5859368948119296E-2</v>
      </c>
      <c r="Q1032" s="1">
        <v>5.6246899999999998E-5</v>
      </c>
      <c r="R1032">
        <f t="shared" si="139"/>
        <v>4.2740735130122456E-2</v>
      </c>
      <c r="CH1032" s="1">
        <v>5.2067999999999997E-5</v>
      </c>
      <c r="CI1032">
        <v>26.929099999999998</v>
      </c>
      <c r="CJ1032">
        <f t="shared" si="135"/>
        <v>2092.9028571207418</v>
      </c>
      <c r="CL1032" s="1">
        <v>5.2067999999999997E-5</v>
      </c>
      <c r="CM1032">
        <v>2.3879999999999998E-2</v>
      </c>
      <c r="CN1032">
        <f t="shared" si="136"/>
        <v>1.8559298390233359</v>
      </c>
    </row>
    <row r="1033" spans="4:92" x14ac:dyDescent="0.35">
      <c r="D1033" s="1">
        <v>5.6975300000000003E-5</v>
      </c>
      <c r="E1033">
        <v>13.932399999999999</v>
      </c>
      <c r="F1033">
        <v>5.2463199999999999</v>
      </c>
      <c r="G1033">
        <v>13.300599999999999</v>
      </c>
      <c r="I1033" s="1">
        <v>5.6975300000000003E-5</v>
      </c>
      <c r="J1033">
        <f t="shared" si="137"/>
        <v>2.4727848158660838E-2</v>
      </c>
      <c r="K1033">
        <v>2.7843480719203447E-2</v>
      </c>
      <c r="L1033">
        <v>4.3728023328054477E-2</v>
      </c>
      <c r="N1033" s="1">
        <v>5.6975300000000003E-5</v>
      </c>
      <c r="O1033">
        <f t="shared" si="138"/>
        <v>2.7843480719203447E-2</v>
      </c>
      <c r="Q1033" s="1">
        <v>5.6975300000000003E-5</v>
      </c>
      <c r="R1033">
        <f t="shared" si="139"/>
        <v>4.3728023328054477E-2</v>
      </c>
      <c r="CH1033" s="1">
        <v>5.2742299999999998E-5</v>
      </c>
      <c r="CI1033">
        <v>26.371400000000001</v>
      </c>
      <c r="CJ1033">
        <f t="shared" si="135"/>
        <v>2049.558968041039</v>
      </c>
      <c r="CL1033" s="1">
        <v>5.2742299999999998E-5</v>
      </c>
      <c r="CM1033">
        <v>2.2599999999999999E-2</v>
      </c>
      <c r="CN1033">
        <f t="shared" si="136"/>
        <v>1.7564495126435256</v>
      </c>
    </row>
    <row r="1034" spans="4:92" x14ac:dyDescent="0.35">
      <c r="D1034" s="1">
        <v>5.7713200000000002E-5</v>
      </c>
      <c r="E1034">
        <v>14.203099999999999</v>
      </c>
      <c r="F1034">
        <v>4.9865399999999998</v>
      </c>
      <c r="G1034">
        <v>13.235900000000001</v>
      </c>
      <c r="I1034" s="1">
        <v>5.7713200000000002E-5</v>
      </c>
      <c r="J1034">
        <f t="shared" si="137"/>
        <v>2.5208298655097161E-2</v>
      </c>
      <c r="K1034">
        <v>2.646476584454184E-2</v>
      </c>
      <c r="L1034">
        <v>4.3515310885809393E-2</v>
      </c>
      <c r="N1034" s="1">
        <v>5.7713200000000002E-5</v>
      </c>
      <c r="O1034">
        <f t="shared" si="138"/>
        <v>2.646476584454184E-2</v>
      </c>
      <c r="Q1034" s="1">
        <v>5.7713200000000002E-5</v>
      </c>
      <c r="R1034">
        <f t="shared" si="139"/>
        <v>4.3515310885809393E-2</v>
      </c>
      <c r="CH1034" s="1">
        <v>5.3425299999999998E-5</v>
      </c>
      <c r="CI1034">
        <v>25.498100000000001</v>
      </c>
      <c r="CJ1034">
        <f t="shared" ref="CJ1034:CJ1097" si="140">CI1034/$CG$9</f>
        <v>1981.6869609883136</v>
      </c>
      <c r="CL1034" s="1">
        <v>5.3425299999999998E-5</v>
      </c>
      <c r="CM1034">
        <v>2.1010000000000001E-2</v>
      </c>
      <c r="CN1034">
        <f t="shared" ref="CN1034:CN1097" si="141">CM1034/$CG$9</f>
        <v>1.6328762947186053</v>
      </c>
    </row>
    <row r="1035" spans="4:92" x14ac:dyDescent="0.35">
      <c r="D1035" s="1">
        <v>5.8460600000000001E-5</v>
      </c>
      <c r="E1035">
        <v>14.3377</v>
      </c>
      <c r="F1035">
        <v>5.2478400000000001</v>
      </c>
      <c r="G1035">
        <v>13.1884</v>
      </c>
      <c r="I1035" s="1">
        <v>5.8460600000000001E-5</v>
      </c>
      <c r="J1035">
        <f t="shared" si="137"/>
        <v>2.544719276969018E-2</v>
      </c>
      <c r="K1035">
        <v>2.7851547724398171E-2</v>
      </c>
      <c r="L1035">
        <v>4.3359146418937025E-2</v>
      </c>
      <c r="N1035" s="1">
        <v>5.8460600000000001E-5</v>
      </c>
      <c r="O1035">
        <f t="shared" si="138"/>
        <v>2.7851547724398171E-2</v>
      </c>
      <c r="Q1035" s="1">
        <v>5.8460600000000001E-5</v>
      </c>
      <c r="R1035">
        <f t="shared" si="139"/>
        <v>4.3359146418937025E-2</v>
      </c>
      <c r="CH1035" s="1">
        <v>5.4117099999999997E-5</v>
      </c>
      <c r="CI1035">
        <v>25.9452</v>
      </c>
      <c r="CJ1035">
        <f t="shared" si="140"/>
        <v>2016.4351281167612</v>
      </c>
      <c r="CL1035" s="1">
        <v>5.4117099999999997E-5</v>
      </c>
      <c r="CM1035">
        <v>2.8209999999999999E-2</v>
      </c>
      <c r="CN1035">
        <f t="shared" si="141"/>
        <v>2.1924531306050379</v>
      </c>
    </row>
    <row r="1036" spans="4:92" x14ac:dyDescent="0.35">
      <c r="D1036" s="1">
        <v>5.92176E-5</v>
      </c>
      <c r="E1036">
        <v>14.422499999999999</v>
      </c>
      <c r="F1036">
        <v>5.55192</v>
      </c>
      <c r="G1036">
        <v>13.318099999999999</v>
      </c>
      <c r="I1036" s="1">
        <v>5.92176E-5</v>
      </c>
      <c r="J1036">
        <f t="shared" si="137"/>
        <v>2.5597699611573453E-2</v>
      </c>
      <c r="K1036">
        <v>2.9465373342563928E-2</v>
      </c>
      <c r="L1036">
        <v>4.3785557605323246E-2</v>
      </c>
      <c r="N1036" s="1">
        <v>5.92176E-5</v>
      </c>
      <c r="O1036">
        <f t="shared" si="138"/>
        <v>2.9465373342563928E-2</v>
      </c>
      <c r="Q1036" s="1">
        <v>5.92176E-5</v>
      </c>
      <c r="R1036">
        <f t="shared" si="139"/>
        <v>4.3785557605323246E-2</v>
      </c>
      <c r="CH1036" s="1">
        <v>5.4818000000000003E-5</v>
      </c>
      <c r="CI1036">
        <v>25.524999999999999</v>
      </c>
      <c r="CJ1036">
        <f t="shared" si="140"/>
        <v>1983.7776022223891</v>
      </c>
      <c r="CL1036" s="1">
        <v>5.4818000000000003E-5</v>
      </c>
      <c r="CM1036">
        <v>2.1360000000000001E-2</v>
      </c>
      <c r="CN1036">
        <f t="shared" si="141"/>
        <v>1.6600779464630846</v>
      </c>
    </row>
    <row r="1037" spans="4:92" x14ac:dyDescent="0.35">
      <c r="D1037" s="1">
        <v>5.9984500000000001E-5</v>
      </c>
      <c r="E1037">
        <v>14.2852</v>
      </c>
      <c r="F1037">
        <v>5.4361699999999997</v>
      </c>
      <c r="G1037">
        <v>13.197699999999999</v>
      </c>
      <c r="I1037" s="1">
        <v>5.9984500000000001E-5</v>
      </c>
      <c r="J1037">
        <f t="shared" si="137"/>
        <v>2.5354013415929907E-2</v>
      </c>
      <c r="K1037">
        <v>2.8851060282505107E-2</v>
      </c>
      <c r="L1037">
        <v>4.3389721777714135E-2</v>
      </c>
      <c r="N1037" s="1">
        <v>5.9984500000000001E-5</v>
      </c>
      <c r="O1037">
        <f t="shared" si="138"/>
        <v>2.8851060282505107E-2</v>
      </c>
      <c r="Q1037" s="1">
        <v>5.9984500000000001E-5</v>
      </c>
      <c r="R1037">
        <f t="shared" si="139"/>
        <v>4.3389721777714135E-2</v>
      </c>
      <c r="CH1037" s="1">
        <v>5.5527900000000001E-5</v>
      </c>
      <c r="CI1037">
        <v>25.831900000000001</v>
      </c>
      <c r="CJ1037">
        <f t="shared" si="140"/>
        <v>2007.6295648520484</v>
      </c>
      <c r="CL1037" s="1">
        <v>5.5527900000000001E-5</v>
      </c>
      <c r="CM1037">
        <v>2.3460000000000002E-2</v>
      </c>
      <c r="CN1037">
        <f t="shared" si="141"/>
        <v>1.8232878569299609</v>
      </c>
    </row>
    <row r="1038" spans="4:92" x14ac:dyDescent="0.35">
      <c r="D1038" s="1">
        <v>6.0761299999999997E-5</v>
      </c>
      <c r="E1038">
        <v>14.3446</v>
      </c>
      <c r="F1038">
        <v>5.6272900000000003</v>
      </c>
      <c r="G1038">
        <v>13.2166</v>
      </c>
      <c r="I1038" s="1">
        <v>6.0761299999999997E-5</v>
      </c>
      <c r="J1038">
        <f t="shared" si="137"/>
        <v>2.5459439199041534E-2</v>
      </c>
      <c r="K1038">
        <v>2.9865380040936574E-2</v>
      </c>
      <c r="L1038">
        <v>4.3451858797164407E-2</v>
      </c>
      <c r="N1038" s="1">
        <v>6.0761299999999997E-5</v>
      </c>
      <c r="O1038">
        <f t="shared" si="138"/>
        <v>2.9865380040936574E-2</v>
      </c>
      <c r="Q1038" s="1">
        <v>6.0761299999999997E-5</v>
      </c>
      <c r="R1038">
        <f t="shared" si="139"/>
        <v>4.3451858797164407E-2</v>
      </c>
      <c r="CH1038" s="1">
        <v>5.6246899999999998E-5</v>
      </c>
      <c r="CI1038">
        <v>25.732199999999999</v>
      </c>
      <c r="CJ1038">
        <f t="shared" si="140"/>
        <v>1999.880980055121</v>
      </c>
      <c r="CL1038" s="1">
        <v>5.6246899999999998E-5</v>
      </c>
      <c r="CM1038">
        <v>2.5399999999999999E-2</v>
      </c>
      <c r="CN1038">
        <f t="shared" si="141"/>
        <v>1.9740627265993607</v>
      </c>
    </row>
    <row r="1039" spans="4:92" x14ac:dyDescent="0.35">
      <c r="D1039" s="1">
        <v>6.1548200000000001E-5</v>
      </c>
      <c r="E1039">
        <v>14.2751</v>
      </c>
      <c r="F1039">
        <v>5.6407600000000002</v>
      </c>
      <c r="G1039">
        <v>13.197699999999999</v>
      </c>
      <c r="I1039" s="1">
        <v>6.1548200000000001E-5</v>
      </c>
      <c r="J1039">
        <f t="shared" si="137"/>
        <v>2.5336087483111263E-2</v>
      </c>
      <c r="K1039">
        <v>2.9936868567234567E-2</v>
      </c>
      <c r="L1039">
        <v>4.3389721777714135E-2</v>
      </c>
      <c r="N1039" s="1">
        <v>6.1548200000000001E-5</v>
      </c>
      <c r="O1039">
        <f t="shared" si="138"/>
        <v>2.9936868567234567E-2</v>
      </c>
      <c r="Q1039" s="1">
        <v>6.1548200000000001E-5</v>
      </c>
      <c r="R1039">
        <f t="shared" si="139"/>
        <v>4.3389721777714135E-2</v>
      </c>
      <c r="CH1039" s="1">
        <v>5.6975300000000003E-5</v>
      </c>
      <c r="CI1039">
        <v>26.325700000000001</v>
      </c>
      <c r="CJ1039">
        <f t="shared" si="140"/>
        <v>2046.0072095132596</v>
      </c>
      <c r="CL1039" s="1">
        <v>5.6975300000000003E-5</v>
      </c>
      <c r="CM1039">
        <v>2.53E-2</v>
      </c>
      <c r="CN1039">
        <f t="shared" si="141"/>
        <v>1.9662908261009382</v>
      </c>
    </row>
    <row r="1040" spans="4:92" x14ac:dyDescent="0.35">
      <c r="D1040" s="1">
        <v>6.2345200000000001E-5</v>
      </c>
      <c r="E1040">
        <v>14.113300000000001</v>
      </c>
      <c r="F1040">
        <v>5.5382400000000001</v>
      </c>
      <c r="G1040">
        <v>13.428100000000001</v>
      </c>
      <c r="I1040" s="1">
        <v>6.2345200000000001E-5</v>
      </c>
      <c r="J1040">
        <f t="shared" si="137"/>
        <v>2.5048917589046253E-2</v>
      </c>
      <c r="K1040">
        <v>2.9392770295811405E-2</v>
      </c>
      <c r="L1040">
        <v>4.4147201633869787E-2</v>
      </c>
      <c r="N1040" s="1">
        <v>6.2345200000000001E-5</v>
      </c>
      <c r="O1040">
        <f t="shared" si="138"/>
        <v>2.9392770295811405E-2</v>
      </c>
      <c r="Q1040" s="1">
        <v>6.2345200000000001E-5</v>
      </c>
      <c r="R1040">
        <f t="shared" si="139"/>
        <v>4.4147201633869787E-2</v>
      </c>
      <c r="CH1040" s="1">
        <v>5.7713200000000002E-5</v>
      </c>
      <c r="CI1040">
        <v>26.577000000000002</v>
      </c>
      <c r="CJ1040">
        <f t="shared" si="140"/>
        <v>2065.537995465796</v>
      </c>
      <c r="CL1040" s="1">
        <v>5.7713200000000002E-5</v>
      </c>
      <c r="CM1040">
        <v>2.2970000000000001E-2</v>
      </c>
      <c r="CN1040">
        <f t="shared" si="141"/>
        <v>1.7852055444876898</v>
      </c>
    </row>
    <row r="1041" spans="4:92" x14ac:dyDescent="0.35">
      <c r="D1041" s="1">
        <v>6.3152599999999996E-5</v>
      </c>
      <c r="E1041">
        <v>14.277100000000001</v>
      </c>
      <c r="F1041">
        <v>5.4611400000000003</v>
      </c>
      <c r="G1041">
        <v>13.3363</v>
      </c>
      <c r="I1041" s="1">
        <v>6.3152599999999996E-5</v>
      </c>
      <c r="J1041">
        <f t="shared" si="137"/>
        <v>2.5339637172778321E-2</v>
      </c>
      <c r="K1041">
        <v>2.8983582071789506E-2</v>
      </c>
      <c r="L1041">
        <v>4.3845393253682766E-2</v>
      </c>
      <c r="N1041" s="1">
        <v>6.3152599999999996E-5</v>
      </c>
      <c r="O1041">
        <f t="shared" si="138"/>
        <v>2.8983582071789506E-2</v>
      </c>
      <c r="Q1041" s="1">
        <v>6.3152599999999996E-5</v>
      </c>
      <c r="R1041">
        <f t="shared" si="139"/>
        <v>4.3845393253682766E-2</v>
      </c>
      <c r="CH1041" s="1">
        <v>5.8460600000000001E-5</v>
      </c>
      <c r="CI1041">
        <v>25.6722</v>
      </c>
      <c r="CJ1041">
        <f t="shared" si="140"/>
        <v>1995.2178397560674</v>
      </c>
      <c r="CL1041" s="1">
        <v>5.8460600000000001E-5</v>
      </c>
      <c r="CM1041">
        <v>2.2589999999999999E-2</v>
      </c>
      <c r="CN1041">
        <f t="shared" si="141"/>
        <v>1.7556723225936834</v>
      </c>
    </row>
    <row r="1042" spans="4:92" x14ac:dyDescent="0.35">
      <c r="D1042" s="1">
        <v>6.3970499999999993E-5</v>
      </c>
      <c r="E1042">
        <v>14.0756</v>
      </c>
      <c r="F1042">
        <v>6.1754300000000004</v>
      </c>
      <c r="G1042">
        <v>13.5619</v>
      </c>
      <c r="I1042" s="1">
        <v>6.3970499999999993E-5</v>
      </c>
      <c r="J1042">
        <f t="shared" si="137"/>
        <v>2.4982005938822206E-2</v>
      </c>
      <c r="K1042">
        <v>3.2774490716881655E-2</v>
      </c>
      <c r="L1042">
        <v>4.4587092279501833E-2</v>
      </c>
      <c r="N1042" s="1">
        <v>6.3970499999999993E-5</v>
      </c>
      <c r="O1042">
        <f t="shared" si="138"/>
        <v>3.2774490716881655E-2</v>
      </c>
      <c r="Q1042" s="1">
        <v>6.3970499999999993E-5</v>
      </c>
      <c r="R1042">
        <f t="shared" si="139"/>
        <v>4.4587092279501833E-2</v>
      </c>
      <c r="CH1042" s="1">
        <v>5.92176E-5</v>
      </c>
      <c r="CI1042">
        <v>27.3901</v>
      </c>
      <c r="CJ1042">
        <f t="shared" si="140"/>
        <v>2128.7313184184704</v>
      </c>
      <c r="CL1042" s="1">
        <v>5.92176E-5</v>
      </c>
      <c r="CM1042">
        <v>2.375E-2</v>
      </c>
      <c r="CN1042">
        <f t="shared" si="141"/>
        <v>1.8458263683753866</v>
      </c>
    </row>
    <row r="1043" spans="4:92" x14ac:dyDescent="0.35">
      <c r="D1043" s="1">
        <v>6.4798899999999994E-5</v>
      </c>
      <c r="E1043">
        <v>14.5609</v>
      </c>
      <c r="F1043">
        <v>6.1737399999999996</v>
      </c>
      <c r="G1043">
        <v>13.8889</v>
      </c>
      <c r="I1043" s="1">
        <v>6.4798899999999994E-5</v>
      </c>
      <c r="J1043">
        <f t="shared" si="137"/>
        <v>2.5843338136533878E-2</v>
      </c>
      <c r="K1043">
        <v>3.2765521480842781E-2</v>
      </c>
      <c r="L1043">
        <v>4.566216134618107E-2</v>
      </c>
      <c r="N1043" s="1">
        <v>6.4798899999999994E-5</v>
      </c>
      <c r="O1043">
        <f t="shared" si="138"/>
        <v>3.2765521480842781E-2</v>
      </c>
      <c r="Q1043" s="1">
        <v>6.4798899999999994E-5</v>
      </c>
      <c r="R1043">
        <f t="shared" si="139"/>
        <v>4.566216134618107E-2</v>
      </c>
      <c r="CH1043" s="1">
        <v>5.9984500000000001E-5</v>
      </c>
      <c r="CI1043">
        <v>26.494399999999999</v>
      </c>
      <c r="CJ1043">
        <f t="shared" si="140"/>
        <v>2059.1184056540988</v>
      </c>
      <c r="CL1043" s="1">
        <v>5.9984500000000001E-5</v>
      </c>
      <c r="CM1043">
        <v>2.3199999999999998E-2</v>
      </c>
      <c r="CN1043">
        <f t="shared" si="141"/>
        <v>1.8030809156340617</v>
      </c>
    </row>
    <row r="1044" spans="4:92" x14ac:dyDescent="0.35">
      <c r="D1044" s="1">
        <v>6.5637999999999997E-5</v>
      </c>
      <c r="E1044">
        <v>12.700200000000001</v>
      </c>
      <c r="F1044">
        <v>0.47527999999999998</v>
      </c>
      <c r="G1044">
        <v>9.4492899999999995</v>
      </c>
      <c r="I1044" s="1">
        <v>6.5637999999999997E-5</v>
      </c>
      <c r="J1044">
        <f t="shared" si="137"/>
        <v>2.2540884354786281E-2</v>
      </c>
      <c r="K1044">
        <v>2.5224251506242496E-3</v>
      </c>
      <c r="L1044">
        <v>3.1066175477313201E-2</v>
      </c>
      <c r="N1044" s="1">
        <v>6.5637999999999997E-5</v>
      </c>
      <c r="O1044">
        <f t="shared" si="138"/>
        <v>2.5224251506242496E-3</v>
      </c>
      <c r="Q1044" s="1">
        <v>6.5637999999999997E-5</v>
      </c>
      <c r="R1044">
        <f t="shared" si="139"/>
        <v>3.1066175477313201E-2</v>
      </c>
      <c r="CH1044" s="1">
        <v>6.0761299999999997E-5</v>
      </c>
      <c r="CI1044">
        <v>26.730499999999999</v>
      </c>
      <c r="CJ1044">
        <f t="shared" si="140"/>
        <v>2077.4678627308745</v>
      </c>
      <c r="CL1044" s="1">
        <v>6.0761299999999997E-5</v>
      </c>
      <c r="CM1044">
        <v>2.512E-2</v>
      </c>
      <c r="CN1044">
        <f t="shared" si="141"/>
        <v>1.9523014052037773</v>
      </c>
    </row>
    <row r="1045" spans="4:92" x14ac:dyDescent="0.35">
      <c r="D1045" s="1">
        <v>6.6488000000000004E-5</v>
      </c>
      <c r="E1045">
        <v>13.9064</v>
      </c>
      <c r="F1045">
        <v>4.0995999999999997</v>
      </c>
      <c r="G1045">
        <v>12.9404</v>
      </c>
      <c r="I1045" s="1">
        <v>6.6488000000000004E-5</v>
      </c>
      <c r="J1045">
        <f t="shared" si="137"/>
        <v>2.4681702192989083E-2</v>
      </c>
      <c r="K1045">
        <v>2.1757562168614658E-2</v>
      </c>
      <c r="L1045">
        <v>4.2543803518213942E-2</v>
      </c>
      <c r="N1045" s="1">
        <v>6.6488000000000004E-5</v>
      </c>
      <c r="O1045">
        <f t="shared" si="138"/>
        <v>2.1757562168614658E-2</v>
      </c>
      <c r="Q1045" s="1">
        <v>6.6488000000000004E-5</v>
      </c>
      <c r="R1045">
        <f t="shared" si="139"/>
        <v>4.2543803518213942E-2</v>
      </c>
      <c r="CH1045" s="1">
        <v>6.1548200000000001E-5</v>
      </c>
      <c r="CI1045">
        <v>26.215399999999999</v>
      </c>
      <c r="CJ1045">
        <f t="shared" si="140"/>
        <v>2037.4348032634994</v>
      </c>
      <c r="CL1045" s="1">
        <v>6.1548200000000001E-5</v>
      </c>
      <c r="CM1045">
        <v>2.3859999999999999E-2</v>
      </c>
      <c r="CN1045">
        <f t="shared" si="141"/>
        <v>1.8543754589236514</v>
      </c>
    </row>
    <row r="1046" spans="4:92" x14ac:dyDescent="0.35">
      <c r="D1046" s="1">
        <v>6.7349100000000002E-5</v>
      </c>
      <c r="E1046">
        <v>14.2263</v>
      </c>
      <c r="F1046">
        <v>5.6266100000000003</v>
      </c>
      <c r="G1046">
        <v>13.6556</v>
      </c>
      <c r="I1046" s="1">
        <v>6.7349100000000002E-5</v>
      </c>
      <c r="J1046">
        <f t="shared" si="137"/>
        <v>2.5249475055235043E-2</v>
      </c>
      <c r="K1046">
        <v>2.9861771117559985E-2</v>
      </c>
      <c r="L1046">
        <v>4.4895147238363749E-2</v>
      </c>
      <c r="N1046" s="1">
        <v>6.7349100000000002E-5</v>
      </c>
      <c r="O1046">
        <f t="shared" si="138"/>
        <v>2.9861771117559985E-2</v>
      </c>
      <c r="Q1046" s="1">
        <v>6.7349100000000002E-5</v>
      </c>
      <c r="R1046">
        <f t="shared" si="139"/>
        <v>4.4895147238363749E-2</v>
      </c>
      <c r="CH1046" s="1">
        <v>6.2345200000000001E-5</v>
      </c>
      <c r="CI1046">
        <v>26.257300000000001</v>
      </c>
      <c r="CJ1046">
        <f t="shared" si="140"/>
        <v>2040.6912295723384</v>
      </c>
      <c r="CL1046" s="1">
        <v>6.2345200000000001E-5</v>
      </c>
      <c r="CM1046">
        <v>2.392E-2</v>
      </c>
      <c r="CN1046">
        <f t="shared" si="141"/>
        <v>1.8590385992227052</v>
      </c>
    </row>
    <row r="1047" spans="4:92" x14ac:dyDescent="0.35">
      <c r="D1047" s="1">
        <v>6.8221199999999997E-5</v>
      </c>
      <c r="E1047">
        <v>13.9793</v>
      </c>
      <c r="F1047">
        <v>6.1898400000000002</v>
      </c>
      <c r="G1047">
        <v>13.583600000000001</v>
      </c>
      <c r="I1047" s="1">
        <v>6.8221199999999997E-5</v>
      </c>
      <c r="J1047">
        <f t="shared" si="137"/>
        <v>2.4811088381353354E-2</v>
      </c>
      <c r="K1047">
        <v>3.2850968049023752E-2</v>
      </c>
      <c r="L1047">
        <v>4.4658434783315111E-2</v>
      </c>
      <c r="N1047" s="1">
        <v>6.8221199999999997E-5</v>
      </c>
      <c r="O1047">
        <f t="shared" si="138"/>
        <v>3.2850968049023752E-2</v>
      </c>
      <c r="Q1047" s="1">
        <v>6.8221199999999997E-5</v>
      </c>
      <c r="R1047">
        <f t="shared" si="139"/>
        <v>4.4658434783315111E-2</v>
      </c>
      <c r="CH1047" s="1">
        <v>6.3152599999999996E-5</v>
      </c>
      <c r="CI1047">
        <v>27.290199999999999</v>
      </c>
      <c r="CJ1047">
        <f t="shared" si="140"/>
        <v>2120.9671898205461</v>
      </c>
      <c r="CL1047" s="1">
        <v>6.3152599999999996E-5</v>
      </c>
      <c r="CM1047">
        <v>2.2339999999999999E-2</v>
      </c>
      <c r="CN1047">
        <f t="shared" si="141"/>
        <v>1.7362425713476266</v>
      </c>
    </row>
    <row r="1048" spans="4:92" x14ac:dyDescent="0.35">
      <c r="D1048" s="1">
        <v>6.9104700000000003E-5</v>
      </c>
      <c r="E1048">
        <v>14.494199999999999</v>
      </c>
      <c r="F1048">
        <v>6.1974299999999998</v>
      </c>
      <c r="G1048">
        <v>13.693199999999999</v>
      </c>
      <c r="I1048" s="1">
        <v>6.9104700000000003E-5</v>
      </c>
      <c r="J1048">
        <f t="shared" si="137"/>
        <v>2.5724955986137485E-2</v>
      </c>
      <c r="K1048">
        <v>3.2891250002594775E-2</v>
      </c>
      <c r="L1048">
        <v>4.5018763742666924E-2</v>
      </c>
      <c r="N1048" s="1">
        <v>6.9104700000000003E-5</v>
      </c>
      <c r="O1048">
        <f t="shared" si="138"/>
        <v>3.2891250002594775E-2</v>
      </c>
      <c r="Q1048" s="1">
        <v>6.9104700000000003E-5</v>
      </c>
      <c r="R1048">
        <f t="shared" si="139"/>
        <v>4.5018763742666924E-2</v>
      </c>
      <c r="CH1048" s="1">
        <v>6.3970499999999993E-5</v>
      </c>
      <c r="CI1048">
        <v>27.0885</v>
      </c>
      <c r="CJ1048">
        <f t="shared" si="140"/>
        <v>2105.2912665152276</v>
      </c>
      <c r="CL1048" s="1">
        <v>6.3970499999999993E-5</v>
      </c>
      <c r="CM1048">
        <v>2.477E-2</v>
      </c>
      <c r="CN1048">
        <f t="shared" si="141"/>
        <v>1.925099753459298</v>
      </c>
    </row>
    <row r="1049" spans="4:92" x14ac:dyDescent="0.35">
      <c r="D1049" s="1">
        <v>6.9999600000000007E-5</v>
      </c>
      <c r="E1049">
        <v>14.042</v>
      </c>
      <c r="F1049">
        <v>5.7353399999999999</v>
      </c>
      <c r="G1049">
        <v>13.2918</v>
      </c>
      <c r="I1049" s="1">
        <v>6.9999600000000007E-5</v>
      </c>
      <c r="J1049">
        <f t="shared" si="137"/>
        <v>2.4922371152415627E-2</v>
      </c>
      <c r="K1049">
        <v>3.04388273509958E-2</v>
      </c>
      <c r="L1049">
        <v>4.3699091805770758E-2</v>
      </c>
      <c r="N1049" s="1">
        <v>6.9999600000000007E-5</v>
      </c>
      <c r="O1049">
        <f t="shared" si="138"/>
        <v>3.04388273509958E-2</v>
      </c>
      <c r="Q1049" s="1">
        <v>6.9999600000000007E-5</v>
      </c>
      <c r="R1049">
        <f t="shared" si="139"/>
        <v>4.3699091805770758E-2</v>
      </c>
      <c r="CH1049" s="1">
        <v>6.4798899999999994E-5</v>
      </c>
      <c r="CI1049">
        <v>28.225999999999999</v>
      </c>
      <c r="CJ1049">
        <f t="shared" si="140"/>
        <v>2193.6966346847857</v>
      </c>
      <c r="CL1049" s="1">
        <v>6.4798899999999994E-5</v>
      </c>
      <c r="CM1049">
        <v>2.043E-2</v>
      </c>
      <c r="CN1049">
        <f t="shared" si="141"/>
        <v>1.5877992718277536</v>
      </c>
    </row>
    <row r="1050" spans="4:92" x14ac:dyDescent="0.35">
      <c r="D1050" s="1">
        <v>7.0906099999999995E-5</v>
      </c>
      <c r="E1050">
        <v>14.4422</v>
      </c>
      <c r="F1050">
        <v>6.3243499999999999</v>
      </c>
      <c r="G1050">
        <v>13.417400000000001</v>
      </c>
      <c r="I1050" s="1">
        <v>7.0906099999999995E-5</v>
      </c>
      <c r="J1050">
        <f t="shared" si="137"/>
        <v>2.5632664054793974E-2</v>
      </c>
      <c r="K1050">
        <v>3.3564844936354303E-2</v>
      </c>
      <c r="L1050">
        <v>4.4112023532911167E-2</v>
      </c>
      <c r="N1050" s="1">
        <v>7.0906099999999995E-5</v>
      </c>
      <c r="O1050">
        <f t="shared" si="138"/>
        <v>3.3564844936354303E-2</v>
      </c>
      <c r="Q1050" s="1">
        <v>7.0906099999999995E-5</v>
      </c>
      <c r="R1050">
        <f t="shared" si="139"/>
        <v>4.4112023532911167E-2</v>
      </c>
      <c r="CH1050" s="1">
        <v>6.5637999999999997E-5</v>
      </c>
      <c r="CI1050">
        <v>20.1569</v>
      </c>
      <c r="CJ1050">
        <f t="shared" si="140"/>
        <v>1566.5742115665612</v>
      </c>
      <c r="CL1050" s="1">
        <v>6.5637999999999997E-5</v>
      </c>
      <c r="CM1050">
        <v>2.9559999999999999E-2</v>
      </c>
      <c r="CN1050">
        <f t="shared" si="141"/>
        <v>2.2973737873337443</v>
      </c>
    </row>
    <row r="1051" spans="4:92" x14ac:dyDescent="0.35">
      <c r="D1051" s="1">
        <v>7.1824399999999996E-5</v>
      </c>
      <c r="E1051">
        <v>14.3283</v>
      </c>
      <c r="F1051">
        <v>6.0336699999999999</v>
      </c>
      <c r="G1051">
        <v>13.679600000000001</v>
      </c>
      <c r="I1051" s="1">
        <v>7.1824399999999996E-5</v>
      </c>
      <c r="J1051">
        <f t="shared" si="137"/>
        <v>2.5430509228255009E-2</v>
      </c>
      <c r="K1051">
        <v>3.2022136337668358E-2</v>
      </c>
      <c r="L1051">
        <v>4.4974051390046628E-2</v>
      </c>
      <c r="N1051" s="1">
        <v>7.1824399999999996E-5</v>
      </c>
      <c r="O1051">
        <f t="shared" si="138"/>
        <v>3.2022136337668358E-2</v>
      </c>
      <c r="Q1051" s="1">
        <v>7.1824399999999996E-5</v>
      </c>
      <c r="R1051">
        <f t="shared" si="139"/>
        <v>4.4974051390046628E-2</v>
      </c>
      <c r="CH1051" s="1">
        <v>6.6488000000000004E-5</v>
      </c>
      <c r="CI1051">
        <v>25.665800000000001</v>
      </c>
      <c r="CJ1051">
        <f t="shared" si="140"/>
        <v>1994.7204381241684</v>
      </c>
      <c r="CL1051" s="1">
        <v>6.6488000000000004E-5</v>
      </c>
      <c r="CM1051">
        <v>2.9899999999999999E-2</v>
      </c>
      <c r="CN1051">
        <f t="shared" si="141"/>
        <v>2.3237982490283815</v>
      </c>
    </row>
    <row r="1052" spans="4:92" x14ac:dyDescent="0.35">
      <c r="D1052" s="1">
        <v>7.2754499999999996E-5</v>
      </c>
      <c r="E1052">
        <v>14.2837</v>
      </c>
      <c r="F1052">
        <v>6.2820499999999999</v>
      </c>
      <c r="G1052">
        <v>13.723800000000001</v>
      </c>
      <c r="I1052" s="1">
        <v>7.2754499999999996E-5</v>
      </c>
      <c r="J1052">
        <f t="shared" si="137"/>
        <v>2.5351351148679608E-2</v>
      </c>
      <c r="K1052">
        <v>3.3340348673369526E-2</v>
      </c>
      <c r="L1052">
        <v>4.5119366536062591E-2</v>
      </c>
      <c r="N1052" s="1">
        <v>7.2754499999999996E-5</v>
      </c>
      <c r="O1052">
        <f t="shared" si="138"/>
        <v>3.3340348673369526E-2</v>
      </c>
      <c r="Q1052" s="1">
        <v>7.2754499999999996E-5</v>
      </c>
      <c r="R1052">
        <f t="shared" si="139"/>
        <v>4.5119366536062591E-2</v>
      </c>
      <c r="CH1052" s="1">
        <v>6.7349100000000002E-5</v>
      </c>
      <c r="CI1052">
        <v>27.830300000000001</v>
      </c>
      <c r="CJ1052">
        <f t="shared" si="140"/>
        <v>2162.9432244125273</v>
      </c>
      <c r="CL1052" s="1">
        <v>6.7349100000000002E-5</v>
      </c>
      <c r="CM1052">
        <v>2.2610000000000002E-2</v>
      </c>
      <c r="CN1052">
        <f t="shared" si="141"/>
        <v>1.7572267026933681</v>
      </c>
    </row>
    <row r="1053" spans="4:92" x14ac:dyDescent="0.35">
      <c r="D1053" s="1">
        <v>7.3696700000000002E-5</v>
      </c>
      <c r="E1053">
        <v>14.3317</v>
      </c>
      <c r="F1053">
        <v>6.3613099999999996</v>
      </c>
      <c r="G1053">
        <v>13.6761</v>
      </c>
      <c r="I1053" s="1">
        <v>7.3696700000000002E-5</v>
      </c>
      <c r="J1053">
        <f t="shared" si="137"/>
        <v>2.5436543700689009E-2</v>
      </c>
      <c r="K1053">
        <v>3.3761000536352351E-2</v>
      </c>
      <c r="L1053">
        <v>4.4962544534592877E-2</v>
      </c>
      <c r="N1053" s="1">
        <v>7.3696700000000002E-5</v>
      </c>
      <c r="O1053">
        <f t="shared" si="138"/>
        <v>3.3761000536352351E-2</v>
      </c>
      <c r="Q1053" s="1">
        <v>7.3696700000000002E-5</v>
      </c>
      <c r="R1053">
        <f t="shared" si="139"/>
        <v>4.4962544534592877E-2</v>
      </c>
      <c r="CH1053" s="1">
        <v>6.8221199999999997E-5</v>
      </c>
      <c r="CI1053">
        <v>27.779199999999999</v>
      </c>
      <c r="CJ1053">
        <f t="shared" si="140"/>
        <v>2158.9717832578331</v>
      </c>
      <c r="CL1053" s="1">
        <v>6.8221199999999997E-5</v>
      </c>
      <c r="CM1053">
        <v>2.368E-2</v>
      </c>
      <c r="CN1053">
        <f t="shared" si="141"/>
        <v>1.8403860380264907</v>
      </c>
    </row>
    <row r="1054" spans="4:92" x14ac:dyDescent="0.35">
      <c r="D1054" s="1">
        <v>7.4651099999999994E-5</v>
      </c>
      <c r="E1054">
        <v>13.825100000000001</v>
      </c>
      <c r="F1054">
        <v>6.3279300000000003</v>
      </c>
      <c r="G1054">
        <v>13.089499999999999</v>
      </c>
      <c r="I1054" s="1">
        <v>7.4651099999999994E-5</v>
      </c>
      <c r="J1054">
        <f t="shared" si="137"/>
        <v>2.4537407308023167E-2</v>
      </c>
      <c r="K1054">
        <v>3.3583844856483989E-2</v>
      </c>
      <c r="L1054">
        <v>4.3033995560543818E-2</v>
      </c>
      <c r="N1054" s="1">
        <v>7.4651099999999994E-5</v>
      </c>
      <c r="O1054">
        <f t="shared" si="138"/>
        <v>3.3583844856483989E-2</v>
      </c>
      <c r="Q1054" s="1">
        <v>7.4651099999999994E-5</v>
      </c>
      <c r="R1054">
        <f t="shared" si="139"/>
        <v>4.3033995560543818E-2</v>
      </c>
      <c r="CH1054" s="1">
        <v>6.9104700000000003E-5</v>
      </c>
      <c r="CI1054">
        <v>26.946000000000002</v>
      </c>
      <c r="CJ1054">
        <f t="shared" si="140"/>
        <v>2094.2163083049754</v>
      </c>
      <c r="CL1054" s="1">
        <v>6.9104700000000003E-5</v>
      </c>
      <c r="CM1054">
        <v>3.1960000000000002E-2</v>
      </c>
      <c r="CN1054">
        <f t="shared" si="141"/>
        <v>2.4838993992958889</v>
      </c>
    </row>
    <row r="1055" spans="4:92" x14ac:dyDescent="0.35">
      <c r="D1055" s="1">
        <v>7.5617800000000006E-5</v>
      </c>
      <c r="E1055">
        <v>14.5398</v>
      </c>
      <c r="F1055">
        <v>6.6747500000000004</v>
      </c>
      <c r="G1055">
        <v>13.583500000000001</v>
      </c>
      <c r="I1055" s="1">
        <v>7.5617800000000006E-5</v>
      </c>
      <c r="J1055">
        <f t="shared" si="137"/>
        <v>2.5805888910546415E-2</v>
      </c>
      <c r="K1055">
        <v>3.542450192334879E-2</v>
      </c>
      <c r="L1055">
        <v>4.4658106016016434E-2</v>
      </c>
      <c r="N1055" s="1">
        <v>7.5617800000000006E-5</v>
      </c>
      <c r="O1055">
        <f t="shared" si="138"/>
        <v>3.542450192334879E-2</v>
      </c>
      <c r="Q1055" s="1">
        <v>7.5617800000000006E-5</v>
      </c>
      <c r="R1055">
        <f t="shared" si="139"/>
        <v>4.4658106016016434E-2</v>
      </c>
      <c r="CH1055" s="1">
        <v>6.9999600000000007E-5</v>
      </c>
      <c r="CI1055">
        <v>26.830200000000001</v>
      </c>
      <c r="CJ1055">
        <f t="shared" si="140"/>
        <v>2085.2164475278023</v>
      </c>
      <c r="CL1055" s="1">
        <v>6.9999600000000007E-5</v>
      </c>
      <c r="CM1055">
        <v>2.2169999999999999E-2</v>
      </c>
      <c r="CN1055">
        <f t="shared" si="141"/>
        <v>1.7230303405003082</v>
      </c>
    </row>
    <row r="1056" spans="4:92" x14ac:dyDescent="0.35">
      <c r="D1056" s="1">
        <v>7.6597100000000006E-5</v>
      </c>
      <c r="E1056">
        <v>14.513500000000001</v>
      </c>
      <c r="F1056">
        <v>6.5189300000000001</v>
      </c>
      <c r="G1056">
        <v>13.770099999999999</v>
      </c>
      <c r="I1056" s="1">
        <v>7.6597100000000006E-5</v>
      </c>
      <c r="J1056">
        <f t="shared" si="137"/>
        <v>2.5759210491424597E-2</v>
      </c>
      <c r="K1056">
        <v>3.4597527746084294E-2</v>
      </c>
      <c r="L1056">
        <v>4.5271585795350816E-2</v>
      </c>
      <c r="N1056" s="1">
        <v>7.6597100000000006E-5</v>
      </c>
      <c r="O1056">
        <f t="shared" si="138"/>
        <v>3.4597527746084294E-2</v>
      </c>
      <c r="Q1056" s="1">
        <v>7.6597100000000006E-5</v>
      </c>
      <c r="R1056">
        <f t="shared" si="139"/>
        <v>4.5271585795350816E-2</v>
      </c>
      <c r="CH1056" s="1">
        <v>7.0906099999999995E-5</v>
      </c>
      <c r="CI1056">
        <v>27.8736</v>
      </c>
      <c r="CJ1056">
        <f t="shared" si="140"/>
        <v>2166.308457328344</v>
      </c>
      <c r="CL1056" s="1">
        <v>7.0906099999999995E-5</v>
      </c>
      <c r="CM1056">
        <v>2.0070000000000001E-2</v>
      </c>
      <c r="CN1056">
        <f t="shared" si="141"/>
        <v>1.559820430033432</v>
      </c>
    </row>
    <row r="1057" spans="4:92" x14ac:dyDescent="0.35">
      <c r="D1057" s="1">
        <v>7.7589000000000005E-5</v>
      </c>
      <c r="E1057">
        <v>14.172599999999999</v>
      </c>
      <c r="F1057">
        <v>6.5646000000000004</v>
      </c>
      <c r="G1057">
        <v>13.500299999999999</v>
      </c>
      <c r="I1057" s="1">
        <v>7.7589000000000005E-5</v>
      </c>
      <c r="J1057">
        <f t="shared" si="137"/>
        <v>2.5154165887674527E-2</v>
      </c>
      <c r="K1057">
        <v>3.4839909408744221E-2</v>
      </c>
      <c r="L1057">
        <v>4.4384571623515778E-2</v>
      </c>
      <c r="N1057" s="1">
        <v>7.7589000000000005E-5</v>
      </c>
      <c r="O1057">
        <f t="shared" si="138"/>
        <v>3.4839909408744221E-2</v>
      </c>
      <c r="Q1057" s="1">
        <v>7.7589000000000005E-5</v>
      </c>
      <c r="R1057">
        <f t="shared" si="139"/>
        <v>4.4384571623515778E-2</v>
      </c>
      <c r="CH1057" s="1">
        <v>7.1824399999999996E-5</v>
      </c>
      <c r="CI1057">
        <v>27.459299999999999</v>
      </c>
      <c r="CJ1057">
        <f t="shared" si="140"/>
        <v>2134.1094735633792</v>
      </c>
      <c r="CL1057" s="1">
        <v>7.1824399999999996E-5</v>
      </c>
      <c r="CM1057">
        <v>2.214E-2</v>
      </c>
      <c r="CN1057">
        <f t="shared" si="141"/>
        <v>1.7206987703507814</v>
      </c>
    </row>
    <row r="1058" spans="4:92" x14ac:dyDescent="0.35">
      <c r="D1058" s="1">
        <v>7.85938E-5</v>
      </c>
      <c r="E1058">
        <v>14.4702</v>
      </c>
      <c r="F1058">
        <v>6.5729600000000001</v>
      </c>
      <c r="G1058">
        <v>13.748100000000001</v>
      </c>
      <c r="I1058" s="1">
        <v>7.85938E-5</v>
      </c>
      <c r="J1058">
        <f t="shared" si="137"/>
        <v>2.5682359710132791E-2</v>
      </c>
      <c r="K1058">
        <v>3.4884277937315203E-2</v>
      </c>
      <c r="L1058">
        <v>4.5199256989641508E-2</v>
      </c>
      <c r="N1058" s="1">
        <v>7.85938E-5</v>
      </c>
      <c r="O1058">
        <f t="shared" si="138"/>
        <v>3.4884277937315203E-2</v>
      </c>
      <c r="Q1058" s="1">
        <v>7.85938E-5</v>
      </c>
      <c r="R1058">
        <f t="shared" si="139"/>
        <v>4.5199256989641508E-2</v>
      </c>
      <c r="CH1058" s="1">
        <v>7.2754499999999996E-5</v>
      </c>
      <c r="CI1058">
        <v>27.5946</v>
      </c>
      <c r="CJ1058">
        <f t="shared" si="140"/>
        <v>2144.6248549377451</v>
      </c>
      <c r="CL1058" s="1">
        <v>7.2754499999999996E-5</v>
      </c>
      <c r="CM1058">
        <v>2.2689999999999998E-2</v>
      </c>
      <c r="CN1058">
        <f t="shared" si="141"/>
        <v>1.7634442230921061</v>
      </c>
    </row>
    <row r="1059" spans="4:92" x14ac:dyDescent="0.35">
      <c r="D1059" s="1">
        <v>7.9611599999999995E-5</v>
      </c>
      <c r="E1059">
        <v>14.3003</v>
      </c>
      <c r="F1059">
        <v>5.3595499999999996</v>
      </c>
      <c r="G1059">
        <v>13.222099999999999</v>
      </c>
      <c r="I1059" s="1">
        <v>7.9611599999999995E-5</v>
      </c>
      <c r="J1059">
        <f t="shared" si="137"/>
        <v>2.5380813572916192E-2</v>
      </c>
      <c r="K1059">
        <v>2.8444419533807854E-2</v>
      </c>
      <c r="L1059">
        <v>4.3469940998591736E-2</v>
      </c>
      <c r="N1059" s="1">
        <v>7.9611599999999995E-5</v>
      </c>
      <c r="O1059">
        <f t="shared" si="138"/>
        <v>2.8444419533807854E-2</v>
      </c>
      <c r="Q1059" s="1">
        <v>7.9611599999999995E-5</v>
      </c>
      <c r="R1059">
        <f t="shared" si="139"/>
        <v>4.3469940998591736E-2</v>
      </c>
      <c r="CH1059" s="1">
        <v>7.3696700000000002E-5</v>
      </c>
      <c r="CI1059">
        <v>27.080400000000001</v>
      </c>
      <c r="CJ1059">
        <f t="shared" si="140"/>
        <v>2104.6617425748555</v>
      </c>
      <c r="CL1059" s="1">
        <v>7.3696700000000002E-5</v>
      </c>
      <c r="CM1059">
        <v>2.35E-2</v>
      </c>
      <c r="CN1059">
        <f t="shared" si="141"/>
        <v>1.82639661712933</v>
      </c>
    </row>
    <row r="1060" spans="4:92" x14ac:dyDescent="0.35">
      <c r="D1060" s="1">
        <v>8.0642499999999999E-5</v>
      </c>
      <c r="E1060">
        <v>13.8027</v>
      </c>
      <c r="F1060">
        <v>4.6189299999999998</v>
      </c>
      <c r="G1060">
        <v>12.846299999999999</v>
      </c>
      <c r="I1060" s="1">
        <v>8.0642499999999999E-5</v>
      </c>
      <c r="J1060">
        <f t="shared" si="137"/>
        <v>2.4497650783752115E-2</v>
      </c>
      <c r="K1060">
        <v>2.4513771252678139E-2</v>
      </c>
      <c r="L1060">
        <v>4.2234433490157312E-2</v>
      </c>
      <c r="N1060" s="1">
        <v>8.0642499999999999E-5</v>
      </c>
      <c r="O1060">
        <f t="shared" si="138"/>
        <v>2.4513771252678139E-2</v>
      </c>
      <c r="Q1060" s="1">
        <v>8.0642499999999999E-5</v>
      </c>
      <c r="R1060">
        <f t="shared" si="139"/>
        <v>4.2234433490157312E-2</v>
      </c>
      <c r="CH1060" s="1">
        <v>7.4651099999999994E-5</v>
      </c>
      <c r="CI1060">
        <v>27.2379</v>
      </c>
      <c r="CJ1060">
        <f t="shared" si="140"/>
        <v>2116.9024858598714</v>
      </c>
      <c r="CL1060" s="1">
        <v>7.4651099999999994E-5</v>
      </c>
      <c r="CM1060">
        <v>2.2839999999999999E-2</v>
      </c>
      <c r="CN1060">
        <f t="shared" si="141"/>
        <v>1.7751020738397401</v>
      </c>
    </row>
    <row r="1061" spans="4:92" x14ac:dyDescent="0.35">
      <c r="D1061" s="1">
        <v>8.1686899999999999E-5</v>
      </c>
      <c r="E1061">
        <v>14.290100000000001</v>
      </c>
      <c r="F1061">
        <v>7.1801599999999999</v>
      </c>
      <c r="G1061">
        <v>13.6408</v>
      </c>
      <c r="I1061" s="1">
        <v>8.1686899999999999E-5</v>
      </c>
      <c r="J1061">
        <f t="shared" si="137"/>
        <v>2.5362710155614202E-2</v>
      </c>
      <c r="K1061">
        <v>3.8106834222997418E-2</v>
      </c>
      <c r="L1061">
        <v>4.4846489678159303E-2</v>
      </c>
      <c r="N1061" s="1">
        <v>8.1686899999999999E-5</v>
      </c>
      <c r="O1061">
        <f t="shared" si="138"/>
        <v>3.8106834222997418E-2</v>
      </c>
      <c r="Q1061" s="1">
        <v>8.1686899999999999E-5</v>
      </c>
      <c r="R1061">
        <f t="shared" si="139"/>
        <v>4.4846489678159303E-2</v>
      </c>
      <c r="CH1061" s="1">
        <v>7.5617800000000006E-5</v>
      </c>
      <c r="CI1061">
        <v>27.478300000000001</v>
      </c>
      <c r="CJ1061">
        <f t="shared" si="140"/>
        <v>2135.5861346580796</v>
      </c>
      <c r="CL1061" s="1">
        <v>7.5617800000000006E-5</v>
      </c>
      <c r="CM1061">
        <v>2.546E-2</v>
      </c>
      <c r="CN1061">
        <f t="shared" si="141"/>
        <v>1.9787258668984145</v>
      </c>
    </row>
    <row r="1062" spans="4:92" x14ac:dyDescent="0.35">
      <c r="D1062" s="1">
        <v>8.2744700000000001E-5</v>
      </c>
      <c r="E1062">
        <v>14.2805</v>
      </c>
      <c r="F1062">
        <v>6.7996800000000004</v>
      </c>
      <c r="G1062">
        <v>13.4115</v>
      </c>
      <c r="I1062" s="1">
        <v>8.2744700000000001E-5</v>
      </c>
      <c r="J1062">
        <f t="shared" si="137"/>
        <v>2.5345671645212318E-2</v>
      </c>
      <c r="K1062">
        <v>3.6087535448991542E-2</v>
      </c>
      <c r="L1062">
        <v>4.4092626262289124E-2</v>
      </c>
      <c r="N1062" s="1">
        <v>8.2744700000000001E-5</v>
      </c>
      <c r="O1062">
        <f t="shared" si="138"/>
        <v>3.6087535448991542E-2</v>
      </c>
      <c r="Q1062" s="1">
        <v>8.2744700000000001E-5</v>
      </c>
      <c r="R1062">
        <f t="shared" si="139"/>
        <v>4.4092626262289124E-2</v>
      </c>
      <c r="CH1062" s="1">
        <v>7.6597100000000006E-5</v>
      </c>
      <c r="CI1062">
        <v>27.907399999999999</v>
      </c>
      <c r="CJ1062">
        <f t="shared" si="140"/>
        <v>2168.9353596968112</v>
      </c>
      <c r="CL1062" s="1">
        <v>7.6597100000000006E-5</v>
      </c>
      <c r="CM1062">
        <v>2.087E-2</v>
      </c>
      <c r="CN1062">
        <f t="shared" si="141"/>
        <v>1.6219956340208133</v>
      </c>
    </row>
    <row r="1063" spans="4:92" x14ac:dyDescent="0.35">
      <c r="D1063" s="1">
        <v>8.3816300000000006E-5</v>
      </c>
      <c r="E1063">
        <v>14.2117</v>
      </c>
      <c r="F1063">
        <v>6.5983999999999998</v>
      </c>
      <c r="G1063">
        <v>13.463800000000001</v>
      </c>
      <c r="I1063" s="1">
        <v>8.3816300000000006E-5</v>
      </c>
      <c r="J1063">
        <f t="shared" si="137"/>
        <v>2.5223562320665516E-2</v>
      </c>
      <c r="K1063">
        <v>3.501929412952165E-2</v>
      </c>
      <c r="L1063">
        <v>4.4264571559498068E-2</v>
      </c>
      <c r="N1063" s="1">
        <v>8.3816300000000006E-5</v>
      </c>
      <c r="O1063">
        <f t="shared" si="138"/>
        <v>3.501929412952165E-2</v>
      </c>
      <c r="Q1063" s="1">
        <v>8.3816300000000006E-5</v>
      </c>
      <c r="R1063">
        <f t="shared" si="139"/>
        <v>4.4264571559498068E-2</v>
      </c>
      <c r="CH1063" s="1">
        <v>7.7589000000000005E-5</v>
      </c>
      <c r="CI1063">
        <v>27.1784</v>
      </c>
      <c r="CJ1063">
        <f t="shared" si="140"/>
        <v>2112.2782050633095</v>
      </c>
      <c r="CL1063" s="1">
        <v>7.7589000000000005E-5</v>
      </c>
      <c r="CM1063">
        <v>2.0809999999999999E-2</v>
      </c>
      <c r="CN1063">
        <f t="shared" si="141"/>
        <v>1.6173324937217597</v>
      </c>
    </row>
    <row r="1064" spans="4:92" x14ac:dyDescent="0.35">
      <c r="D1064" s="1">
        <v>8.4901700000000001E-5</v>
      </c>
      <c r="E1064">
        <v>14.257899999999999</v>
      </c>
      <c r="F1064">
        <v>6.8183100000000003</v>
      </c>
      <c r="G1064">
        <v>13.648899999999999</v>
      </c>
      <c r="I1064" s="1">
        <v>8.4901700000000001E-5</v>
      </c>
      <c r="J1064">
        <f t="shared" si="137"/>
        <v>2.5305560151974559E-2</v>
      </c>
      <c r="K1064">
        <v>3.6186409335029521E-2</v>
      </c>
      <c r="L1064">
        <v>4.4873119829352277E-2</v>
      </c>
      <c r="N1064" s="1">
        <v>8.4901700000000001E-5</v>
      </c>
      <c r="O1064">
        <f t="shared" si="138"/>
        <v>3.6186409335029521E-2</v>
      </c>
      <c r="Q1064" s="1">
        <v>8.4901700000000001E-5</v>
      </c>
      <c r="R1064">
        <f t="shared" si="139"/>
        <v>4.4873119829352277E-2</v>
      </c>
      <c r="CH1064" s="1">
        <v>7.85938E-5</v>
      </c>
      <c r="CI1064">
        <v>27.4163</v>
      </c>
      <c r="CJ1064">
        <f t="shared" si="140"/>
        <v>2130.7675563490575</v>
      </c>
      <c r="CL1064" s="1">
        <v>7.85938E-5</v>
      </c>
      <c r="CM1064">
        <v>2.3720000000000001E-2</v>
      </c>
      <c r="CN1064">
        <f t="shared" si="141"/>
        <v>1.8434947982258598</v>
      </c>
    </row>
    <row r="1065" spans="4:92" x14ac:dyDescent="0.35">
      <c r="D1065" s="1">
        <v>8.6001200000000006E-5</v>
      </c>
      <c r="E1065">
        <v>14.1363</v>
      </c>
      <c r="F1065">
        <v>6.9779099999999996</v>
      </c>
      <c r="G1065">
        <v>13.5908</v>
      </c>
      <c r="I1065" s="1">
        <v>8.6001200000000006E-5</v>
      </c>
      <c r="J1065">
        <f t="shared" si="137"/>
        <v>2.5089739020217425E-2</v>
      </c>
      <c r="K1065">
        <v>3.7033444880475629E-2</v>
      </c>
      <c r="L1065">
        <v>4.4682106028819973E-2</v>
      </c>
      <c r="N1065" s="1">
        <v>8.6001200000000006E-5</v>
      </c>
      <c r="O1065">
        <f t="shared" si="138"/>
        <v>3.7033444880475629E-2</v>
      </c>
      <c r="Q1065" s="1">
        <v>8.6001200000000006E-5</v>
      </c>
      <c r="R1065">
        <f t="shared" si="139"/>
        <v>4.4682106028819973E-2</v>
      </c>
      <c r="CH1065" s="1">
        <v>7.9611599999999995E-5</v>
      </c>
      <c r="CI1065">
        <v>26.802099999999999</v>
      </c>
      <c r="CJ1065">
        <f t="shared" si="140"/>
        <v>2083.032543487745</v>
      </c>
      <c r="CL1065" s="1">
        <v>7.9611599999999995E-5</v>
      </c>
      <c r="CM1065">
        <v>2.035E-2</v>
      </c>
      <c r="CN1065">
        <f t="shared" si="141"/>
        <v>1.5815817514290154</v>
      </c>
    </row>
    <row r="1066" spans="4:92" x14ac:dyDescent="0.35">
      <c r="D1066" s="1">
        <v>8.7114900000000002E-5</v>
      </c>
      <c r="E1066">
        <v>14.1251</v>
      </c>
      <c r="F1066">
        <v>6.9071499999999997</v>
      </c>
      <c r="G1066">
        <v>13.763199999999999</v>
      </c>
      <c r="I1066" s="1">
        <v>8.7114900000000002E-5</v>
      </c>
      <c r="J1066">
        <f t="shared" si="137"/>
        <v>2.5069860758081895E-2</v>
      </c>
      <c r="K1066">
        <v>3.6657904559700152E-2</v>
      </c>
      <c r="L1066">
        <v>4.5248900851741991E-2</v>
      </c>
      <c r="N1066" s="1">
        <v>8.7114900000000002E-5</v>
      </c>
      <c r="O1066">
        <f t="shared" si="138"/>
        <v>3.6657904559700152E-2</v>
      </c>
      <c r="Q1066" s="1">
        <v>8.7114900000000002E-5</v>
      </c>
      <c r="R1066">
        <f t="shared" si="139"/>
        <v>4.5248900851741991E-2</v>
      </c>
      <c r="CH1066" s="1">
        <v>8.0642499999999999E-5</v>
      </c>
      <c r="CI1066">
        <v>26.065200000000001</v>
      </c>
      <c r="CJ1066">
        <f t="shared" si="140"/>
        <v>2025.7614087148686</v>
      </c>
      <c r="CL1066" s="1">
        <v>8.0642499999999999E-5</v>
      </c>
      <c r="CM1066">
        <v>2.5190000000000001E-2</v>
      </c>
      <c r="CN1066">
        <f t="shared" si="141"/>
        <v>1.9577417355526732</v>
      </c>
    </row>
    <row r="1067" spans="4:92" x14ac:dyDescent="0.35">
      <c r="D1067" s="1">
        <v>8.8243099999999995E-5</v>
      </c>
      <c r="E1067">
        <v>14.413600000000001</v>
      </c>
      <c r="F1067">
        <v>6.6936499999999999</v>
      </c>
      <c r="G1067">
        <v>13.432700000000001</v>
      </c>
      <c r="I1067" s="1">
        <v>8.8243099999999995E-5</v>
      </c>
      <c r="J1067">
        <f t="shared" si="137"/>
        <v>2.5581903492555045E-2</v>
      </c>
      <c r="K1067">
        <v>3.5524808764256878E-2</v>
      </c>
      <c r="L1067">
        <v>4.4162324929609004E-2</v>
      </c>
      <c r="N1067" s="1">
        <v>8.8243099999999995E-5</v>
      </c>
      <c r="O1067">
        <f t="shared" si="138"/>
        <v>3.5524808764256878E-2</v>
      </c>
      <c r="Q1067" s="1">
        <v>8.8243099999999995E-5</v>
      </c>
      <c r="R1067">
        <f t="shared" si="139"/>
        <v>4.4162324929609004E-2</v>
      </c>
      <c r="CH1067" s="1">
        <v>8.1686899999999999E-5</v>
      </c>
      <c r="CI1067">
        <v>27.340599999999998</v>
      </c>
      <c r="CJ1067">
        <f t="shared" si="140"/>
        <v>2124.8842276717514</v>
      </c>
      <c r="CL1067" s="1">
        <v>8.1686899999999999E-5</v>
      </c>
      <c r="CM1067">
        <v>2.4219999999999998E-2</v>
      </c>
      <c r="CN1067">
        <f t="shared" si="141"/>
        <v>1.8823543007179731</v>
      </c>
    </row>
    <row r="1068" spans="4:92" x14ac:dyDescent="0.35">
      <c r="D1068" s="1">
        <v>8.9385800000000001E-5</v>
      </c>
      <c r="E1068">
        <v>14.289300000000001</v>
      </c>
      <c r="F1068">
        <v>6.6699400000000004</v>
      </c>
      <c r="G1068">
        <v>13.800599999999999</v>
      </c>
      <c r="I1068" s="1">
        <v>8.9385800000000001E-5</v>
      </c>
      <c r="J1068">
        <f t="shared" si="137"/>
        <v>2.5361290279747376E-2</v>
      </c>
      <c r="K1068">
        <v>3.5398974097699695E-2</v>
      </c>
      <c r="L1068">
        <v>4.5371859821447806E-2</v>
      </c>
      <c r="N1068" s="1">
        <v>8.9385800000000001E-5</v>
      </c>
      <c r="O1068">
        <f t="shared" si="138"/>
        <v>3.5398974097699695E-2</v>
      </c>
      <c r="Q1068" s="1">
        <v>8.9385800000000001E-5</v>
      </c>
      <c r="R1068">
        <f t="shared" si="139"/>
        <v>4.5371859821447806E-2</v>
      </c>
      <c r="CH1068" s="1">
        <v>8.2744700000000001E-5</v>
      </c>
      <c r="CI1068">
        <v>26.528199999999998</v>
      </c>
      <c r="CJ1068">
        <f t="shared" si="140"/>
        <v>2061.7453080225655</v>
      </c>
      <c r="CL1068" s="1">
        <v>8.2744700000000001E-5</v>
      </c>
      <c r="CM1068">
        <v>2.4299999999999999E-2</v>
      </c>
      <c r="CN1068">
        <f t="shared" si="141"/>
        <v>1.8885718211167113</v>
      </c>
    </row>
    <row r="1069" spans="4:92" x14ac:dyDescent="0.35">
      <c r="D1069" s="1">
        <v>9.0543400000000005E-5</v>
      </c>
      <c r="E1069">
        <v>14.2486</v>
      </c>
      <c r="F1069">
        <v>7.1417200000000003</v>
      </c>
      <c r="G1069">
        <v>13.547000000000001</v>
      </c>
      <c r="I1069" s="1">
        <v>9.0543400000000005E-5</v>
      </c>
      <c r="J1069">
        <f t="shared" si="137"/>
        <v>2.5289054095022738E-2</v>
      </c>
      <c r="K1069">
        <v>3.7902823907415034E-2</v>
      </c>
      <c r="L1069">
        <v>4.4538105951998717E-2</v>
      </c>
      <c r="N1069" s="1">
        <v>9.0543400000000005E-5</v>
      </c>
      <c r="O1069">
        <f t="shared" si="138"/>
        <v>3.7902823907415034E-2</v>
      </c>
      <c r="Q1069" s="1">
        <v>9.0543400000000005E-5</v>
      </c>
      <c r="R1069">
        <f t="shared" si="139"/>
        <v>4.4538105951998717E-2</v>
      </c>
      <c r="CH1069" s="1">
        <v>8.3816300000000006E-5</v>
      </c>
      <c r="CI1069">
        <v>27.800699999999999</v>
      </c>
      <c r="CJ1069">
        <f t="shared" si="140"/>
        <v>2160.6427418649942</v>
      </c>
      <c r="CL1069" s="1">
        <v>8.3816300000000006E-5</v>
      </c>
      <c r="CM1069">
        <v>2.2290000000000001E-2</v>
      </c>
      <c r="CN1069">
        <f t="shared" si="141"/>
        <v>1.7323566210984156</v>
      </c>
    </row>
    <row r="1070" spans="4:92" x14ac:dyDescent="0.35">
      <c r="D1070" s="1">
        <v>9.1715899999999994E-5</v>
      </c>
      <c r="E1070">
        <v>14.443899999999999</v>
      </c>
      <c r="F1070">
        <v>6.9010400000000001</v>
      </c>
      <c r="G1070">
        <v>13.6746</v>
      </c>
      <c r="I1070" s="1">
        <v>9.1715899999999994E-5</v>
      </c>
      <c r="J1070">
        <f t="shared" si="137"/>
        <v>2.5635681291010973E-2</v>
      </c>
      <c r="K1070">
        <v>3.6625477321713465E-2</v>
      </c>
      <c r="L1070">
        <v>4.4957613025112697E-2</v>
      </c>
      <c r="N1070" s="1">
        <v>9.1715899999999994E-5</v>
      </c>
      <c r="O1070">
        <f t="shared" si="138"/>
        <v>3.6625477321713465E-2</v>
      </c>
      <c r="Q1070" s="1">
        <v>9.1715899999999994E-5</v>
      </c>
      <c r="R1070">
        <f t="shared" si="139"/>
        <v>4.4957613025112697E-2</v>
      </c>
      <c r="CH1070" s="1">
        <v>8.4901700000000001E-5</v>
      </c>
      <c r="CI1070">
        <v>28.306100000000001</v>
      </c>
      <c r="CJ1070">
        <f t="shared" si="140"/>
        <v>2199.9219269840223</v>
      </c>
      <c r="CL1070" s="1">
        <v>8.4901700000000001E-5</v>
      </c>
      <c r="CM1070">
        <v>2.3189999999999999E-2</v>
      </c>
      <c r="CN1070">
        <f t="shared" si="141"/>
        <v>1.8023037255842196</v>
      </c>
    </row>
    <row r="1071" spans="4:92" x14ac:dyDescent="0.35">
      <c r="D1071" s="1">
        <v>9.2903600000000003E-5</v>
      </c>
      <c r="E1071">
        <v>14.2409</v>
      </c>
      <c r="F1071">
        <v>7.2956599999999998</v>
      </c>
      <c r="G1071">
        <v>13.7544</v>
      </c>
      <c r="I1071" s="1">
        <v>9.2903600000000003E-5</v>
      </c>
      <c r="J1071">
        <f t="shared" si="137"/>
        <v>2.5275387789804565E-2</v>
      </c>
      <c r="K1071">
        <v>3.8719820472991315E-2</v>
      </c>
      <c r="L1071">
        <v>4.5219969329458272E-2</v>
      </c>
      <c r="N1071" s="1">
        <v>9.2903600000000003E-5</v>
      </c>
      <c r="O1071">
        <f t="shared" si="138"/>
        <v>3.8719820472991315E-2</v>
      </c>
      <c r="Q1071" s="1">
        <v>9.2903600000000003E-5</v>
      </c>
      <c r="R1071">
        <f t="shared" si="139"/>
        <v>4.5219969329458272E-2</v>
      </c>
      <c r="CH1071" s="1">
        <v>8.6001200000000006E-5</v>
      </c>
      <c r="CI1071">
        <v>27.7593</v>
      </c>
      <c r="CJ1071">
        <f t="shared" si="140"/>
        <v>2157.4251750586473</v>
      </c>
      <c r="CL1071" s="1">
        <v>8.6001200000000006E-5</v>
      </c>
      <c r="CM1071">
        <v>2.478E-2</v>
      </c>
      <c r="CN1071">
        <f t="shared" si="141"/>
        <v>1.9258769435091403</v>
      </c>
    </row>
    <row r="1072" spans="4:92" x14ac:dyDescent="0.35">
      <c r="D1072" s="1">
        <v>9.4106799999999998E-5</v>
      </c>
      <c r="E1072">
        <v>14.501300000000001</v>
      </c>
      <c r="F1072">
        <v>7.2173699999999998</v>
      </c>
      <c r="G1072">
        <v>13.763199999999999</v>
      </c>
      <c r="I1072" s="1">
        <v>9.4106799999999998E-5</v>
      </c>
      <c r="J1072">
        <f t="shared" si="137"/>
        <v>2.5737557384455545E-2</v>
      </c>
      <c r="K1072">
        <v>3.8304316633060394E-2</v>
      </c>
      <c r="L1072">
        <v>4.5248900851741991E-2</v>
      </c>
      <c r="N1072" s="1">
        <v>9.4106799999999998E-5</v>
      </c>
      <c r="O1072">
        <f t="shared" si="138"/>
        <v>3.8304316633060394E-2</v>
      </c>
      <c r="Q1072" s="1">
        <v>9.4106799999999998E-5</v>
      </c>
      <c r="R1072">
        <f t="shared" si="139"/>
        <v>4.5248900851741991E-2</v>
      </c>
      <c r="CH1072" s="1">
        <v>8.7114900000000002E-5</v>
      </c>
      <c r="CI1072">
        <v>27.636299999999999</v>
      </c>
      <c r="CJ1072">
        <f t="shared" si="140"/>
        <v>2147.865737445587</v>
      </c>
      <c r="CL1072" s="1">
        <v>8.7114900000000002E-5</v>
      </c>
      <c r="CM1072">
        <v>2.4369999999999999E-2</v>
      </c>
      <c r="CN1072">
        <f t="shared" si="141"/>
        <v>1.8940121514656072</v>
      </c>
    </row>
    <row r="1073" spans="4:92" x14ac:dyDescent="0.35">
      <c r="D1073" s="1">
        <v>9.53254E-5</v>
      </c>
      <c r="E1073">
        <v>14.2698</v>
      </c>
      <c r="F1073">
        <v>7.4038199999999996</v>
      </c>
      <c r="G1073">
        <v>13.536</v>
      </c>
      <c r="I1073" s="1">
        <v>9.53254E-5</v>
      </c>
      <c r="J1073">
        <f t="shared" si="137"/>
        <v>2.5326680805493558E-2</v>
      </c>
      <c r="K1073">
        <v>3.9293851579479108E-2</v>
      </c>
      <c r="L1073">
        <v>4.4501941549144067E-2</v>
      </c>
      <c r="N1073" s="1">
        <v>9.53254E-5</v>
      </c>
      <c r="O1073">
        <f t="shared" si="138"/>
        <v>3.9293851579479108E-2</v>
      </c>
      <c r="Q1073" s="1">
        <v>9.53254E-5</v>
      </c>
      <c r="R1073">
        <f t="shared" si="139"/>
        <v>4.4501941549144067E-2</v>
      </c>
      <c r="CH1073" s="1">
        <v>8.8243099999999995E-5</v>
      </c>
      <c r="CI1073">
        <v>26.9999</v>
      </c>
      <c r="CJ1073">
        <f t="shared" si="140"/>
        <v>2098.4053626736254</v>
      </c>
      <c r="CL1073" s="1">
        <v>8.8243099999999995E-5</v>
      </c>
      <c r="CM1073">
        <v>2.266E-2</v>
      </c>
      <c r="CN1073">
        <f t="shared" si="141"/>
        <v>1.7611126529425793</v>
      </c>
    </row>
    <row r="1074" spans="4:92" x14ac:dyDescent="0.35">
      <c r="D1074" s="1">
        <v>9.6559900000000004E-5</v>
      </c>
      <c r="E1074">
        <v>14.763</v>
      </c>
      <c r="F1074">
        <v>7.1872400000000001</v>
      </c>
      <c r="G1074">
        <v>14.0039</v>
      </c>
      <c r="I1074" s="1">
        <v>9.6559900000000004E-5</v>
      </c>
      <c r="J1074">
        <f t="shared" si="137"/>
        <v>2.620203427739011E-2</v>
      </c>
      <c r="K1074">
        <v>3.8144409484036003E-2</v>
      </c>
      <c r="L1074">
        <v>4.6040243739661535E-2</v>
      </c>
      <c r="N1074" s="1">
        <v>9.6559900000000004E-5</v>
      </c>
      <c r="O1074">
        <f t="shared" si="138"/>
        <v>3.8144409484036003E-2</v>
      </c>
      <c r="Q1074" s="1">
        <v>9.6559900000000004E-5</v>
      </c>
      <c r="R1074">
        <f t="shared" si="139"/>
        <v>4.6040243739661535E-2</v>
      </c>
      <c r="CH1074" s="1">
        <v>8.9385800000000001E-5</v>
      </c>
      <c r="CI1074">
        <v>27.799299999999999</v>
      </c>
      <c r="CJ1074">
        <f t="shared" si="140"/>
        <v>2160.5339352580163</v>
      </c>
      <c r="CL1074" s="1">
        <v>8.9385800000000001E-5</v>
      </c>
      <c r="CM1074">
        <v>2.9360000000000001E-2</v>
      </c>
      <c r="CN1074">
        <f t="shared" si="141"/>
        <v>2.2818299863368989</v>
      </c>
    </row>
    <row r="1075" spans="4:92" x14ac:dyDescent="0.35">
      <c r="D1075" s="1">
        <v>9.7810400000000001E-5</v>
      </c>
      <c r="E1075">
        <v>14.5824</v>
      </c>
      <c r="F1075">
        <v>7.5028499999999996</v>
      </c>
      <c r="G1075">
        <v>14.0191</v>
      </c>
      <c r="I1075" s="1">
        <v>9.7810400000000001E-5</v>
      </c>
      <c r="J1075">
        <f t="shared" si="137"/>
        <v>2.5881497300454755E-2</v>
      </c>
      <c r="K1075">
        <v>3.9819427582395962E-2</v>
      </c>
      <c r="L1075">
        <v>4.6090216369060695E-2</v>
      </c>
      <c r="N1075" s="1">
        <v>9.7810400000000001E-5</v>
      </c>
      <c r="O1075">
        <f t="shared" si="138"/>
        <v>3.9819427582395962E-2</v>
      </c>
      <c r="Q1075" s="1">
        <v>9.7810400000000001E-5</v>
      </c>
      <c r="R1075">
        <f t="shared" si="139"/>
        <v>4.6090216369060695E-2</v>
      </c>
      <c r="CH1075" s="1">
        <v>9.0543400000000005E-5</v>
      </c>
      <c r="CI1075">
        <v>28.919899999999998</v>
      </c>
      <c r="CJ1075">
        <f t="shared" si="140"/>
        <v>2247.6258522433404</v>
      </c>
      <c r="CL1075" s="1">
        <v>9.0543400000000005E-5</v>
      </c>
      <c r="CM1075">
        <v>2.317E-2</v>
      </c>
      <c r="CN1075">
        <f t="shared" si="141"/>
        <v>1.8007493454845349</v>
      </c>
    </row>
    <row r="1076" spans="4:92" x14ac:dyDescent="0.35">
      <c r="D1076" s="1">
        <v>9.9077E-5</v>
      </c>
      <c r="E1076">
        <v>14.812200000000001</v>
      </c>
      <c r="F1076">
        <v>7.9993999999999996</v>
      </c>
      <c r="G1076">
        <v>13.6698</v>
      </c>
      <c r="I1076" s="1">
        <v>9.9077E-5</v>
      </c>
      <c r="J1076">
        <f t="shared" si="137"/>
        <v>2.6289356643199743E-2</v>
      </c>
      <c r="K1076">
        <v>4.245473773334376E-2</v>
      </c>
      <c r="L1076">
        <v>4.4941832194776113E-2</v>
      </c>
      <c r="N1076" s="1">
        <v>9.9077E-5</v>
      </c>
      <c r="O1076">
        <f t="shared" si="138"/>
        <v>4.245473773334376E-2</v>
      </c>
      <c r="Q1076" s="1">
        <v>9.9077E-5</v>
      </c>
      <c r="R1076">
        <f t="shared" si="139"/>
        <v>4.4941832194776113E-2</v>
      </c>
      <c r="CH1076" s="1">
        <v>9.1715899999999994E-5</v>
      </c>
      <c r="CI1076">
        <v>28.515799999999999</v>
      </c>
      <c r="CJ1076">
        <f t="shared" si="140"/>
        <v>2216.2196023292145</v>
      </c>
      <c r="CL1076" s="1">
        <v>9.1715899999999994E-5</v>
      </c>
      <c r="CM1076">
        <v>2.2960000000000001E-2</v>
      </c>
      <c r="CN1076">
        <f t="shared" si="141"/>
        <v>1.7844283544378474</v>
      </c>
    </row>
    <row r="1077" spans="4:92" x14ac:dyDescent="0.35">
      <c r="D1077">
        <v>1.0035999999999999E-4</v>
      </c>
      <c r="E1077">
        <v>15.397</v>
      </c>
      <c r="F1077">
        <v>12.428900000000001</v>
      </c>
      <c r="G1077">
        <v>16.0749</v>
      </c>
      <c r="I1077">
        <v>1.0035999999999999E-4</v>
      </c>
      <c r="J1077">
        <f t="shared" si="137"/>
        <v>2.7327285901847558E-2</v>
      </c>
      <c r="K1077">
        <v>6.5963158463629309E-2</v>
      </c>
      <c r="L1077">
        <v>5.2849014495296685E-2</v>
      </c>
      <c r="N1077">
        <v>1.0035999999999999E-4</v>
      </c>
      <c r="O1077">
        <f t="shared" si="138"/>
        <v>6.5963158463629309E-2</v>
      </c>
      <c r="Q1077">
        <v>1.0035999999999999E-4</v>
      </c>
      <c r="R1077">
        <f t="shared" si="139"/>
        <v>5.2849014495296685E-2</v>
      </c>
      <c r="CH1077" s="1">
        <v>9.2903600000000003E-5</v>
      </c>
      <c r="CI1077">
        <v>28.3094</v>
      </c>
      <c r="CJ1077">
        <f t="shared" si="140"/>
        <v>2200.1783997004704</v>
      </c>
      <c r="CL1077" s="1">
        <v>9.2903600000000003E-5</v>
      </c>
      <c r="CM1077">
        <v>1.966E-2</v>
      </c>
      <c r="CN1077">
        <f t="shared" si="141"/>
        <v>1.5279556379898991</v>
      </c>
    </row>
    <row r="1078" spans="4:92" x14ac:dyDescent="0.35">
      <c r="D1078">
        <v>1.0166E-4</v>
      </c>
      <c r="E1078">
        <v>13.189</v>
      </c>
      <c r="F1078">
        <v>1.6039099999999999</v>
      </c>
      <c r="G1078">
        <v>10.927300000000001</v>
      </c>
      <c r="I1078">
        <v>1.0166E-4</v>
      </c>
      <c r="J1078">
        <f t="shared" si="137"/>
        <v>2.3408428509415307E-2</v>
      </c>
      <c r="K1078">
        <v>8.5123357249152921E-3</v>
      </c>
      <c r="L1078">
        <v>3.5925389028513735E-2</v>
      </c>
      <c r="N1078">
        <v>1.0166E-4</v>
      </c>
      <c r="O1078">
        <f t="shared" si="138"/>
        <v>8.5123357249152921E-3</v>
      </c>
      <c r="Q1078">
        <v>1.0166E-4</v>
      </c>
      <c r="R1078">
        <f t="shared" si="139"/>
        <v>3.5925389028513735E-2</v>
      </c>
      <c r="CH1078" s="1">
        <v>9.4106799999999998E-5</v>
      </c>
      <c r="CI1078">
        <v>28.819099999999999</v>
      </c>
      <c r="CJ1078">
        <f t="shared" si="140"/>
        <v>2239.7917765409306</v>
      </c>
      <c r="CL1078" s="1">
        <v>9.4106799999999998E-5</v>
      </c>
      <c r="CM1078">
        <v>2.1850000000000001E-2</v>
      </c>
      <c r="CN1078">
        <f t="shared" si="141"/>
        <v>1.6981602589053557</v>
      </c>
    </row>
    <row r="1079" spans="4:92" x14ac:dyDescent="0.35">
      <c r="D1079">
        <v>1.02976E-4</v>
      </c>
      <c r="E1079">
        <v>13.6631</v>
      </c>
      <c r="F1079">
        <v>4.2674899999999996</v>
      </c>
      <c r="G1079">
        <v>12.364100000000001</v>
      </c>
      <c r="I1079">
        <v>1.02976E-4</v>
      </c>
      <c r="J1079">
        <f t="shared" si="137"/>
        <v>2.424988244499145E-2</v>
      </c>
      <c r="K1079">
        <v>2.2648594735813581E-2</v>
      </c>
      <c r="L1079">
        <v>4.0649117575928789E-2</v>
      </c>
      <c r="N1079">
        <v>1.02976E-4</v>
      </c>
      <c r="O1079">
        <f t="shared" si="138"/>
        <v>2.2648594735813581E-2</v>
      </c>
      <c r="Q1079">
        <v>1.02976E-4</v>
      </c>
      <c r="R1079">
        <f t="shared" si="139"/>
        <v>4.0649117575928789E-2</v>
      </c>
      <c r="CH1079" s="1">
        <v>9.53254E-5</v>
      </c>
      <c r="CI1079">
        <v>27.747399999999999</v>
      </c>
      <c r="CJ1079">
        <f t="shared" si="140"/>
        <v>2156.5003188993346</v>
      </c>
      <c r="CL1079" s="1">
        <v>9.53254E-5</v>
      </c>
      <c r="CM1079">
        <v>2.1919999999999999E-2</v>
      </c>
      <c r="CN1079">
        <f t="shared" si="141"/>
        <v>1.7036005892542514</v>
      </c>
    </row>
    <row r="1080" spans="4:92" x14ac:dyDescent="0.35">
      <c r="D1080">
        <v>1.0431E-4</v>
      </c>
      <c r="E1080">
        <v>14.3843</v>
      </c>
      <c r="F1080">
        <v>6.9962499999999999</v>
      </c>
      <c r="G1080">
        <v>13.8725</v>
      </c>
      <c r="I1080">
        <v>1.0431E-4</v>
      </c>
      <c r="J1080">
        <f t="shared" si="137"/>
        <v>2.5529900538932639E-2</v>
      </c>
      <c r="K1080">
        <v>3.7130779666838296E-2</v>
      </c>
      <c r="L1080">
        <v>4.5608243509197774E-2</v>
      </c>
      <c r="N1080">
        <v>1.0431E-4</v>
      </c>
      <c r="O1080">
        <f t="shared" si="138"/>
        <v>3.7130779666838296E-2</v>
      </c>
      <c r="Q1080">
        <v>1.0431E-4</v>
      </c>
      <c r="R1080">
        <f t="shared" si="139"/>
        <v>4.5608243509197774E-2</v>
      </c>
      <c r="CH1080" s="1">
        <v>9.6559900000000004E-5</v>
      </c>
      <c r="CI1080">
        <v>28.3201</v>
      </c>
      <c r="CJ1080">
        <f t="shared" si="140"/>
        <v>2201.0099930538017</v>
      </c>
      <c r="CL1080" s="1">
        <v>9.6559900000000004E-5</v>
      </c>
      <c r="CM1080">
        <v>2.6530000000000001E-2</v>
      </c>
      <c r="CN1080">
        <f t="shared" si="141"/>
        <v>2.061885202231537</v>
      </c>
    </row>
    <row r="1081" spans="4:92" x14ac:dyDescent="0.35">
      <c r="D1081">
        <v>1.05661E-4</v>
      </c>
      <c r="E1081">
        <v>14.359</v>
      </c>
      <c r="F1081">
        <v>7.4977999999999998</v>
      </c>
      <c r="G1081">
        <v>13.783099999999999</v>
      </c>
      <c r="I1081">
        <v>1.05661E-4</v>
      </c>
      <c r="J1081">
        <f t="shared" si="137"/>
        <v>2.5484996964644353E-2</v>
      </c>
      <c r="K1081">
        <v>3.9792626019084537E-2</v>
      </c>
      <c r="L1081">
        <v>4.5314325544179045E-2</v>
      </c>
      <c r="N1081">
        <v>1.05661E-4</v>
      </c>
      <c r="O1081">
        <f t="shared" si="138"/>
        <v>3.9792626019084537E-2</v>
      </c>
      <c r="Q1081">
        <v>1.05661E-4</v>
      </c>
      <c r="R1081">
        <f t="shared" si="139"/>
        <v>4.5314325544179045E-2</v>
      </c>
      <c r="CH1081" s="1">
        <v>9.7810400000000001E-5</v>
      </c>
      <c r="CI1081">
        <v>27.9041</v>
      </c>
      <c r="CJ1081">
        <f t="shared" si="140"/>
        <v>2168.6788869803631</v>
      </c>
      <c r="CL1081" s="1">
        <v>9.7810400000000001E-5</v>
      </c>
      <c r="CM1081">
        <v>2.4109999999999999E-2</v>
      </c>
      <c r="CN1081">
        <f t="shared" si="141"/>
        <v>1.8738052101697082</v>
      </c>
    </row>
    <row r="1082" spans="4:92" x14ac:dyDescent="0.35">
      <c r="D1082">
        <v>1.0702899999999999E-4</v>
      </c>
      <c r="E1082">
        <v>14.4297</v>
      </c>
      <c r="F1082">
        <v>7.7206599999999996</v>
      </c>
      <c r="G1082">
        <v>13.635999999999999</v>
      </c>
      <c r="I1082">
        <v>1.0702899999999999E-4</v>
      </c>
      <c r="J1082">
        <f t="shared" si="137"/>
        <v>2.561047849437486E-2</v>
      </c>
      <c r="K1082">
        <v>4.0975397583358483E-2</v>
      </c>
      <c r="L1082">
        <v>4.4830708847822726E-2</v>
      </c>
      <c r="N1082">
        <v>1.0702899999999999E-4</v>
      </c>
      <c r="O1082">
        <f t="shared" si="138"/>
        <v>4.0975397583358483E-2</v>
      </c>
      <c r="Q1082">
        <v>1.0702899999999999E-4</v>
      </c>
      <c r="R1082">
        <f t="shared" si="139"/>
        <v>4.4830708847822726E-2</v>
      </c>
      <c r="CH1082" s="1">
        <v>9.9077E-5</v>
      </c>
      <c r="CI1082">
        <v>28.6158</v>
      </c>
      <c r="CJ1082">
        <f t="shared" si="140"/>
        <v>2223.9915028276373</v>
      </c>
      <c r="CL1082" s="1">
        <v>9.9077E-5</v>
      </c>
      <c r="CM1082">
        <v>2.494E-2</v>
      </c>
      <c r="CN1082">
        <f t="shared" si="141"/>
        <v>1.9383119843066166</v>
      </c>
    </row>
    <row r="1083" spans="4:92" x14ac:dyDescent="0.35">
      <c r="D1083">
        <v>1.08415E-4</v>
      </c>
      <c r="E1083">
        <v>14.3874</v>
      </c>
      <c r="F1083">
        <v>8.0716699999999992</v>
      </c>
      <c r="G1083">
        <v>13.951000000000001</v>
      </c>
      <c r="I1083">
        <v>1.08415E-4</v>
      </c>
      <c r="J1083">
        <f t="shared" si="137"/>
        <v>2.5535402557916576E-2</v>
      </c>
      <c r="K1083">
        <v>4.2838291986911366E-2</v>
      </c>
      <c r="L1083">
        <v>4.5866325838660529E-2</v>
      </c>
      <c r="N1083">
        <v>1.08415E-4</v>
      </c>
      <c r="O1083">
        <f t="shared" si="138"/>
        <v>4.2838291986911366E-2</v>
      </c>
      <c r="Q1083">
        <v>1.08415E-4</v>
      </c>
      <c r="R1083">
        <f t="shared" si="139"/>
        <v>4.5866325838660529E-2</v>
      </c>
      <c r="CH1083">
        <v>1.0035999999999999E-4</v>
      </c>
      <c r="CI1083">
        <v>32.062800000000003</v>
      </c>
      <c r="CJ1083">
        <f t="shared" si="140"/>
        <v>2491.8889130082675</v>
      </c>
      <c r="CL1083">
        <v>1.0035999999999999E-4</v>
      </c>
      <c r="CM1083">
        <v>2.0449999999999999E-2</v>
      </c>
      <c r="CN1083">
        <f t="shared" si="141"/>
        <v>1.589353651927438</v>
      </c>
    </row>
    <row r="1084" spans="4:92" x14ac:dyDescent="0.35">
      <c r="D1084">
        <v>1.09819E-4</v>
      </c>
      <c r="E1084">
        <v>14.1578</v>
      </c>
      <c r="F1084">
        <v>7.7096200000000001</v>
      </c>
      <c r="G1084">
        <v>13.928900000000001</v>
      </c>
      <c r="I1084">
        <v>1.09819E-4</v>
      </c>
      <c r="J1084">
        <f t="shared" si="137"/>
        <v>2.5127898184138298E-2</v>
      </c>
      <c r="K1084">
        <v>4.0916805650891536E-2</v>
      </c>
      <c r="L1084">
        <v>4.5793668265652537E-2</v>
      </c>
      <c r="N1084">
        <v>1.09819E-4</v>
      </c>
      <c r="O1084">
        <f t="shared" si="138"/>
        <v>4.0916805650891536E-2</v>
      </c>
      <c r="Q1084">
        <v>1.09819E-4</v>
      </c>
      <c r="R1084">
        <f t="shared" si="139"/>
        <v>4.5793668265652537E-2</v>
      </c>
      <c r="CH1084">
        <v>1.0166E-4</v>
      </c>
      <c r="CI1084">
        <v>22.800699999999999</v>
      </c>
      <c r="CJ1084">
        <f t="shared" si="140"/>
        <v>1772.04771694386</v>
      </c>
      <c r="CL1084">
        <v>1.0166E-4</v>
      </c>
      <c r="CM1084">
        <v>2.6329999999999999E-2</v>
      </c>
      <c r="CN1084">
        <f t="shared" si="141"/>
        <v>2.0463414012346917</v>
      </c>
    </row>
    <row r="1085" spans="4:92" x14ac:dyDescent="0.35">
      <c r="D1085">
        <v>1.11241E-4</v>
      </c>
      <c r="E1085">
        <v>14.001099999999999</v>
      </c>
      <c r="F1085">
        <v>7.9289800000000001</v>
      </c>
      <c r="G1085">
        <v>13.95</v>
      </c>
      <c r="I1085">
        <v>1.11241E-4</v>
      </c>
      <c r="J1085">
        <f t="shared" si="137"/>
        <v>2.4849779998724286E-2</v>
      </c>
      <c r="K1085">
        <v>4.208100187425657E-2</v>
      </c>
      <c r="L1085">
        <v>4.5863038165673733E-2</v>
      </c>
      <c r="N1085">
        <v>1.11241E-4</v>
      </c>
      <c r="O1085">
        <f t="shared" si="138"/>
        <v>4.208100187425657E-2</v>
      </c>
      <c r="Q1085">
        <v>1.11241E-4</v>
      </c>
      <c r="R1085">
        <f t="shared" si="139"/>
        <v>4.5863038165673733E-2</v>
      </c>
      <c r="CH1085">
        <v>1.02976E-4</v>
      </c>
      <c r="CI1085">
        <v>25.573399999999999</v>
      </c>
      <c r="CJ1085">
        <f t="shared" si="140"/>
        <v>1987.5392020636257</v>
      </c>
      <c r="CL1085">
        <v>1.02976E-4</v>
      </c>
      <c r="CM1085">
        <v>2.5989999999999999E-2</v>
      </c>
      <c r="CN1085">
        <f t="shared" si="141"/>
        <v>2.0199169395400545</v>
      </c>
    </row>
    <row r="1086" spans="4:92" x14ac:dyDescent="0.35">
      <c r="D1086">
        <v>1.12682E-4</v>
      </c>
      <c r="E1086">
        <v>14.134600000000001</v>
      </c>
      <c r="F1086">
        <v>8.3932800000000007</v>
      </c>
      <c r="G1086">
        <v>13.5296</v>
      </c>
      <c r="I1086">
        <v>1.12682E-4</v>
      </c>
      <c r="J1086">
        <f t="shared" si="137"/>
        <v>2.5086721784000423E-2</v>
      </c>
      <c r="K1086">
        <v>4.4545153526829459E-2</v>
      </c>
      <c r="L1086">
        <v>4.4480900442028633E-2</v>
      </c>
      <c r="N1086">
        <v>1.12682E-4</v>
      </c>
      <c r="O1086">
        <f t="shared" si="138"/>
        <v>4.4545153526829459E-2</v>
      </c>
      <c r="Q1086">
        <v>1.12682E-4</v>
      </c>
      <c r="R1086">
        <f t="shared" si="139"/>
        <v>4.4480900442028633E-2</v>
      </c>
      <c r="CH1086">
        <v>1.0431E-4</v>
      </c>
      <c r="CI1086">
        <v>28.5488</v>
      </c>
      <c r="CJ1086">
        <f t="shared" si="140"/>
        <v>2218.7843294936943</v>
      </c>
      <c r="CL1086">
        <v>1.0431E-4</v>
      </c>
      <c r="CM1086">
        <v>2.017E-2</v>
      </c>
      <c r="CN1086">
        <f t="shared" si="141"/>
        <v>1.5675923305318546</v>
      </c>
    </row>
    <row r="1087" spans="4:92" x14ac:dyDescent="0.35">
      <c r="D1087">
        <v>1.14141E-4</v>
      </c>
      <c r="E1087">
        <v>14.7988</v>
      </c>
      <c r="F1087">
        <v>9.9356600000000004</v>
      </c>
      <c r="G1087">
        <v>14.5228</v>
      </c>
      <c r="I1087">
        <v>1.14141E-4</v>
      </c>
      <c r="J1087">
        <f t="shared" si="137"/>
        <v>2.6265573722430449E-2</v>
      </c>
      <c r="K1087">
        <v>5.2730934758566175E-2</v>
      </c>
      <c r="L1087">
        <v>4.7746217252505121E-2</v>
      </c>
      <c r="N1087">
        <v>1.14141E-4</v>
      </c>
      <c r="O1087">
        <f t="shared" si="138"/>
        <v>5.2730934758566175E-2</v>
      </c>
      <c r="Q1087">
        <v>1.14141E-4</v>
      </c>
      <c r="R1087">
        <f t="shared" si="139"/>
        <v>4.7746217252505121E-2</v>
      </c>
      <c r="CH1087">
        <v>1.05661E-4</v>
      </c>
      <c r="CI1087">
        <v>27.942499999999999</v>
      </c>
      <c r="CJ1087">
        <f t="shared" si="140"/>
        <v>2171.6632967717574</v>
      </c>
      <c r="CL1087">
        <v>1.05661E-4</v>
      </c>
      <c r="CM1087">
        <v>2.0660000000000001E-2</v>
      </c>
      <c r="CN1087">
        <f t="shared" si="141"/>
        <v>1.6056746429741258</v>
      </c>
    </row>
    <row r="1088" spans="4:92" x14ac:dyDescent="0.35">
      <c r="D1088">
        <v>1.1561900000000001E-4</v>
      </c>
      <c r="E1088">
        <v>13.9671</v>
      </c>
      <c r="F1088">
        <v>4.9772299999999996</v>
      </c>
      <c r="G1088">
        <v>12.4787</v>
      </c>
      <c r="I1088">
        <v>1.1561900000000001E-4</v>
      </c>
      <c r="J1088">
        <f t="shared" si="137"/>
        <v>2.4789435274384299E-2</v>
      </c>
      <c r="K1088">
        <v>2.641535543772415E-2</v>
      </c>
      <c r="L1088">
        <v>4.1025884900214547E-2</v>
      </c>
      <c r="N1088">
        <v>1.1561900000000001E-4</v>
      </c>
      <c r="O1088">
        <f t="shared" si="138"/>
        <v>2.641535543772415E-2</v>
      </c>
      <c r="Q1088">
        <v>1.1561900000000001E-4</v>
      </c>
      <c r="R1088">
        <f t="shared" si="139"/>
        <v>4.1025884900214547E-2</v>
      </c>
      <c r="CH1088">
        <v>1.0702899999999999E-4</v>
      </c>
      <c r="CI1088">
        <v>27.866700000000002</v>
      </c>
      <c r="CJ1088">
        <f t="shared" si="140"/>
        <v>2165.7721961939533</v>
      </c>
      <c r="CL1088">
        <v>1.0702899999999999E-4</v>
      </c>
      <c r="CM1088">
        <v>2.5510000000000001E-2</v>
      </c>
      <c r="CN1088">
        <f t="shared" si="141"/>
        <v>1.9826118171476259</v>
      </c>
    </row>
    <row r="1089" spans="4:92" x14ac:dyDescent="0.35">
      <c r="D1089">
        <v>1.1711599999999999E-4</v>
      </c>
      <c r="E1089">
        <v>14.0885</v>
      </c>
      <c r="F1089">
        <v>5.2298999999999998</v>
      </c>
      <c r="G1089">
        <v>13.060600000000001</v>
      </c>
      <c r="I1089">
        <v>1.1711599999999999E-4</v>
      </c>
      <c r="J1089">
        <f t="shared" si="137"/>
        <v>2.500490143717473E-2</v>
      </c>
      <c r="K1089">
        <v>2.7756335834139376E-2</v>
      </c>
      <c r="L1089">
        <v>4.2938981811225692E-2</v>
      </c>
      <c r="N1089">
        <v>1.1711599999999999E-4</v>
      </c>
      <c r="O1089">
        <f t="shared" si="138"/>
        <v>2.7756335834139376E-2</v>
      </c>
      <c r="Q1089">
        <v>1.1711599999999999E-4</v>
      </c>
      <c r="R1089">
        <f t="shared" si="139"/>
        <v>4.2938981811225692E-2</v>
      </c>
      <c r="CH1089">
        <v>1.08415E-4</v>
      </c>
      <c r="CI1089">
        <v>29.279599999999999</v>
      </c>
      <c r="CJ1089">
        <f t="shared" si="140"/>
        <v>2275.5813783361668</v>
      </c>
      <c r="CL1089">
        <v>1.08415E-4</v>
      </c>
      <c r="CM1089">
        <v>2.0899999999999998E-2</v>
      </c>
      <c r="CN1089">
        <f t="shared" si="141"/>
        <v>1.62432720417034</v>
      </c>
    </row>
    <row r="1090" spans="4:92" x14ac:dyDescent="0.35">
      <c r="D1090">
        <v>1.18633E-4</v>
      </c>
      <c r="E1090">
        <v>14.551600000000001</v>
      </c>
      <c r="F1090">
        <v>8.4838100000000001</v>
      </c>
      <c r="G1090">
        <v>14.119</v>
      </c>
      <c r="I1090">
        <v>1.18633E-4</v>
      </c>
      <c r="J1090">
        <f t="shared" si="137"/>
        <v>2.5826832079582057E-2</v>
      </c>
      <c r="K1090">
        <v>4.5025617987538964E-2</v>
      </c>
      <c r="L1090">
        <v>4.6418654900440677E-2</v>
      </c>
      <c r="N1090">
        <v>1.18633E-4</v>
      </c>
      <c r="O1090">
        <f t="shared" si="138"/>
        <v>4.5025617987538964E-2</v>
      </c>
      <c r="Q1090">
        <v>1.18633E-4</v>
      </c>
      <c r="R1090">
        <f t="shared" si="139"/>
        <v>4.6418654900440677E-2</v>
      </c>
      <c r="CH1090">
        <v>1.09819E-4</v>
      </c>
      <c r="CI1090">
        <v>28.572500000000002</v>
      </c>
      <c r="CJ1090">
        <f t="shared" si="140"/>
        <v>2220.6262699118206</v>
      </c>
      <c r="CL1090">
        <v>1.09819E-4</v>
      </c>
      <c r="CM1090">
        <v>2.4199999999999999E-2</v>
      </c>
      <c r="CN1090">
        <f t="shared" si="141"/>
        <v>1.8807999206182886</v>
      </c>
    </row>
    <row r="1091" spans="4:92" x14ac:dyDescent="0.35">
      <c r="D1091">
        <v>1.2016899999999999E-4</v>
      </c>
      <c r="E1091">
        <v>14.264200000000001</v>
      </c>
      <c r="F1091">
        <v>8.6362900000000007</v>
      </c>
      <c r="G1091">
        <v>14.1357</v>
      </c>
      <c r="I1091">
        <v>1.2016899999999999E-4</v>
      </c>
      <c r="J1091">
        <f t="shared" si="137"/>
        <v>2.5316741674425793E-2</v>
      </c>
      <c r="K1091">
        <v>4.5834865982336111E-2</v>
      </c>
      <c r="L1091">
        <v>4.6473559039320017E-2</v>
      </c>
      <c r="N1091">
        <v>1.2016899999999999E-4</v>
      </c>
      <c r="O1091">
        <f t="shared" si="138"/>
        <v>4.5834865982336111E-2</v>
      </c>
      <c r="Q1091">
        <v>1.2016899999999999E-4</v>
      </c>
      <c r="R1091">
        <f t="shared" si="139"/>
        <v>4.6473559039320017E-2</v>
      </c>
      <c r="CH1091">
        <v>1.11241E-4</v>
      </c>
      <c r="CI1091">
        <v>28.6037</v>
      </c>
      <c r="CJ1091">
        <f t="shared" si="140"/>
        <v>2223.0511028673282</v>
      </c>
      <c r="CL1091">
        <v>1.11241E-4</v>
      </c>
      <c r="CM1091">
        <v>2.283E-2</v>
      </c>
      <c r="CN1091">
        <f t="shared" si="141"/>
        <v>1.7743248837898979</v>
      </c>
    </row>
    <row r="1092" spans="4:92" x14ac:dyDescent="0.35">
      <c r="D1092">
        <v>1.2172600000000001E-4</v>
      </c>
      <c r="E1092">
        <v>14.4184</v>
      </c>
      <c r="F1092">
        <v>8.7722700000000007</v>
      </c>
      <c r="G1092">
        <v>14.0654</v>
      </c>
      <c r="I1092">
        <v>1.2172600000000001E-4</v>
      </c>
      <c r="J1092">
        <f t="shared" ref="J1092:J1155" si="142">E1092/SUM($E$3:$E$2002)/$C$3</f>
        <v>2.559042274775598E-2</v>
      </c>
      <c r="K1092">
        <v>4.6556544512848408E-2</v>
      </c>
      <c r="L1092">
        <v>4.6242435628348913E-2</v>
      </c>
      <c r="N1092">
        <v>1.2172600000000001E-4</v>
      </c>
      <c r="O1092">
        <f t="shared" ref="O1092:O1155" si="143">F1092/SUM($F$3:$F$2002)/$C$3</f>
        <v>4.6556544512848408E-2</v>
      </c>
      <c r="Q1092">
        <v>1.2172600000000001E-4</v>
      </c>
      <c r="R1092">
        <f t="shared" ref="R1092:R1155" si="144">G1092/SUM($G$3:$G$2002)/$C$3</f>
        <v>4.6242435628348913E-2</v>
      </c>
      <c r="CH1092">
        <v>1.12682E-4</v>
      </c>
      <c r="CI1092">
        <v>28.790099999999999</v>
      </c>
      <c r="CJ1092">
        <f t="shared" si="140"/>
        <v>2237.5379253963879</v>
      </c>
      <c r="CL1092">
        <v>1.12682E-4</v>
      </c>
      <c r="CM1092">
        <v>2.47E-2</v>
      </c>
      <c r="CN1092">
        <f t="shared" si="141"/>
        <v>1.9196594231104021</v>
      </c>
    </row>
    <row r="1093" spans="4:92" x14ac:dyDescent="0.35">
      <c r="D1093">
        <v>1.2330199999999999E-4</v>
      </c>
      <c r="E1093">
        <v>14.4558</v>
      </c>
      <c r="F1093">
        <v>8.9098699999999997</v>
      </c>
      <c r="G1093">
        <v>14.0375</v>
      </c>
      <c r="I1093">
        <v>1.2330199999999999E-4</v>
      </c>
      <c r="J1093">
        <f t="shared" si="142"/>
        <v>2.5656801944529968E-2</v>
      </c>
      <c r="K1093">
        <v>4.7286820772581388E-2</v>
      </c>
      <c r="L1093">
        <v>4.6150709552017569E-2</v>
      </c>
      <c r="N1093">
        <v>1.2330199999999999E-4</v>
      </c>
      <c r="O1093">
        <f t="shared" si="143"/>
        <v>4.7286820772581388E-2</v>
      </c>
      <c r="Q1093">
        <v>1.2330199999999999E-4</v>
      </c>
      <c r="R1093">
        <f t="shared" si="144"/>
        <v>4.6150709552017569E-2</v>
      </c>
      <c r="CH1093">
        <v>1.14141E-4</v>
      </c>
      <c r="CI1093">
        <v>30.0413</v>
      </c>
      <c r="CJ1093">
        <f t="shared" si="140"/>
        <v>2334.7799444326524</v>
      </c>
      <c r="CL1093">
        <v>1.14141E-4</v>
      </c>
      <c r="CM1093">
        <v>2.5770000000000001E-2</v>
      </c>
      <c r="CN1093">
        <f t="shared" si="141"/>
        <v>2.0028187584435249</v>
      </c>
    </row>
    <row r="1094" spans="4:92" x14ac:dyDescent="0.35">
      <c r="D1094">
        <v>1.2489900000000001E-4</v>
      </c>
      <c r="E1094">
        <v>14.693300000000001</v>
      </c>
      <c r="F1094">
        <v>8.5443099999999994</v>
      </c>
      <c r="G1094">
        <v>14.2133</v>
      </c>
      <c r="I1094">
        <v>1.2489900000000001E-4</v>
      </c>
      <c r="J1094">
        <f t="shared" si="142"/>
        <v>2.6078327592493129E-2</v>
      </c>
      <c r="K1094">
        <v>4.5346706023250048E-2</v>
      </c>
      <c r="L1094">
        <v>4.6728682463094653E-2</v>
      </c>
      <c r="N1094">
        <v>1.2489900000000001E-4</v>
      </c>
      <c r="O1094">
        <f t="shared" si="143"/>
        <v>4.5346706023250048E-2</v>
      </c>
      <c r="Q1094">
        <v>1.2489900000000001E-4</v>
      </c>
      <c r="R1094">
        <f t="shared" si="144"/>
        <v>4.6728682463094653E-2</v>
      </c>
      <c r="CH1094">
        <v>1.1561900000000001E-4</v>
      </c>
      <c r="CI1094">
        <v>26.116800000000001</v>
      </c>
      <c r="CJ1094">
        <f t="shared" si="140"/>
        <v>2029.7717093720546</v>
      </c>
      <c r="CL1094">
        <v>1.1561900000000001E-4</v>
      </c>
      <c r="CM1094">
        <v>2.717E-2</v>
      </c>
      <c r="CN1094">
        <f t="shared" si="141"/>
        <v>2.1116253654214421</v>
      </c>
    </row>
    <row r="1095" spans="4:92" x14ac:dyDescent="0.35">
      <c r="D1095">
        <v>1.2651599999999999E-4</v>
      </c>
      <c r="E1095">
        <v>14.5145</v>
      </c>
      <c r="F1095">
        <v>8.8183799999999994</v>
      </c>
      <c r="G1095">
        <v>13.958399999999999</v>
      </c>
      <c r="I1095">
        <v>1.2651599999999999E-4</v>
      </c>
      <c r="J1095">
        <f t="shared" si="142"/>
        <v>2.5760985336258126E-2</v>
      </c>
      <c r="K1095">
        <v>4.680126136122259E-2</v>
      </c>
      <c r="L1095">
        <v>4.5890654618762745E-2</v>
      </c>
      <c r="N1095">
        <v>1.2651599999999999E-4</v>
      </c>
      <c r="O1095">
        <f t="shared" si="143"/>
        <v>4.680126136122259E-2</v>
      </c>
      <c r="Q1095">
        <v>1.2651599999999999E-4</v>
      </c>
      <c r="R1095">
        <f t="shared" si="144"/>
        <v>4.5890654618762745E-2</v>
      </c>
      <c r="CH1095">
        <v>1.1711599999999999E-4</v>
      </c>
      <c r="CI1095">
        <v>26.519400000000001</v>
      </c>
      <c r="CJ1095">
        <f t="shared" si="140"/>
        <v>2061.0613807787045</v>
      </c>
      <c r="CL1095">
        <v>1.1711599999999999E-4</v>
      </c>
      <c r="CM1095">
        <v>2.1420000000000002E-2</v>
      </c>
      <c r="CN1095">
        <f t="shared" si="141"/>
        <v>1.6647410867621382</v>
      </c>
    </row>
    <row r="1096" spans="4:92" x14ac:dyDescent="0.35">
      <c r="D1096">
        <v>1.28155E-4</v>
      </c>
      <c r="E1096">
        <v>14.5702</v>
      </c>
      <c r="F1096">
        <v>9.0692199999999996</v>
      </c>
      <c r="G1096">
        <v>14.1447</v>
      </c>
      <c r="I1096">
        <v>1.28155E-4</v>
      </c>
      <c r="J1096">
        <f t="shared" si="142"/>
        <v>2.5859844193485696E-2</v>
      </c>
      <c r="K1096">
        <v>4.8132529507962589E-2</v>
      </c>
      <c r="L1096">
        <v>4.650314809620109E-2</v>
      </c>
      <c r="N1096">
        <v>1.28155E-4</v>
      </c>
      <c r="O1096">
        <f t="shared" si="143"/>
        <v>4.8132529507962589E-2</v>
      </c>
      <c r="Q1096">
        <v>1.28155E-4</v>
      </c>
      <c r="R1096">
        <f t="shared" si="144"/>
        <v>4.650314809620109E-2</v>
      </c>
      <c r="CH1096">
        <v>1.18633E-4</v>
      </c>
      <c r="CI1096">
        <v>28.144600000000001</v>
      </c>
      <c r="CJ1096">
        <f t="shared" si="140"/>
        <v>2187.3703076790698</v>
      </c>
      <c r="CL1096">
        <v>1.18633E-4</v>
      </c>
      <c r="CM1096">
        <v>2.172E-2</v>
      </c>
      <c r="CN1096">
        <f t="shared" si="141"/>
        <v>1.6880567882574062</v>
      </c>
    </row>
    <row r="1097" spans="4:92" x14ac:dyDescent="0.35">
      <c r="D1097">
        <v>1.2981399999999999E-4</v>
      </c>
      <c r="E1097">
        <v>14.1157</v>
      </c>
      <c r="F1097">
        <v>8.67652</v>
      </c>
      <c r="G1097">
        <v>14.0002</v>
      </c>
      <c r="I1097">
        <v>1.2981399999999999E-4</v>
      </c>
      <c r="J1097">
        <f t="shared" si="142"/>
        <v>2.5053177216646724E-2</v>
      </c>
      <c r="K1097">
        <v>4.6048376257983331E-2</v>
      </c>
      <c r="L1097">
        <v>4.6028079349610423E-2</v>
      </c>
      <c r="N1097">
        <v>1.2981399999999999E-4</v>
      </c>
      <c r="O1097">
        <f t="shared" si="143"/>
        <v>4.6048376257983331E-2</v>
      </c>
      <c r="Q1097">
        <v>1.2981399999999999E-4</v>
      </c>
      <c r="R1097">
        <f t="shared" si="144"/>
        <v>4.6028079349610423E-2</v>
      </c>
      <c r="CH1097">
        <v>1.2016899999999999E-4</v>
      </c>
      <c r="CI1097">
        <v>28.627400000000002</v>
      </c>
      <c r="CJ1097">
        <f t="shared" si="140"/>
        <v>2224.8930432854545</v>
      </c>
      <c r="CL1097">
        <v>1.2016899999999999E-4</v>
      </c>
      <c r="CM1097">
        <v>2.3869999999999999E-2</v>
      </c>
      <c r="CN1097">
        <f t="shared" si="141"/>
        <v>1.8551526489734937</v>
      </c>
    </row>
    <row r="1098" spans="4:92" x14ac:dyDescent="0.35">
      <c r="D1098">
        <v>1.31495E-4</v>
      </c>
      <c r="E1098">
        <v>14.346299999999999</v>
      </c>
      <c r="F1098">
        <v>8.7629199999999994</v>
      </c>
      <c r="G1098">
        <v>13.9636</v>
      </c>
      <c r="I1098">
        <v>1.31495E-4</v>
      </c>
      <c r="J1098">
        <f t="shared" si="142"/>
        <v>2.5462456435258532E-2</v>
      </c>
      <c r="K1098">
        <v>4.650692181642032E-2</v>
      </c>
      <c r="L1098">
        <v>4.5907750518294037E-2</v>
      </c>
      <c r="N1098">
        <v>1.31495E-4</v>
      </c>
      <c r="O1098">
        <f t="shared" si="143"/>
        <v>4.650692181642032E-2</v>
      </c>
      <c r="Q1098">
        <v>1.31495E-4</v>
      </c>
      <c r="R1098">
        <f t="shared" si="144"/>
        <v>4.5907750518294037E-2</v>
      </c>
      <c r="CH1098">
        <v>1.2172600000000001E-4</v>
      </c>
      <c r="CI1098">
        <v>27.416699999999999</v>
      </c>
      <c r="CJ1098">
        <f t="shared" ref="CJ1098:CJ1161" si="145">CI1098/$CG$9</f>
        <v>2130.798643951051</v>
      </c>
      <c r="CL1098">
        <v>1.2172600000000001E-4</v>
      </c>
      <c r="CM1098">
        <v>1.9449999999999999E-2</v>
      </c>
      <c r="CN1098">
        <f t="shared" ref="CN1098:CN1161" si="146">CM1098/$CG$9</f>
        <v>1.5116346469432111</v>
      </c>
    </row>
    <row r="1099" spans="4:92" x14ac:dyDescent="0.35">
      <c r="D1099">
        <v>1.3319800000000001E-4</v>
      </c>
      <c r="E1099">
        <v>14.5535</v>
      </c>
      <c r="F1099">
        <v>8.9163200000000007</v>
      </c>
      <c r="G1099">
        <v>14.148</v>
      </c>
      <c r="I1099">
        <v>1.3319800000000001E-4</v>
      </c>
      <c r="J1099">
        <f t="shared" si="142"/>
        <v>2.5830204284765765E-2</v>
      </c>
      <c r="K1099">
        <v>4.7321052472256382E-2</v>
      </c>
      <c r="L1099">
        <v>4.6513997417057494E-2</v>
      </c>
      <c r="N1099">
        <v>1.3319800000000001E-4</v>
      </c>
      <c r="O1099">
        <f t="shared" si="143"/>
        <v>4.7321052472256382E-2</v>
      </c>
      <c r="Q1099">
        <v>1.3319800000000001E-4</v>
      </c>
      <c r="R1099">
        <f t="shared" si="144"/>
        <v>4.6513997417057494E-2</v>
      </c>
      <c r="CH1099">
        <v>1.2330199999999999E-4</v>
      </c>
      <c r="CI1099">
        <v>29.3004</v>
      </c>
      <c r="CJ1099">
        <f t="shared" si="145"/>
        <v>2277.197933639839</v>
      </c>
      <c r="CL1099">
        <v>1.2330199999999999E-4</v>
      </c>
      <c r="CM1099">
        <v>2.5819999999999999E-2</v>
      </c>
      <c r="CN1099">
        <f t="shared" si="146"/>
        <v>2.0067047086927361</v>
      </c>
    </row>
    <row r="1100" spans="4:92" x14ac:dyDescent="0.35">
      <c r="D1100">
        <v>1.3492300000000001E-4</v>
      </c>
      <c r="E1100">
        <v>14.1158</v>
      </c>
      <c r="F1100">
        <v>8.9858399999999996</v>
      </c>
      <c r="G1100">
        <v>13.842000000000001</v>
      </c>
      <c r="I1100">
        <v>1.3492300000000001E-4</v>
      </c>
      <c r="J1100">
        <f t="shared" si="142"/>
        <v>2.5053354701130078E-2</v>
      </c>
      <c r="K1100">
        <v>4.7690011815109845E-2</v>
      </c>
      <c r="L1100">
        <v>4.5507969483100784E-2</v>
      </c>
      <c r="N1100">
        <v>1.3492300000000001E-4</v>
      </c>
      <c r="O1100">
        <f t="shared" si="143"/>
        <v>4.7690011815109845E-2</v>
      </c>
      <c r="Q1100">
        <v>1.3492300000000001E-4</v>
      </c>
      <c r="R1100">
        <f t="shared" si="144"/>
        <v>4.5507969483100784E-2</v>
      </c>
      <c r="CH1100">
        <v>1.2489900000000001E-4</v>
      </c>
      <c r="CI1100">
        <v>28.845199999999998</v>
      </c>
      <c r="CJ1100">
        <f t="shared" si="145"/>
        <v>2241.8202425710188</v>
      </c>
      <c r="CL1100">
        <v>1.2489900000000001E-4</v>
      </c>
      <c r="CM1100">
        <v>2.164E-2</v>
      </c>
      <c r="CN1100">
        <f t="shared" si="146"/>
        <v>1.681839267858668</v>
      </c>
    </row>
    <row r="1101" spans="4:92" x14ac:dyDescent="0.35">
      <c r="D1101">
        <v>1.3667E-4</v>
      </c>
      <c r="E1101">
        <v>14.504200000000001</v>
      </c>
      <c r="F1101">
        <v>8.8786900000000006</v>
      </c>
      <c r="G1101">
        <v>14.0977</v>
      </c>
      <c r="I1101">
        <v>1.3667E-4</v>
      </c>
      <c r="J1101">
        <f t="shared" si="142"/>
        <v>2.5742704434472779E-2</v>
      </c>
      <c r="K1101">
        <v>4.7121341021284346E-2</v>
      </c>
      <c r="L1101">
        <v>4.634862746582212E-2</v>
      </c>
      <c r="N1101">
        <v>1.3667E-4</v>
      </c>
      <c r="O1101">
        <f t="shared" si="143"/>
        <v>4.7121341021284346E-2</v>
      </c>
      <c r="Q1101">
        <v>1.3667E-4</v>
      </c>
      <c r="R1101">
        <f t="shared" si="144"/>
        <v>4.634862746582212E-2</v>
      </c>
      <c r="CH1101">
        <v>1.2651599999999999E-4</v>
      </c>
      <c r="CI1101">
        <v>28.6023</v>
      </c>
      <c r="CJ1101">
        <f t="shared" si="145"/>
        <v>2222.9422962603503</v>
      </c>
      <c r="CL1101">
        <v>1.2651599999999999E-4</v>
      </c>
      <c r="CM1101">
        <v>2.3570000000000001E-2</v>
      </c>
      <c r="CN1101">
        <f t="shared" si="146"/>
        <v>1.8318369474782259</v>
      </c>
    </row>
    <row r="1102" spans="4:92" x14ac:dyDescent="0.35">
      <c r="D1102">
        <v>1.3844000000000001E-4</v>
      </c>
      <c r="E1102">
        <v>14.5619</v>
      </c>
      <c r="F1102">
        <v>9.5875000000000004</v>
      </c>
      <c r="G1102">
        <v>13.9184</v>
      </c>
      <c r="I1102">
        <v>1.3844000000000001E-4</v>
      </c>
      <c r="J1102">
        <f t="shared" si="142"/>
        <v>2.5845112981367407E-2</v>
      </c>
      <c r="K1102">
        <v>5.0883165989753398E-2</v>
      </c>
      <c r="L1102">
        <v>4.5759147699291278E-2</v>
      </c>
      <c r="N1102">
        <v>1.3844000000000001E-4</v>
      </c>
      <c r="O1102">
        <f t="shared" si="143"/>
        <v>5.0883165989753398E-2</v>
      </c>
      <c r="Q1102">
        <v>1.3844000000000001E-4</v>
      </c>
      <c r="R1102">
        <f t="shared" si="144"/>
        <v>4.5759147699291278E-2</v>
      </c>
      <c r="CH1102">
        <v>1.28155E-4</v>
      </c>
      <c r="CI1102">
        <v>29.803799999999999</v>
      </c>
      <c r="CJ1102">
        <f t="shared" si="145"/>
        <v>2316.3216807488989</v>
      </c>
      <c r="CL1102">
        <v>1.28155E-4</v>
      </c>
      <c r="CM1102">
        <v>2.2079999999999999E-2</v>
      </c>
      <c r="CN1102">
        <f t="shared" si="146"/>
        <v>1.7160356300517277</v>
      </c>
    </row>
    <row r="1103" spans="4:92" x14ac:dyDescent="0.35">
      <c r="D1103">
        <v>1.40233E-4</v>
      </c>
      <c r="E1103">
        <v>14.359400000000001</v>
      </c>
      <c r="F1103">
        <v>9.07437</v>
      </c>
      <c r="G1103">
        <v>14.0197</v>
      </c>
      <c r="I1103">
        <v>1.40233E-4</v>
      </c>
      <c r="J1103">
        <f t="shared" si="142"/>
        <v>2.5485706902577763E-2</v>
      </c>
      <c r="K1103">
        <v>4.8159861795299977E-2</v>
      </c>
      <c r="L1103">
        <v>4.6092188972852763E-2</v>
      </c>
      <c r="N1103">
        <v>1.40233E-4</v>
      </c>
      <c r="O1103">
        <f t="shared" si="143"/>
        <v>4.8159861795299977E-2</v>
      </c>
      <c r="Q1103">
        <v>1.40233E-4</v>
      </c>
      <c r="R1103">
        <f t="shared" si="144"/>
        <v>4.6092188972852763E-2</v>
      </c>
      <c r="CH1103">
        <v>1.2981399999999999E-4</v>
      </c>
      <c r="CI1103">
        <v>29.4787</v>
      </c>
      <c r="CJ1103">
        <f t="shared" si="145"/>
        <v>2291.0552322285266</v>
      </c>
      <c r="CL1103">
        <v>1.2981399999999999E-4</v>
      </c>
      <c r="CM1103">
        <v>2.4490000000000001E-2</v>
      </c>
      <c r="CN1103">
        <f t="shared" si="146"/>
        <v>1.9033384320637146</v>
      </c>
    </row>
    <row r="1104" spans="4:92" x14ac:dyDescent="0.35">
      <c r="D1104">
        <v>1.4204899999999999E-4</v>
      </c>
      <c r="E1104">
        <v>14.626200000000001</v>
      </c>
      <c r="F1104">
        <v>9.3562499999999993</v>
      </c>
      <c r="G1104">
        <v>14.2441</v>
      </c>
      <c r="I1104">
        <v>1.4204899999999999E-4</v>
      </c>
      <c r="J1104">
        <f t="shared" si="142"/>
        <v>2.595923550416333E-2</v>
      </c>
      <c r="K1104">
        <v>4.9655866679700671E-2</v>
      </c>
      <c r="L1104">
        <v>4.6829942791087681E-2</v>
      </c>
      <c r="N1104">
        <v>1.4204899999999999E-4</v>
      </c>
      <c r="O1104">
        <f t="shared" si="143"/>
        <v>4.9655866679700671E-2</v>
      </c>
      <c r="Q1104">
        <v>1.4204899999999999E-4</v>
      </c>
      <c r="R1104">
        <f t="shared" si="144"/>
        <v>4.6829942791087681E-2</v>
      </c>
      <c r="CH1104">
        <v>1.31495E-4</v>
      </c>
      <c r="CI1104">
        <v>29.4071</v>
      </c>
      <c r="CJ1104">
        <f t="shared" si="145"/>
        <v>2285.4905514716561</v>
      </c>
      <c r="CL1104">
        <v>1.31495E-4</v>
      </c>
      <c r="CM1104">
        <v>2.5329999999999998E-2</v>
      </c>
      <c r="CN1104">
        <f t="shared" si="146"/>
        <v>1.9686223962504648</v>
      </c>
    </row>
    <row r="1105" spans="4:92" x14ac:dyDescent="0.35">
      <c r="D1105">
        <v>1.4388899999999999E-4</v>
      </c>
      <c r="E1105">
        <v>14.3604</v>
      </c>
      <c r="F1105">
        <v>8.6245700000000003</v>
      </c>
      <c r="G1105">
        <v>13.8171</v>
      </c>
      <c r="I1105">
        <v>1.4388899999999999E-4</v>
      </c>
      <c r="J1105">
        <f t="shared" si="142"/>
        <v>2.5487481747411292E-2</v>
      </c>
      <c r="K1105">
        <v>4.577266512649257E-2</v>
      </c>
      <c r="L1105">
        <v>4.5426106425729793E-2</v>
      </c>
      <c r="N1105">
        <v>1.4388899999999999E-4</v>
      </c>
      <c r="O1105">
        <f t="shared" si="143"/>
        <v>4.577266512649257E-2</v>
      </c>
      <c r="Q1105">
        <v>1.4388899999999999E-4</v>
      </c>
      <c r="R1105">
        <f t="shared" si="144"/>
        <v>4.5426106425729793E-2</v>
      </c>
      <c r="CH1105">
        <v>1.3319800000000001E-4</v>
      </c>
      <c r="CI1105">
        <v>28.832100000000001</v>
      </c>
      <c r="CJ1105">
        <f t="shared" si="145"/>
        <v>2240.8021236057257</v>
      </c>
      <c r="CL1105">
        <v>1.3319800000000001E-4</v>
      </c>
      <c r="CM1105">
        <v>2.0389999999999998E-2</v>
      </c>
      <c r="CN1105">
        <f t="shared" si="146"/>
        <v>1.5846905116283845</v>
      </c>
    </row>
    <row r="1106" spans="4:92" x14ac:dyDescent="0.35">
      <c r="D1106">
        <v>1.45752E-4</v>
      </c>
      <c r="E1106">
        <v>14.420199999999999</v>
      </c>
      <c r="F1106">
        <v>8.9961699999999993</v>
      </c>
      <c r="G1106">
        <v>14.117800000000001</v>
      </c>
      <c r="I1106">
        <v>1.45752E-4</v>
      </c>
      <c r="J1106">
        <f t="shared" si="142"/>
        <v>2.5593617468456335E-2</v>
      </c>
      <c r="K1106">
        <v>4.7744835606992414E-2</v>
      </c>
      <c r="L1106">
        <v>4.6414709692856541E-2</v>
      </c>
      <c r="N1106">
        <v>1.45752E-4</v>
      </c>
      <c r="O1106">
        <f t="shared" si="143"/>
        <v>4.7744835606992414E-2</v>
      </c>
      <c r="Q1106">
        <v>1.45752E-4</v>
      </c>
      <c r="R1106">
        <f t="shared" si="144"/>
        <v>4.6414709692856541E-2</v>
      </c>
      <c r="CH1106">
        <v>1.3492300000000001E-4</v>
      </c>
      <c r="CI1106">
        <v>28.475999999999999</v>
      </c>
      <c r="CJ1106">
        <f t="shared" si="145"/>
        <v>2213.1263859308424</v>
      </c>
      <c r="CL1106">
        <v>1.3492300000000001E-4</v>
      </c>
      <c r="CM1106">
        <v>2.053E-2</v>
      </c>
      <c r="CN1106">
        <f t="shared" si="146"/>
        <v>1.5955711723261763</v>
      </c>
    </row>
    <row r="1107" spans="4:92" x14ac:dyDescent="0.35">
      <c r="D1107">
        <v>1.47639E-4</v>
      </c>
      <c r="E1107">
        <v>14.257400000000001</v>
      </c>
      <c r="F1107">
        <v>9.4889200000000002</v>
      </c>
      <c r="G1107">
        <v>14.0085</v>
      </c>
      <c r="I1107">
        <v>1.47639E-4</v>
      </c>
      <c r="J1107">
        <f t="shared" si="142"/>
        <v>2.5304672729557796E-2</v>
      </c>
      <c r="K1107">
        <v>5.0359978244953404E-2</v>
      </c>
      <c r="L1107">
        <v>4.6055367035400752E-2</v>
      </c>
      <c r="N1107">
        <v>1.47639E-4</v>
      </c>
      <c r="O1107">
        <f t="shared" si="143"/>
        <v>5.0359978244953404E-2</v>
      </c>
      <c r="Q1107">
        <v>1.47639E-4</v>
      </c>
      <c r="R1107">
        <f t="shared" si="144"/>
        <v>4.6055367035400752E-2</v>
      </c>
      <c r="CH1107">
        <v>1.3667E-4</v>
      </c>
      <c r="CI1107">
        <v>29.486499999999999</v>
      </c>
      <c r="CJ1107">
        <f t="shared" si="145"/>
        <v>2291.6614404674037</v>
      </c>
      <c r="CL1107">
        <v>1.3667E-4</v>
      </c>
      <c r="CM1107">
        <v>2.1170000000000001E-2</v>
      </c>
      <c r="CN1107">
        <f t="shared" si="146"/>
        <v>1.6453113355160816</v>
      </c>
    </row>
    <row r="1108" spans="4:92" x14ac:dyDescent="0.35">
      <c r="D1108">
        <v>1.4955099999999999E-4</v>
      </c>
      <c r="E1108">
        <v>14.493499999999999</v>
      </c>
      <c r="F1108">
        <v>9.69374</v>
      </c>
      <c r="G1108">
        <v>14.262700000000001</v>
      </c>
      <c r="I1108">
        <v>1.4955099999999999E-4</v>
      </c>
      <c r="J1108">
        <f t="shared" si="142"/>
        <v>2.5723713594754016E-2</v>
      </c>
      <c r="K1108">
        <v>5.14470071949426E-2</v>
      </c>
      <c r="L1108">
        <v>4.6891093508641922E-2</v>
      </c>
      <c r="N1108">
        <v>1.4955099999999999E-4</v>
      </c>
      <c r="O1108">
        <f t="shared" si="143"/>
        <v>5.14470071949426E-2</v>
      </c>
      <c r="Q1108">
        <v>1.4955099999999999E-4</v>
      </c>
      <c r="R1108">
        <f t="shared" si="144"/>
        <v>4.6891093508641922E-2</v>
      </c>
      <c r="CH1108">
        <v>1.3844000000000001E-4</v>
      </c>
      <c r="CI1108">
        <v>30.119599999999998</v>
      </c>
      <c r="CJ1108">
        <f t="shared" si="145"/>
        <v>2340.8653425229177</v>
      </c>
      <c r="CL1108">
        <v>1.3844000000000001E-4</v>
      </c>
      <c r="CM1108">
        <v>2.085E-2</v>
      </c>
      <c r="CN1108">
        <f t="shared" si="146"/>
        <v>1.6204412539211288</v>
      </c>
    </row>
    <row r="1109" spans="4:92" x14ac:dyDescent="0.35">
      <c r="D1109">
        <v>1.51488E-4</v>
      </c>
      <c r="E1109">
        <v>14.232100000000001</v>
      </c>
      <c r="F1109">
        <v>9.9451800000000006</v>
      </c>
      <c r="G1109">
        <v>14.2761</v>
      </c>
      <c r="I1109">
        <v>1.51488E-4</v>
      </c>
      <c r="J1109">
        <f t="shared" si="142"/>
        <v>2.525976915526951E-2</v>
      </c>
      <c r="K1109">
        <v>5.2781459685838403E-2</v>
      </c>
      <c r="L1109">
        <v>4.6935148326664865E-2</v>
      </c>
      <c r="N1109">
        <v>1.51488E-4</v>
      </c>
      <c r="O1109">
        <f t="shared" si="143"/>
        <v>5.2781459685838403E-2</v>
      </c>
      <c r="Q1109">
        <v>1.51488E-4</v>
      </c>
      <c r="R1109">
        <f t="shared" si="144"/>
        <v>4.6935148326664865E-2</v>
      </c>
      <c r="CH1109">
        <v>1.40233E-4</v>
      </c>
      <c r="CI1109">
        <v>28.358699999999999</v>
      </c>
      <c r="CJ1109">
        <f t="shared" si="145"/>
        <v>2204.0099466461925</v>
      </c>
      <c r="CL1109">
        <v>1.40233E-4</v>
      </c>
      <c r="CM1109">
        <v>2.0549999999999999E-2</v>
      </c>
      <c r="CN1109">
        <f t="shared" si="146"/>
        <v>1.5971255524258607</v>
      </c>
    </row>
    <row r="1110" spans="4:92" x14ac:dyDescent="0.35">
      <c r="D1110">
        <v>1.5344999999999999E-4</v>
      </c>
      <c r="E1110">
        <v>14.596500000000001</v>
      </c>
      <c r="F1110">
        <v>10.0268</v>
      </c>
      <c r="G1110">
        <v>14.2723</v>
      </c>
      <c r="I1110">
        <v>1.5344999999999999E-4</v>
      </c>
      <c r="J1110">
        <f t="shared" si="142"/>
        <v>2.5906522612607515E-2</v>
      </c>
      <c r="K1110">
        <v>5.3214636635834089E-2</v>
      </c>
      <c r="L1110">
        <v>4.692265516931507E-2</v>
      </c>
      <c r="N1110">
        <v>1.5344999999999999E-4</v>
      </c>
      <c r="O1110">
        <f t="shared" si="143"/>
        <v>5.3214636635834089E-2</v>
      </c>
      <c r="Q1110">
        <v>1.5344999999999999E-4</v>
      </c>
      <c r="R1110">
        <f t="shared" si="144"/>
        <v>4.692265516931507E-2</v>
      </c>
      <c r="CH1110">
        <v>1.4204899999999999E-4</v>
      </c>
      <c r="CI1110">
        <v>29.838200000000001</v>
      </c>
      <c r="CJ1110">
        <f t="shared" si="145"/>
        <v>2318.9952145203561</v>
      </c>
      <c r="CL1110">
        <v>1.4204899999999999E-4</v>
      </c>
      <c r="CM1110">
        <v>1.9959999999999999E-2</v>
      </c>
      <c r="CN1110">
        <f t="shared" si="146"/>
        <v>1.5512713394851669</v>
      </c>
    </row>
    <row r="1111" spans="4:92" x14ac:dyDescent="0.35">
      <c r="D1111">
        <v>1.55437E-4</v>
      </c>
      <c r="E1111">
        <v>14.487399999999999</v>
      </c>
      <c r="F1111">
        <v>9.4926300000000001</v>
      </c>
      <c r="G1111">
        <v>14.3277</v>
      </c>
      <c r="I1111">
        <v>1.55437E-4</v>
      </c>
      <c r="J1111">
        <f t="shared" si="142"/>
        <v>2.5712887041269488E-2</v>
      </c>
      <c r="K1111">
        <v>5.0379668106316854E-2</v>
      </c>
      <c r="L1111">
        <v>4.7104792252783051E-2</v>
      </c>
      <c r="N1111">
        <v>1.55437E-4</v>
      </c>
      <c r="O1111">
        <f t="shared" si="143"/>
        <v>5.0379668106316854E-2</v>
      </c>
      <c r="Q1111">
        <v>1.55437E-4</v>
      </c>
      <c r="R1111">
        <f t="shared" si="144"/>
        <v>4.7104792252783051E-2</v>
      </c>
      <c r="CH1111">
        <v>1.4388899999999999E-4</v>
      </c>
      <c r="CI1111">
        <v>28.9087</v>
      </c>
      <c r="CJ1111">
        <f t="shared" si="145"/>
        <v>2246.7553993875172</v>
      </c>
      <c r="CL1111">
        <v>1.4388899999999999E-4</v>
      </c>
      <c r="CM1111">
        <v>2.0400000000000001E-2</v>
      </c>
      <c r="CN1111">
        <f t="shared" si="146"/>
        <v>1.5854677016782268</v>
      </c>
    </row>
    <row r="1112" spans="4:92" x14ac:dyDescent="0.35">
      <c r="D1112">
        <v>1.5745000000000001E-4</v>
      </c>
      <c r="E1112">
        <v>14.682</v>
      </c>
      <c r="F1112">
        <v>9.8296200000000002</v>
      </c>
      <c r="G1112">
        <v>14.1693</v>
      </c>
      <c r="I1112">
        <v>1.5745000000000001E-4</v>
      </c>
      <c r="J1112">
        <f t="shared" si="142"/>
        <v>2.6058271845874253E-2</v>
      </c>
      <c r="K1112">
        <v>5.216815500142892E-2</v>
      </c>
      <c r="L1112">
        <v>4.6584024851676044E-2</v>
      </c>
      <c r="N1112">
        <v>1.5745000000000001E-4</v>
      </c>
      <c r="O1112">
        <f t="shared" si="143"/>
        <v>5.216815500142892E-2</v>
      </c>
      <c r="Q1112">
        <v>1.5745000000000001E-4</v>
      </c>
      <c r="R1112">
        <f t="shared" si="144"/>
        <v>4.6584024851676044E-2</v>
      </c>
      <c r="CH1112">
        <v>1.45752E-4</v>
      </c>
      <c r="CI1112">
        <v>30.202500000000001</v>
      </c>
      <c r="CJ1112">
        <f t="shared" si="145"/>
        <v>2347.3082480361099</v>
      </c>
      <c r="CL1112">
        <v>1.45752E-4</v>
      </c>
      <c r="CM1112">
        <v>1.9869999999999999E-2</v>
      </c>
      <c r="CN1112">
        <f t="shared" si="146"/>
        <v>1.5442766290365866</v>
      </c>
    </row>
    <row r="1113" spans="4:92" x14ac:dyDescent="0.35">
      <c r="D1113">
        <v>1.5948899999999999E-4</v>
      </c>
      <c r="E1113">
        <v>14.508800000000001</v>
      </c>
      <c r="F1113">
        <v>9.7407299999999992</v>
      </c>
      <c r="G1113">
        <v>13.9735</v>
      </c>
      <c r="I1113">
        <v>1.5948899999999999E-4</v>
      </c>
      <c r="J1113">
        <f t="shared" si="142"/>
        <v>2.5750868720707015E-2</v>
      </c>
      <c r="K1113">
        <v>5.16963944147453E-2</v>
      </c>
      <c r="L1113">
        <v>4.5940298480863215E-2</v>
      </c>
      <c r="N1113">
        <v>1.5948899999999999E-4</v>
      </c>
      <c r="O1113">
        <f t="shared" si="143"/>
        <v>5.16963944147453E-2</v>
      </c>
      <c r="Q1113">
        <v>1.5948899999999999E-4</v>
      </c>
      <c r="R1113">
        <f t="shared" si="144"/>
        <v>4.5940298480863215E-2</v>
      </c>
      <c r="CH1113">
        <v>1.47639E-4</v>
      </c>
      <c r="CI1113">
        <v>29.475200000000001</v>
      </c>
      <c r="CJ1113">
        <f t="shared" si="145"/>
        <v>2290.783215711082</v>
      </c>
      <c r="CL1113">
        <v>1.47639E-4</v>
      </c>
      <c r="CM1113">
        <v>2.2409999999999999E-2</v>
      </c>
      <c r="CN1113">
        <f t="shared" si="146"/>
        <v>1.7416829016965225</v>
      </c>
    </row>
    <row r="1114" spans="4:92" x14ac:dyDescent="0.35">
      <c r="D1114">
        <v>1.6155400000000001E-4</v>
      </c>
      <c r="E1114">
        <v>14.4285</v>
      </c>
      <c r="F1114">
        <v>9.6188199999999995</v>
      </c>
      <c r="G1114">
        <v>14.0685</v>
      </c>
      <c r="I1114">
        <v>1.6155400000000001E-4</v>
      </c>
      <c r="J1114">
        <f t="shared" si="142"/>
        <v>2.5608348680574624E-2</v>
      </c>
      <c r="K1114">
        <v>5.1049388754686807E-2</v>
      </c>
      <c r="L1114">
        <v>4.625262741460795E-2</v>
      </c>
      <c r="N1114">
        <v>1.6155400000000001E-4</v>
      </c>
      <c r="O1114">
        <f t="shared" si="143"/>
        <v>5.1049388754686807E-2</v>
      </c>
      <c r="Q1114">
        <v>1.6155400000000001E-4</v>
      </c>
      <c r="R1114">
        <f t="shared" si="144"/>
        <v>4.625262741460795E-2</v>
      </c>
      <c r="CH1114">
        <v>1.4955099999999999E-4</v>
      </c>
      <c r="CI1114">
        <v>29.204000000000001</v>
      </c>
      <c r="CJ1114">
        <f t="shared" si="145"/>
        <v>2269.7058215593597</v>
      </c>
      <c r="CL1114">
        <v>1.4955099999999999E-4</v>
      </c>
      <c r="CM1114">
        <v>2.12E-2</v>
      </c>
      <c r="CN1114">
        <f t="shared" si="146"/>
        <v>1.6476429056656083</v>
      </c>
    </row>
    <row r="1115" spans="4:92" x14ac:dyDescent="0.35">
      <c r="D1115">
        <v>1.63647E-4</v>
      </c>
      <c r="E1115">
        <v>14.159800000000001</v>
      </c>
      <c r="F1115">
        <v>7.3013700000000004</v>
      </c>
      <c r="G1115">
        <v>13.9405</v>
      </c>
      <c r="I1115">
        <v>1.63647E-4</v>
      </c>
      <c r="J1115">
        <f t="shared" si="142"/>
        <v>2.5131447873805356E-2</v>
      </c>
      <c r="K1115">
        <v>3.875012481487413E-2</v>
      </c>
      <c r="L1115">
        <v>4.5831805272299263E-2</v>
      </c>
      <c r="N1115">
        <v>1.63647E-4</v>
      </c>
      <c r="O1115">
        <f t="shared" si="143"/>
        <v>3.875012481487413E-2</v>
      </c>
      <c r="Q1115">
        <v>1.63647E-4</v>
      </c>
      <c r="R1115">
        <f t="shared" si="144"/>
        <v>4.5831805272299263E-2</v>
      </c>
      <c r="CH1115">
        <v>1.51488E-4</v>
      </c>
      <c r="CI1115">
        <v>29.351600000000001</v>
      </c>
      <c r="CJ1115">
        <f t="shared" si="145"/>
        <v>2281.1771466950318</v>
      </c>
      <c r="CL1115">
        <v>1.51488E-4</v>
      </c>
      <c r="CM1115">
        <v>2.2700000000000001E-2</v>
      </c>
      <c r="CN1115">
        <f t="shared" si="146"/>
        <v>1.7642214131419485</v>
      </c>
    </row>
    <row r="1116" spans="4:92" x14ac:dyDescent="0.35">
      <c r="D1116">
        <v>1.65766E-4</v>
      </c>
      <c r="E1116">
        <v>14.627800000000001</v>
      </c>
      <c r="F1116">
        <v>9.4418299999999995</v>
      </c>
      <c r="G1116">
        <v>14.2658</v>
      </c>
      <c r="I1116">
        <v>1.65766E-4</v>
      </c>
      <c r="J1116">
        <f t="shared" si="142"/>
        <v>2.5962075255896975E-2</v>
      </c>
      <c r="K1116">
        <v>5.011006030112472E-2</v>
      </c>
      <c r="L1116">
        <v>4.6901285294900966E-2</v>
      </c>
      <c r="N1116">
        <v>1.65766E-4</v>
      </c>
      <c r="O1116">
        <f t="shared" si="143"/>
        <v>5.011006030112472E-2</v>
      </c>
      <c r="Q1116">
        <v>1.65766E-4</v>
      </c>
      <c r="R1116">
        <f t="shared" si="144"/>
        <v>4.6901285294900966E-2</v>
      </c>
      <c r="CH1116">
        <v>1.5344999999999999E-4</v>
      </c>
      <c r="CI1116">
        <v>28.5928</v>
      </c>
      <c r="CJ1116">
        <f t="shared" si="145"/>
        <v>2222.2039657130003</v>
      </c>
      <c r="CL1116">
        <v>1.5344999999999999E-4</v>
      </c>
      <c r="CM1116">
        <v>2.5399999999999999E-2</v>
      </c>
      <c r="CN1116">
        <f t="shared" si="146"/>
        <v>1.9740627265993607</v>
      </c>
    </row>
    <row r="1117" spans="4:92" x14ac:dyDescent="0.35">
      <c r="D1117">
        <v>1.6791199999999999E-4</v>
      </c>
      <c r="E1117">
        <v>14.4847</v>
      </c>
      <c r="F1117">
        <v>9.5436300000000003</v>
      </c>
      <c r="G1117">
        <v>14.316700000000001</v>
      </c>
      <c r="I1117">
        <v>1.6791199999999999E-4</v>
      </c>
      <c r="J1117">
        <f t="shared" si="142"/>
        <v>2.5708094960218961E-2</v>
      </c>
      <c r="K1117">
        <v>5.0650337359560905E-2</v>
      </c>
      <c r="L1117">
        <v>4.70686278499284E-2</v>
      </c>
      <c r="N1117">
        <v>1.6791199999999999E-4</v>
      </c>
      <c r="O1117">
        <f t="shared" si="143"/>
        <v>5.0650337359560905E-2</v>
      </c>
      <c r="Q1117">
        <v>1.6791199999999999E-4</v>
      </c>
      <c r="R1117">
        <f t="shared" si="144"/>
        <v>4.70686278499284E-2</v>
      </c>
      <c r="CH1117">
        <v>1.55437E-4</v>
      </c>
      <c r="CI1117">
        <v>28.976900000000001</v>
      </c>
      <c r="CJ1117">
        <f t="shared" si="145"/>
        <v>2252.0558355274416</v>
      </c>
      <c r="CL1117">
        <v>1.55437E-4</v>
      </c>
      <c r="CM1117">
        <v>2.3029999999999998E-2</v>
      </c>
      <c r="CN1117">
        <f t="shared" si="146"/>
        <v>1.7898686847867431</v>
      </c>
    </row>
    <row r="1118" spans="4:92" x14ac:dyDescent="0.35">
      <c r="D1118">
        <v>1.70087E-4</v>
      </c>
      <c r="E1118">
        <v>14.4627</v>
      </c>
      <c r="F1118">
        <v>9.7360199999999999</v>
      </c>
      <c r="G1118">
        <v>14.1236</v>
      </c>
      <c r="I1118">
        <v>1.70087E-4</v>
      </c>
      <c r="J1118">
        <f t="shared" si="142"/>
        <v>2.5669048373881322E-2</v>
      </c>
      <c r="K1118">
        <v>5.1671397313122175E-2</v>
      </c>
      <c r="L1118">
        <v>4.6433778196179894E-2</v>
      </c>
      <c r="N1118">
        <v>1.70087E-4</v>
      </c>
      <c r="O1118">
        <f t="shared" si="143"/>
        <v>5.1671397313122175E-2</v>
      </c>
      <c r="Q1118">
        <v>1.70087E-4</v>
      </c>
      <c r="R1118">
        <f t="shared" si="144"/>
        <v>4.6433778196179894E-2</v>
      </c>
      <c r="CH1118">
        <v>1.5745000000000001E-4</v>
      </c>
      <c r="CI1118">
        <v>29.406600000000001</v>
      </c>
      <c r="CJ1118">
        <f t="shared" si="145"/>
        <v>2285.4516919691641</v>
      </c>
      <c r="CL1118">
        <v>1.5745000000000001E-4</v>
      </c>
      <c r="CM1118">
        <v>2.017E-2</v>
      </c>
      <c r="CN1118">
        <f t="shared" si="146"/>
        <v>1.5675923305318546</v>
      </c>
    </row>
    <row r="1119" spans="4:92" x14ac:dyDescent="0.35">
      <c r="D1119">
        <v>1.7228999999999999E-4</v>
      </c>
      <c r="E1119">
        <v>14.367599999999999</v>
      </c>
      <c r="F1119">
        <v>9.7627799999999993</v>
      </c>
      <c r="G1119">
        <v>14.3643</v>
      </c>
      <c r="I1119">
        <v>1.7228999999999999E-4</v>
      </c>
      <c r="J1119">
        <f t="shared" si="142"/>
        <v>2.5500260630212702E-2</v>
      </c>
      <c r="K1119">
        <v>5.1813419062471409E-2</v>
      </c>
      <c r="L1119">
        <v>4.7225121084099445E-2</v>
      </c>
      <c r="N1119">
        <v>1.7228999999999999E-4</v>
      </c>
      <c r="O1119">
        <f t="shared" si="143"/>
        <v>5.1813419062471409E-2</v>
      </c>
      <c r="Q1119">
        <v>1.7228999999999999E-4</v>
      </c>
      <c r="R1119">
        <f t="shared" si="144"/>
        <v>4.7225121084099445E-2</v>
      </c>
      <c r="CH1119">
        <v>1.5948899999999999E-4</v>
      </c>
      <c r="CI1119">
        <v>30.180800000000001</v>
      </c>
      <c r="CJ1119">
        <f t="shared" si="145"/>
        <v>2345.6217456279524</v>
      </c>
      <c r="CL1119">
        <v>1.5948899999999999E-4</v>
      </c>
      <c r="CM1119">
        <v>1.9890000000000001E-2</v>
      </c>
      <c r="CN1119">
        <f t="shared" si="146"/>
        <v>1.5458310091362713</v>
      </c>
    </row>
    <row r="1120" spans="4:92" x14ac:dyDescent="0.35">
      <c r="D1120">
        <v>1.7452099999999999E-4</v>
      </c>
      <c r="E1120">
        <v>14.6073</v>
      </c>
      <c r="F1120">
        <v>9.7637499999999999</v>
      </c>
      <c r="G1120">
        <v>14.0839</v>
      </c>
      <c r="I1120">
        <v>1.7452099999999999E-4</v>
      </c>
      <c r="J1120">
        <f t="shared" si="142"/>
        <v>2.5925690936809628E-2</v>
      </c>
      <c r="K1120">
        <v>5.1818567085523314E-2</v>
      </c>
      <c r="L1120">
        <v>4.6303257578604463E-2</v>
      </c>
      <c r="N1120">
        <v>1.7452099999999999E-4</v>
      </c>
      <c r="O1120">
        <f t="shared" si="143"/>
        <v>5.1818567085523314E-2</v>
      </c>
      <c r="Q1120">
        <v>1.7452099999999999E-4</v>
      </c>
      <c r="R1120">
        <f t="shared" si="144"/>
        <v>4.6303257578604463E-2</v>
      </c>
      <c r="CH1120">
        <v>1.6155400000000001E-4</v>
      </c>
      <c r="CI1120">
        <v>29.113099999999999</v>
      </c>
      <c r="CJ1120">
        <f t="shared" si="145"/>
        <v>2262.6411640062934</v>
      </c>
      <c r="CL1120">
        <v>1.6155400000000001E-4</v>
      </c>
      <c r="CM1120">
        <v>1.9179999999999999E-2</v>
      </c>
      <c r="CN1120">
        <f t="shared" si="146"/>
        <v>1.4906505155974701</v>
      </c>
    </row>
    <row r="1121" spans="4:92" x14ac:dyDescent="0.35">
      <c r="D1121">
        <v>1.7678099999999999E-4</v>
      </c>
      <c r="E1121">
        <v>14.3568</v>
      </c>
      <c r="F1121">
        <v>9.4894499999999997</v>
      </c>
      <c r="G1121">
        <v>13.9024</v>
      </c>
      <c r="I1121">
        <v>1.7678099999999999E-4</v>
      </c>
      <c r="J1121">
        <f t="shared" si="142"/>
        <v>2.5481092306010589E-2</v>
      </c>
      <c r="K1121">
        <v>5.0362791082291039E-2</v>
      </c>
      <c r="L1121">
        <v>4.5706544931502689E-2</v>
      </c>
      <c r="N1121">
        <v>1.7678099999999999E-4</v>
      </c>
      <c r="O1121">
        <f t="shared" si="143"/>
        <v>5.0362791082291039E-2</v>
      </c>
      <c r="Q1121">
        <v>1.7678099999999999E-4</v>
      </c>
      <c r="R1121">
        <f t="shared" si="144"/>
        <v>4.5706544931502689E-2</v>
      </c>
      <c r="CH1121">
        <v>1.63647E-4</v>
      </c>
      <c r="CI1121">
        <v>28.593900000000001</v>
      </c>
      <c r="CJ1121">
        <f t="shared" si="145"/>
        <v>2222.2894566184827</v>
      </c>
      <c r="CL1121">
        <v>1.63647E-4</v>
      </c>
      <c r="CM1121">
        <v>2.375E-2</v>
      </c>
      <c r="CN1121">
        <f t="shared" si="146"/>
        <v>1.8458263683753866</v>
      </c>
    </row>
    <row r="1122" spans="4:92" x14ac:dyDescent="0.35">
      <c r="D1122">
        <v>1.7907E-4</v>
      </c>
      <c r="E1122">
        <v>14.811</v>
      </c>
      <c r="F1122">
        <v>9.8371200000000005</v>
      </c>
      <c r="G1122">
        <v>13.769299999999999</v>
      </c>
      <c r="I1122">
        <v>1.7907E-4</v>
      </c>
      <c r="J1122">
        <f t="shared" si="142"/>
        <v>2.6287226829399508E-2</v>
      </c>
      <c r="K1122">
        <v>5.2207959303376579E-2</v>
      </c>
      <c r="L1122">
        <v>4.5268955656961388E-2</v>
      </c>
      <c r="N1122">
        <v>1.7907E-4</v>
      </c>
      <c r="O1122">
        <f t="shared" si="143"/>
        <v>5.2207959303376579E-2</v>
      </c>
      <c r="Q1122">
        <v>1.7907E-4</v>
      </c>
      <c r="R1122">
        <f t="shared" si="144"/>
        <v>4.5268955656961388E-2</v>
      </c>
      <c r="CH1122">
        <v>1.65766E-4</v>
      </c>
      <c r="CI1122">
        <v>29.915700000000001</v>
      </c>
      <c r="CJ1122">
        <f t="shared" si="145"/>
        <v>2325.0184374066339</v>
      </c>
      <c r="CL1122">
        <v>1.65766E-4</v>
      </c>
      <c r="CM1122">
        <v>2.2200000000000001E-2</v>
      </c>
      <c r="CN1122">
        <f t="shared" si="146"/>
        <v>1.725361910649835</v>
      </c>
    </row>
    <row r="1123" spans="4:92" x14ac:dyDescent="0.35">
      <c r="D1123">
        <v>1.8138900000000001E-4</v>
      </c>
      <c r="E1123">
        <v>14.578799999999999</v>
      </c>
      <c r="F1123">
        <v>9.93</v>
      </c>
      <c r="G1123">
        <v>14.2485</v>
      </c>
      <c r="I1123">
        <v>1.8138900000000001E-4</v>
      </c>
      <c r="J1123">
        <f t="shared" si="142"/>
        <v>2.5875107859054048E-2</v>
      </c>
      <c r="K1123">
        <v>5.2700895778696348E-2</v>
      </c>
      <c r="L1123">
        <v>4.6844408552229551E-2</v>
      </c>
      <c r="N1123">
        <v>1.8138900000000001E-4</v>
      </c>
      <c r="O1123">
        <f t="shared" si="143"/>
        <v>5.2700895778696348E-2</v>
      </c>
      <c r="Q1123">
        <v>1.8138900000000001E-4</v>
      </c>
      <c r="R1123">
        <f t="shared" si="144"/>
        <v>4.6844408552229551E-2</v>
      </c>
      <c r="CH1123">
        <v>1.6791199999999999E-4</v>
      </c>
      <c r="CI1123">
        <v>29.172899999999998</v>
      </c>
      <c r="CJ1123">
        <f t="shared" si="145"/>
        <v>2267.2887605043502</v>
      </c>
      <c r="CL1123">
        <v>1.6791199999999999E-4</v>
      </c>
      <c r="CM1123">
        <v>2.4469999999999999E-2</v>
      </c>
      <c r="CN1123">
        <f t="shared" si="146"/>
        <v>1.9017840519640299</v>
      </c>
    </row>
    <row r="1124" spans="4:92" x14ac:dyDescent="0.35">
      <c r="D1124">
        <v>1.8373799999999999E-4</v>
      </c>
      <c r="E1124">
        <v>14.167999999999999</v>
      </c>
      <c r="F1124">
        <v>11.284700000000001</v>
      </c>
      <c r="G1124">
        <v>14.195600000000001</v>
      </c>
      <c r="I1124">
        <v>1.8373799999999999E-4</v>
      </c>
      <c r="J1124">
        <f t="shared" si="142"/>
        <v>2.5146001601440291E-2</v>
      </c>
      <c r="K1124">
        <v>5.9890614158494934E-2</v>
      </c>
      <c r="L1124">
        <v>4.6670490651228538E-2</v>
      </c>
      <c r="N1124">
        <v>1.8373799999999999E-4</v>
      </c>
      <c r="O1124">
        <f t="shared" si="143"/>
        <v>5.9890614158494934E-2</v>
      </c>
      <c r="Q1124">
        <v>1.8373799999999999E-4</v>
      </c>
      <c r="R1124">
        <f t="shared" si="144"/>
        <v>4.6670490651228538E-2</v>
      </c>
      <c r="CH1124">
        <v>1.70087E-4</v>
      </c>
      <c r="CI1124">
        <v>29.527000000000001</v>
      </c>
      <c r="CJ1124">
        <f t="shared" si="145"/>
        <v>2294.8090601692647</v>
      </c>
      <c r="CL1124">
        <v>1.70087E-4</v>
      </c>
      <c r="CM1124">
        <v>2.3730000000000001E-2</v>
      </c>
      <c r="CN1124">
        <f t="shared" si="146"/>
        <v>1.8442719882757022</v>
      </c>
    </row>
    <row r="1125" spans="4:92" x14ac:dyDescent="0.35">
      <c r="D1125">
        <v>1.8611699999999999E-4</v>
      </c>
      <c r="E1125">
        <v>15.5565</v>
      </c>
      <c r="F1125">
        <v>18.503599999999999</v>
      </c>
      <c r="G1125">
        <v>17.288</v>
      </c>
      <c r="I1125">
        <v>1.8611699999999999E-4</v>
      </c>
      <c r="J1125">
        <f t="shared" si="142"/>
        <v>2.7610373652795447E-2</v>
      </c>
      <c r="K1125">
        <v>9.8203050869152639E-2</v>
      </c>
      <c r="L1125">
        <v>5.6837290595567566E-2</v>
      </c>
      <c r="N1125">
        <v>1.8611699999999999E-4</v>
      </c>
      <c r="O1125">
        <f t="shared" si="143"/>
        <v>9.8203050869152639E-2</v>
      </c>
      <c r="Q1125">
        <v>1.8611699999999999E-4</v>
      </c>
      <c r="R1125">
        <f t="shared" si="144"/>
        <v>5.6837290595567566E-2</v>
      </c>
      <c r="CH1125">
        <v>1.7228999999999999E-4</v>
      </c>
      <c r="CI1125">
        <v>29.369199999999999</v>
      </c>
      <c r="CJ1125">
        <f t="shared" si="145"/>
        <v>2282.5450011827538</v>
      </c>
      <c r="CL1125">
        <v>1.7228999999999999E-4</v>
      </c>
      <c r="CM1125">
        <v>2.0080000000000001E-2</v>
      </c>
      <c r="CN1125">
        <f t="shared" si="146"/>
        <v>1.5605976200832743</v>
      </c>
    </row>
    <row r="1126" spans="4:92" x14ac:dyDescent="0.35">
      <c r="D1126">
        <v>1.8852800000000001E-4</v>
      </c>
      <c r="E1126">
        <v>13.4344</v>
      </c>
      <c r="F1126">
        <v>2.01641</v>
      </c>
      <c r="G1126">
        <v>10.9221</v>
      </c>
      <c r="I1126">
        <v>1.8852800000000001E-4</v>
      </c>
      <c r="J1126">
        <f t="shared" si="142"/>
        <v>2.3843975431563347E-2</v>
      </c>
      <c r="K1126">
        <v>1.0701572332036365E-2</v>
      </c>
      <c r="L1126">
        <v>3.5908293128982444E-2</v>
      </c>
      <c r="N1126">
        <v>1.8852800000000001E-4</v>
      </c>
      <c r="O1126">
        <f t="shared" si="143"/>
        <v>1.0701572332036365E-2</v>
      </c>
      <c r="Q1126">
        <v>1.8852800000000001E-4</v>
      </c>
      <c r="R1126">
        <f t="shared" si="144"/>
        <v>3.5908293128982444E-2</v>
      </c>
      <c r="CH1126">
        <v>1.7452099999999999E-4</v>
      </c>
      <c r="CI1126">
        <v>29.217500000000001</v>
      </c>
      <c r="CJ1126">
        <f t="shared" si="145"/>
        <v>2270.7550281266467</v>
      </c>
      <c r="CL1126">
        <v>1.7452099999999999E-4</v>
      </c>
      <c r="CM1126">
        <v>2.1559999999999999E-2</v>
      </c>
      <c r="CN1126">
        <f t="shared" si="146"/>
        <v>1.6756217474599298</v>
      </c>
    </row>
    <row r="1127" spans="4:92" x14ac:dyDescent="0.35">
      <c r="D1127">
        <v>1.9096900000000001E-4</v>
      </c>
      <c r="E1127">
        <v>14.8043</v>
      </c>
      <c r="F1127">
        <v>7.9087100000000001</v>
      </c>
      <c r="G1127">
        <v>13.6913</v>
      </c>
      <c r="I1127">
        <v>1.9096900000000001E-4</v>
      </c>
      <c r="J1127">
        <f t="shared" si="142"/>
        <v>2.6275335369014861E-2</v>
      </c>
      <c r="K1127">
        <v>4.1973424114192713E-2</v>
      </c>
      <c r="L1127">
        <v>4.5012517163992023E-2</v>
      </c>
      <c r="N1127">
        <v>1.9096900000000001E-4</v>
      </c>
      <c r="O1127">
        <f t="shared" si="143"/>
        <v>4.1973424114192713E-2</v>
      </c>
      <c r="Q1127">
        <v>1.9096900000000001E-4</v>
      </c>
      <c r="R1127">
        <f t="shared" si="144"/>
        <v>4.5012517163992023E-2</v>
      </c>
      <c r="CH1127">
        <v>1.7678099999999999E-4</v>
      </c>
      <c r="CI1127">
        <v>29.271100000000001</v>
      </c>
      <c r="CJ1127">
        <f t="shared" si="145"/>
        <v>2274.9207667938012</v>
      </c>
      <c r="CL1127">
        <v>1.7678099999999999E-4</v>
      </c>
      <c r="CM1127">
        <v>2.359E-2</v>
      </c>
      <c r="CN1127">
        <f t="shared" si="146"/>
        <v>1.8333913275779103</v>
      </c>
    </row>
    <row r="1128" spans="4:92" x14ac:dyDescent="0.35">
      <c r="D1128">
        <v>1.93442E-4</v>
      </c>
      <c r="E1128">
        <v>14.490600000000001</v>
      </c>
      <c r="F1128">
        <v>9.7942800000000005</v>
      </c>
      <c r="G1128">
        <v>14.049300000000001</v>
      </c>
      <c r="I1128">
        <v>1.93442E-4</v>
      </c>
      <c r="J1128">
        <f t="shared" si="142"/>
        <v>2.5718566544736785E-2</v>
      </c>
      <c r="K1128">
        <v>5.1980597130651576E-2</v>
      </c>
      <c r="L1128">
        <v>4.6189504093261648E-2</v>
      </c>
      <c r="N1128">
        <v>1.93442E-4</v>
      </c>
      <c r="O1128">
        <f t="shared" si="143"/>
        <v>5.1980597130651576E-2</v>
      </c>
      <c r="Q1128">
        <v>1.93442E-4</v>
      </c>
      <c r="R1128">
        <f t="shared" si="144"/>
        <v>4.6189504093261648E-2</v>
      </c>
      <c r="CH1128">
        <v>1.7907E-4</v>
      </c>
      <c r="CI1128">
        <v>28.9754</v>
      </c>
      <c r="CJ1128">
        <f t="shared" si="145"/>
        <v>2251.9392570199652</v>
      </c>
      <c r="CL1128">
        <v>1.7907E-4</v>
      </c>
      <c r="CM1128">
        <v>2.3359999999999999E-2</v>
      </c>
      <c r="CN1128">
        <f t="shared" si="146"/>
        <v>1.815515956431538</v>
      </c>
    </row>
    <row r="1129" spans="4:92" x14ac:dyDescent="0.35">
      <c r="D1129">
        <v>1.95947E-4</v>
      </c>
      <c r="E1129">
        <v>14.538600000000001</v>
      </c>
      <c r="F1129">
        <v>10.089399999999999</v>
      </c>
      <c r="G1129">
        <v>14.285600000000001</v>
      </c>
      <c r="I1129">
        <v>1.95947E-4</v>
      </c>
      <c r="J1129">
        <f t="shared" si="142"/>
        <v>2.580375909674618E-2</v>
      </c>
      <c r="K1129">
        <v>5.3546869876090523E-2</v>
      </c>
      <c r="L1129">
        <v>4.6966381220039335E-2</v>
      </c>
      <c r="N1129">
        <v>1.95947E-4</v>
      </c>
      <c r="O1129">
        <f t="shared" si="143"/>
        <v>5.3546869876090523E-2</v>
      </c>
      <c r="Q1129">
        <v>1.95947E-4</v>
      </c>
      <c r="R1129">
        <f t="shared" si="144"/>
        <v>4.6966381220039335E-2</v>
      </c>
      <c r="CH1129">
        <v>1.8138900000000001E-4</v>
      </c>
      <c r="CI1129">
        <v>30.148900000000001</v>
      </c>
      <c r="CJ1129">
        <f t="shared" si="145"/>
        <v>2343.1425093689554</v>
      </c>
      <c r="CL1129">
        <v>1.8138900000000001E-4</v>
      </c>
      <c r="CM1129">
        <v>2.0650000000000002E-2</v>
      </c>
      <c r="CN1129">
        <f t="shared" si="146"/>
        <v>1.6048974529242837</v>
      </c>
    </row>
    <row r="1130" spans="4:92" x14ac:dyDescent="0.35">
      <c r="D1130">
        <v>1.9848500000000001E-4</v>
      </c>
      <c r="E1130">
        <v>14.3177</v>
      </c>
      <c r="F1130">
        <v>10.296900000000001</v>
      </c>
      <c r="G1130">
        <v>14.142099999999999</v>
      </c>
      <c r="I1130">
        <v>1.9848500000000001E-4</v>
      </c>
      <c r="J1130">
        <f t="shared" si="142"/>
        <v>2.5411695873019603E-2</v>
      </c>
      <c r="K1130">
        <v>5.4648122229975678E-2</v>
      </c>
      <c r="L1130">
        <v>4.6494600146435451E-2</v>
      </c>
      <c r="N1130">
        <v>1.9848500000000001E-4</v>
      </c>
      <c r="O1130">
        <f t="shared" si="143"/>
        <v>5.4648122229975678E-2</v>
      </c>
      <c r="Q1130">
        <v>1.9848500000000001E-4</v>
      </c>
      <c r="R1130">
        <f t="shared" si="144"/>
        <v>4.6494600146435451E-2</v>
      </c>
      <c r="CH1130">
        <v>1.8373799999999999E-4</v>
      </c>
      <c r="CI1130">
        <v>30.392600000000002</v>
      </c>
      <c r="CJ1130">
        <f t="shared" si="145"/>
        <v>2362.0826308836117</v>
      </c>
      <c r="CL1130">
        <v>1.8373799999999999E-4</v>
      </c>
      <c r="CM1130">
        <v>2.0160000000000001E-2</v>
      </c>
      <c r="CN1130">
        <f t="shared" si="146"/>
        <v>1.5668151404820125</v>
      </c>
    </row>
    <row r="1131" spans="4:92" x14ac:dyDescent="0.35">
      <c r="D1131">
        <v>2.0105500000000001E-4</v>
      </c>
      <c r="E1131">
        <v>14.412699999999999</v>
      </c>
      <c r="F1131">
        <v>10.504099999999999</v>
      </c>
      <c r="G1131">
        <v>14.133800000000001</v>
      </c>
      <c r="I1131">
        <v>2.0105500000000001E-4</v>
      </c>
      <c r="J1131">
        <f t="shared" si="142"/>
        <v>2.5580306132204866E-2</v>
      </c>
      <c r="K1131">
        <v>5.5747782411782909E-2</v>
      </c>
      <c r="L1131">
        <v>4.6467312460645123E-2</v>
      </c>
      <c r="N1131">
        <v>2.0105500000000001E-4</v>
      </c>
      <c r="O1131">
        <f t="shared" si="143"/>
        <v>5.5747782411782909E-2</v>
      </c>
      <c r="Q1131">
        <v>2.0105500000000001E-4</v>
      </c>
      <c r="R1131">
        <f t="shared" si="144"/>
        <v>4.6467312460645123E-2</v>
      </c>
      <c r="CH1131">
        <v>1.8611699999999999E-4</v>
      </c>
      <c r="CI1131">
        <v>35.457599999999999</v>
      </c>
      <c r="CJ1131">
        <f t="shared" si="145"/>
        <v>2755.7293911287202</v>
      </c>
      <c r="CL1131">
        <v>1.8611699999999999E-4</v>
      </c>
      <c r="CM1131">
        <v>2.0160000000000001E-2</v>
      </c>
      <c r="CN1131">
        <f t="shared" si="146"/>
        <v>1.5668151404820125</v>
      </c>
    </row>
    <row r="1132" spans="4:92" x14ac:dyDescent="0.35">
      <c r="D1132">
        <v>2.03659E-4</v>
      </c>
      <c r="E1132">
        <v>15.032</v>
      </c>
      <c r="F1132">
        <v>12.722799999999999</v>
      </c>
      <c r="G1132">
        <v>14.579000000000001</v>
      </c>
      <c r="I1132">
        <v>2.03659E-4</v>
      </c>
      <c r="J1132">
        <f t="shared" si="142"/>
        <v>2.6679467537609438E-2</v>
      </c>
      <c r="K1132">
        <v>6.7522956375951446E-2</v>
      </c>
      <c r="L1132">
        <v>4.7930984474362538E-2</v>
      </c>
      <c r="N1132">
        <v>2.03659E-4</v>
      </c>
      <c r="O1132">
        <f t="shared" si="143"/>
        <v>6.7522956375951446E-2</v>
      </c>
      <c r="Q1132">
        <v>2.03659E-4</v>
      </c>
      <c r="R1132">
        <f t="shared" si="144"/>
        <v>4.7930984474362538E-2</v>
      </c>
      <c r="CH1132">
        <v>1.8852800000000001E-4</v>
      </c>
      <c r="CI1132">
        <v>23.1341</v>
      </c>
      <c r="CJ1132">
        <f t="shared" si="145"/>
        <v>1797.9592332056013</v>
      </c>
      <c r="CL1132">
        <v>1.8852800000000001E-4</v>
      </c>
      <c r="CM1132">
        <v>2.9090000000000001E-2</v>
      </c>
      <c r="CN1132">
        <f t="shared" si="146"/>
        <v>2.2608458549911576</v>
      </c>
    </row>
    <row r="1133" spans="4:92" x14ac:dyDescent="0.35">
      <c r="D1133">
        <v>2.0629599999999999E-4</v>
      </c>
      <c r="E1133">
        <v>14.082800000000001</v>
      </c>
      <c r="F1133">
        <v>8.7708300000000001</v>
      </c>
      <c r="G1133">
        <v>13.504300000000001</v>
      </c>
      <c r="I1133">
        <v>2.0629599999999999E-4</v>
      </c>
      <c r="J1133">
        <f t="shared" si="142"/>
        <v>2.4994784821623615E-2</v>
      </c>
      <c r="K1133">
        <v>4.6548902086874455E-2</v>
      </c>
      <c r="L1133">
        <v>4.4397722315462934E-2</v>
      </c>
      <c r="N1133">
        <v>2.0629599999999999E-4</v>
      </c>
      <c r="O1133">
        <f t="shared" si="143"/>
        <v>4.6548902086874455E-2</v>
      </c>
      <c r="Q1133">
        <v>2.0629599999999999E-4</v>
      </c>
      <c r="R1133">
        <f t="shared" si="144"/>
        <v>4.4397722315462934E-2</v>
      </c>
      <c r="CH1133">
        <v>1.9096900000000001E-4</v>
      </c>
      <c r="CI1133">
        <v>28.66</v>
      </c>
      <c r="CJ1133">
        <f t="shared" si="145"/>
        <v>2227.4266828479404</v>
      </c>
      <c r="CL1133">
        <v>1.9096900000000001E-4</v>
      </c>
      <c r="CM1133">
        <v>2.6259999999999999E-2</v>
      </c>
      <c r="CN1133">
        <f t="shared" si="146"/>
        <v>2.0409010708857958</v>
      </c>
    </row>
    <row r="1134" spans="4:92" x14ac:dyDescent="0.35">
      <c r="D1134">
        <v>2.08968E-4</v>
      </c>
      <c r="E1134">
        <v>14.2713</v>
      </c>
      <c r="F1134">
        <v>8.1686300000000003</v>
      </c>
      <c r="G1134">
        <v>14</v>
      </c>
      <c r="I1134">
        <v>2.08968E-4</v>
      </c>
      <c r="J1134">
        <f t="shared" si="142"/>
        <v>2.5329343072743853E-2</v>
      </c>
      <c r="K1134">
        <v>4.3352882002490677E-2</v>
      </c>
      <c r="L1134">
        <v>4.602742181501307E-2</v>
      </c>
      <c r="N1134">
        <v>2.08968E-4</v>
      </c>
      <c r="O1134">
        <f t="shared" si="143"/>
        <v>4.3352882002490677E-2</v>
      </c>
      <c r="Q1134">
        <v>2.08968E-4</v>
      </c>
      <c r="R1134">
        <f t="shared" si="144"/>
        <v>4.602742181501307E-2</v>
      </c>
      <c r="CH1134">
        <v>1.93442E-4</v>
      </c>
      <c r="CI1134">
        <v>29.885200000000001</v>
      </c>
      <c r="CJ1134">
        <f t="shared" si="145"/>
        <v>2322.6480077546148</v>
      </c>
      <c r="CL1134">
        <v>1.93442E-4</v>
      </c>
      <c r="CM1134">
        <v>2.2079999999999999E-2</v>
      </c>
      <c r="CN1134">
        <f t="shared" si="146"/>
        <v>1.7160356300517277</v>
      </c>
    </row>
    <row r="1135" spans="4:92" x14ac:dyDescent="0.35">
      <c r="D1135">
        <v>2.1167399999999999E-4</v>
      </c>
      <c r="E1135">
        <v>14.6715</v>
      </c>
      <c r="F1135">
        <v>10.4916</v>
      </c>
      <c r="G1135">
        <v>14.4544</v>
      </c>
      <c r="I1135">
        <v>2.1167399999999999E-4</v>
      </c>
      <c r="J1135">
        <f t="shared" si="142"/>
        <v>2.6039635975122197E-2</v>
      </c>
      <c r="K1135">
        <v>5.568144190853682E-2</v>
      </c>
      <c r="L1135">
        <v>4.7521340420208918E-2</v>
      </c>
      <c r="N1135">
        <v>2.1167399999999999E-4</v>
      </c>
      <c r="O1135">
        <f t="shared" si="143"/>
        <v>5.568144190853682E-2</v>
      </c>
      <c r="Q1135">
        <v>2.1167399999999999E-4</v>
      </c>
      <c r="R1135">
        <f t="shared" si="144"/>
        <v>4.7521340420208918E-2</v>
      </c>
      <c r="CH1135">
        <v>1.95947E-4</v>
      </c>
      <c r="CI1135">
        <v>29.940300000000001</v>
      </c>
      <c r="CJ1135">
        <f t="shared" si="145"/>
        <v>2326.9303249292457</v>
      </c>
      <c r="CL1135">
        <v>1.95947E-4</v>
      </c>
      <c r="CM1135">
        <v>1.8550000000000001E-2</v>
      </c>
      <c r="CN1135">
        <f t="shared" si="146"/>
        <v>1.4416875424574072</v>
      </c>
    </row>
    <row r="1136" spans="4:92" x14ac:dyDescent="0.35">
      <c r="D1136">
        <v>2.14415E-4</v>
      </c>
      <c r="E1136">
        <v>14.832700000000001</v>
      </c>
      <c r="F1136">
        <v>11.204599999999999</v>
      </c>
      <c r="G1136">
        <v>14.614100000000001</v>
      </c>
      <c r="I1136">
        <v>2.14415E-4</v>
      </c>
      <c r="J1136">
        <f t="shared" si="142"/>
        <v>2.6325740962287091E-2</v>
      </c>
      <c r="K1136">
        <v>5.9465504213693968E-2</v>
      </c>
      <c r="L1136">
        <v>4.8046381796198752E-2</v>
      </c>
      <c r="N1136">
        <v>2.14415E-4</v>
      </c>
      <c r="O1136">
        <f t="shared" si="143"/>
        <v>5.9465504213693968E-2</v>
      </c>
      <c r="Q1136">
        <v>2.14415E-4</v>
      </c>
      <c r="R1136">
        <f t="shared" si="144"/>
        <v>4.8046381796198752E-2</v>
      </c>
      <c r="CH1136">
        <v>1.9848500000000001E-4</v>
      </c>
      <c r="CI1136">
        <v>29.4221</v>
      </c>
      <c r="CJ1136">
        <f t="shared" si="145"/>
        <v>2286.6563365464194</v>
      </c>
      <c r="CL1136">
        <v>1.9848500000000001E-4</v>
      </c>
      <c r="CM1136">
        <v>2.231E-2</v>
      </c>
      <c r="CN1136">
        <f t="shared" si="146"/>
        <v>1.7339110011981</v>
      </c>
    </row>
    <row r="1137" spans="4:92" x14ac:dyDescent="0.35">
      <c r="D1137">
        <v>2.17192E-4</v>
      </c>
      <c r="E1137">
        <v>14.5154</v>
      </c>
      <c r="F1137">
        <v>10.9963</v>
      </c>
      <c r="G1137">
        <v>14.287800000000001</v>
      </c>
      <c r="I1137">
        <v>2.17192E-4</v>
      </c>
      <c r="J1137">
        <f t="shared" si="142"/>
        <v>2.5762582696608305E-2</v>
      </c>
      <c r="K1137">
        <v>5.836000606760107E-2</v>
      </c>
      <c r="L1137">
        <v>4.6973614100610267E-2</v>
      </c>
      <c r="N1137">
        <v>2.17192E-4</v>
      </c>
      <c r="O1137">
        <f t="shared" si="143"/>
        <v>5.836000606760107E-2</v>
      </c>
      <c r="Q1137">
        <v>2.17192E-4</v>
      </c>
      <c r="R1137">
        <f t="shared" si="144"/>
        <v>4.6973614100610267E-2</v>
      </c>
      <c r="CH1137">
        <v>2.0105500000000001E-4</v>
      </c>
      <c r="CI1137">
        <v>29.359200000000001</v>
      </c>
      <c r="CJ1137">
        <f t="shared" si="145"/>
        <v>2281.7678111329119</v>
      </c>
      <c r="CL1137">
        <v>2.0105500000000001E-4</v>
      </c>
      <c r="CM1137">
        <v>2.044E-2</v>
      </c>
      <c r="CN1137">
        <f t="shared" si="146"/>
        <v>1.5885764618775959</v>
      </c>
    </row>
    <row r="1138" spans="4:92" x14ac:dyDescent="0.35">
      <c r="D1138">
        <v>2.2000500000000001E-4</v>
      </c>
      <c r="E1138">
        <v>14.875500000000001</v>
      </c>
      <c r="F1138">
        <v>11.1852</v>
      </c>
      <c r="G1138">
        <v>14.460599999999999</v>
      </c>
      <c r="I1138">
        <v>2.2000500000000001E-4</v>
      </c>
      <c r="J1138">
        <f t="shared" si="142"/>
        <v>2.6401704321162133E-2</v>
      </c>
      <c r="K1138">
        <v>5.9362543752656038E-2</v>
      </c>
      <c r="L1138">
        <v>4.7541723992726992E-2</v>
      </c>
      <c r="N1138">
        <v>2.2000500000000001E-4</v>
      </c>
      <c r="O1138">
        <f t="shared" si="143"/>
        <v>5.9362543752656038E-2</v>
      </c>
      <c r="Q1138">
        <v>2.2000500000000001E-4</v>
      </c>
      <c r="R1138">
        <f t="shared" si="144"/>
        <v>4.7541723992726992E-2</v>
      </c>
      <c r="CH1138">
        <v>2.03659E-4</v>
      </c>
      <c r="CI1138">
        <v>29.6539</v>
      </c>
      <c r="CJ1138">
        <f t="shared" si="145"/>
        <v>2304.6716019017631</v>
      </c>
      <c r="CL1138">
        <v>2.03659E-4</v>
      </c>
      <c r="CM1138">
        <v>2.307E-2</v>
      </c>
      <c r="CN1138">
        <f t="shared" si="146"/>
        <v>1.7929774449861124</v>
      </c>
    </row>
    <row r="1139" spans="4:92" x14ac:dyDescent="0.35">
      <c r="D1139">
        <v>2.22854E-4</v>
      </c>
      <c r="E1139">
        <v>14.553900000000001</v>
      </c>
      <c r="F1139">
        <v>10.7974</v>
      </c>
      <c r="G1139">
        <v>14.201599999999999</v>
      </c>
      <c r="I1139">
        <v>2.22854E-4</v>
      </c>
      <c r="J1139">
        <f t="shared" si="142"/>
        <v>2.5830914222699175E-2</v>
      </c>
      <c r="K1139">
        <v>5.7304395979949241E-2</v>
      </c>
      <c r="L1139">
        <v>4.6690216689149258E-2</v>
      </c>
      <c r="N1139">
        <v>2.22854E-4</v>
      </c>
      <c r="O1139">
        <f t="shared" si="143"/>
        <v>5.7304395979949241E-2</v>
      </c>
      <c r="Q1139">
        <v>2.22854E-4</v>
      </c>
      <c r="R1139">
        <f t="shared" si="144"/>
        <v>4.6690216689149258E-2</v>
      </c>
      <c r="CH1139">
        <v>2.0629599999999999E-4</v>
      </c>
      <c r="CI1139">
        <v>28.2804</v>
      </c>
      <c r="CJ1139">
        <f t="shared" si="145"/>
        <v>2197.9245485559277</v>
      </c>
      <c r="CL1139">
        <v>2.0629599999999999E-4</v>
      </c>
      <c r="CM1139">
        <v>2.3910000000000001E-2</v>
      </c>
      <c r="CN1139">
        <f t="shared" si="146"/>
        <v>1.8582614091728629</v>
      </c>
    </row>
    <row r="1140" spans="4:92" x14ac:dyDescent="0.35">
      <c r="D1140">
        <v>2.2573999999999999E-4</v>
      </c>
      <c r="E1140">
        <v>14.5823</v>
      </c>
      <c r="F1140">
        <v>11.1915</v>
      </c>
      <c r="G1140">
        <v>14.3436</v>
      </c>
      <c r="I1140">
        <v>2.2573999999999999E-4</v>
      </c>
      <c r="J1140">
        <f t="shared" si="142"/>
        <v>2.5881319815971401E-2</v>
      </c>
      <c r="K1140">
        <v>5.9395979366292061E-2</v>
      </c>
      <c r="L1140">
        <v>4.7157066253272963E-2</v>
      </c>
      <c r="N1140">
        <v>2.2573999999999999E-4</v>
      </c>
      <c r="O1140">
        <f t="shared" si="143"/>
        <v>5.9395979366292061E-2</v>
      </c>
      <c r="Q1140">
        <v>2.2573999999999999E-4</v>
      </c>
      <c r="R1140">
        <f t="shared" si="144"/>
        <v>4.7157066253272963E-2</v>
      </c>
      <c r="CH1140">
        <v>2.08968E-4</v>
      </c>
      <c r="CI1140">
        <v>29.358699999999999</v>
      </c>
      <c r="CJ1140">
        <f t="shared" si="145"/>
        <v>2281.7289516304195</v>
      </c>
      <c r="CL1140">
        <v>2.08968E-4</v>
      </c>
      <c r="CM1140">
        <v>2.1559999999999999E-2</v>
      </c>
      <c r="CN1140">
        <f t="shared" si="146"/>
        <v>1.6756217474599298</v>
      </c>
    </row>
    <row r="1141" spans="4:92" x14ac:dyDescent="0.35">
      <c r="D1141">
        <v>2.2866299999999999E-4</v>
      </c>
      <c r="E1141">
        <v>14.5181</v>
      </c>
      <c r="F1141">
        <v>11.290100000000001</v>
      </c>
      <c r="G1141">
        <v>14.1511</v>
      </c>
      <c r="I1141">
        <v>2.2866299999999999E-4</v>
      </c>
      <c r="J1141">
        <f t="shared" si="142"/>
        <v>2.5767374777658832E-2</v>
      </c>
      <c r="K1141">
        <v>5.991927325589725E-2</v>
      </c>
      <c r="L1141">
        <v>4.6524189203316524E-2</v>
      </c>
      <c r="N1141">
        <v>2.2866299999999999E-4</v>
      </c>
      <c r="O1141">
        <f t="shared" si="143"/>
        <v>5.991927325589725E-2</v>
      </c>
      <c r="Q1141">
        <v>2.2866299999999999E-4</v>
      </c>
      <c r="R1141">
        <f t="shared" si="144"/>
        <v>4.6524189203316524E-2</v>
      </c>
      <c r="CH1141">
        <v>2.1167399999999999E-4</v>
      </c>
      <c r="CI1141">
        <v>30.860299999999999</v>
      </c>
      <c r="CJ1141">
        <f t="shared" si="145"/>
        <v>2398.4318095147341</v>
      </c>
      <c r="CL1141">
        <v>2.1167399999999999E-4</v>
      </c>
      <c r="CM1141">
        <v>1.9990000000000001E-2</v>
      </c>
      <c r="CN1141">
        <f t="shared" si="146"/>
        <v>1.5536029096346939</v>
      </c>
    </row>
    <row r="1142" spans="4:92" x14ac:dyDescent="0.35">
      <c r="D1142">
        <v>2.3162399999999999E-4</v>
      </c>
      <c r="E1142">
        <v>14.589700000000001</v>
      </c>
      <c r="F1142">
        <v>12.022399999999999</v>
      </c>
      <c r="G1142">
        <v>14.287800000000001</v>
      </c>
      <c r="I1142">
        <v>2.3162399999999999E-4</v>
      </c>
      <c r="J1142">
        <f t="shared" si="142"/>
        <v>2.5894453667739518E-2</v>
      </c>
      <c r="K1142">
        <v>6.3805765298066364E-2</v>
      </c>
      <c r="L1142">
        <v>4.6973614100610267E-2</v>
      </c>
      <c r="N1142">
        <v>2.3162399999999999E-4</v>
      </c>
      <c r="O1142">
        <f t="shared" si="143"/>
        <v>6.3805765298066364E-2</v>
      </c>
      <c r="Q1142">
        <v>2.3162399999999999E-4</v>
      </c>
      <c r="R1142">
        <f t="shared" si="144"/>
        <v>4.6973614100610267E-2</v>
      </c>
      <c r="CH1142">
        <v>2.14415E-4</v>
      </c>
      <c r="CI1142">
        <v>29.874500000000001</v>
      </c>
      <c r="CJ1142">
        <f t="shared" si="145"/>
        <v>2321.816414401284</v>
      </c>
      <c r="CL1142">
        <v>2.14415E-4</v>
      </c>
      <c r="CM1142">
        <v>1.9539999999999998E-2</v>
      </c>
      <c r="CN1142">
        <f t="shared" si="146"/>
        <v>1.5186293573917917</v>
      </c>
    </row>
    <row r="1143" spans="4:92" x14ac:dyDescent="0.35">
      <c r="D1143">
        <v>2.3462400000000001E-4</v>
      </c>
      <c r="E1143">
        <v>14.1228</v>
      </c>
      <c r="F1143">
        <v>9.7970199999999998</v>
      </c>
      <c r="G1143">
        <v>14.119300000000001</v>
      </c>
      <c r="I1143">
        <v>2.3462400000000001E-4</v>
      </c>
      <c r="J1143">
        <f t="shared" si="142"/>
        <v>2.5065778614964777E-2</v>
      </c>
      <c r="K1143">
        <v>5.1995138968963107E-2</v>
      </c>
      <c r="L1143">
        <v>4.6419641202336721E-2</v>
      </c>
      <c r="N1143">
        <v>2.3462400000000001E-4</v>
      </c>
      <c r="O1143">
        <f t="shared" si="143"/>
        <v>5.1995138968963107E-2</v>
      </c>
      <c r="Q1143">
        <v>2.3462400000000001E-4</v>
      </c>
      <c r="R1143">
        <f t="shared" si="144"/>
        <v>4.6419641202336721E-2</v>
      </c>
      <c r="CH1143">
        <v>2.17192E-4</v>
      </c>
      <c r="CI1143">
        <v>29.743500000000001</v>
      </c>
      <c r="CJ1143">
        <f t="shared" si="145"/>
        <v>2311.6352247483501</v>
      </c>
      <c r="CL1143">
        <v>2.17192E-4</v>
      </c>
      <c r="CM1143">
        <v>2.2329999999999999E-2</v>
      </c>
      <c r="CN1143">
        <f t="shared" si="146"/>
        <v>1.7354653812977845</v>
      </c>
    </row>
    <row r="1144" spans="4:92" x14ac:dyDescent="0.35">
      <c r="D1144">
        <v>2.37662E-4</v>
      </c>
      <c r="E1144">
        <v>14.4764</v>
      </c>
      <c r="F1144">
        <v>9.2071799999999993</v>
      </c>
      <c r="G1144">
        <v>14.1013</v>
      </c>
      <c r="I1144">
        <v>2.37662E-4</v>
      </c>
      <c r="J1144">
        <f t="shared" si="142"/>
        <v>2.5693363748100672E-2</v>
      </c>
      <c r="K1144">
        <v>4.8864716374189064E-2</v>
      </c>
      <c r="L1144">
        <v>4.6360463088574555E-2</v>
      </c>
      <c r="N1144">
        <v>2.37662E-4</v>
      </c>
      <c r="O1144">
        <f t="shared" si="143"/>
        <v>4.8864716374189064E-2</v>
      </c>
      <c r="Q1144">
        <v>2.37662E-4</v>
      </c>
      <c r="R1144">
        <f t="shared" si="144"/>
        <v>4.6360463088574555E-2</v>
      </c>
      <c r="CH1144">
        <v>2.2000500000000001E-4</v>
      </c>
      <c r="CI1144">
        <v>30.709299999999999</v>
      </c>
      <c r="CJ1144">
        <f t="shared" si="145"/>
        <v>2386.696239762116</v>
      </c>
      <c r="CL1144">
        <v>2.2000500000000001E-4</v>
      </c>
      <c r="CM1144">
        <v>2.1860000000000001E-2</v>
      </c>
      <c r="CN1144">
        <f t="shared" si="146"/>
        <v>1.698937448955198</v>
      </c>
    </row>
    <row r="1145" spans="4:92" x14ac:dyDescent="0.35">
      <c r="D1145">
        <v>2.4074E-4</v>
      </c>
      <c r="E1145">
        <v>14.478999999999999</v>
      </c>
      <c r="F1145">
        <v>11.3627</v>
      </c>
      <c r="G1145">
        <v>14.270899999999999</v>
      </c>
      <c r="I1145">
        <v>2.4074E-4</v>
      </c>
      <c r="J1145">
        <f t="shared" si="142"/>
        <v>2.5697978344667843E-2</v>
      </c>
      <c r="K1145">
        <v>6.0304578898750558E-2</v>
      </c>
      <c r="L1145">
        <v>4.6918052427133566E-2</v>
      </c>
      <c r="N1145">
        <v>2.4074E-4</v>
      </c>
      <c r="O1145">
        <f t="shared" si="143"/>
        <v>6.0304578898750558E-2</v>
      </c>
      <c r="Q1145">
        <v>2.4074E-4</v>
      </c>
      <c r="R1145">
        <f t="shared" si="144"/>
        <v>4.6918052427133566E-2</v>
      </c>
      <c r="CH1145">
        <v>2.22854E-4</v>
      </c>
      <c r="CI1145">
        <v>28.4969</v>
      </c>
      <c r="CJ1145">
        <f t="shared" si="145"/>
        <v>2214.750713135013</v>
      </c>
      <c r="CL1145">
        <v>2.22854E-4</v>
      </c>
      <c r="CM1145">
        <v>2.4250000000000001E-2</v>
      </c>
      <c r="CN1145">
        <f t="shared" si="146"/>
        <v>1.8846858708675001</v>
      </c>
    </row>
    <row r="1146" spans="4:92" x14ac:dyDescent="0.35">
      <c r="D1146">
        <v>2.4385800000000001E-4</v>
      </c>
      <c r="E1146">
        <v>14.8588</v>
      </c>
      <c r="F1146">
        <v>11.841900000000001</v>
      </c>
      <c r="G1146">
        <v>14.407</v>
      </c>
      <c r="I1146">
        <v>2.4385800000000001E-4</v>
      </c>
      <c r="J1146">
        <f t="shared" si="142"/>
        <v>2.6372064412442196E-2</v>
      </c>
      <c r="K1146">
        <v>6.2847808431192781E-2</v>
      </c>
      <c r="L1146">
        <v>4.7365504720635228E-2</v>
      </c>
      <c r="N1146">
        <v>2.4385800000000001E-4</v>
      </c>
      <c r="O1146">
        <f t="shared" si="143"/>
        <v>6.2847808431192781E-2</v>
      </c>
      <c r="Q1146">
        <v>2.4385800000000001E-4</v>
      </c>
      <c r="R1146">
        <f t="shared" si="144"/>
        <v>4.7365504720635228E-2</v>
      </c>
      <c r="CH1146">
        <v>2.2573999999999999E-4</v>
      </c>
      <c r="CI1146">
        <v>30.389500000000002</v>
      </c>
      <c r="CJ1146">
        <f t="shared" si="145"/>
        <v>2361.8417019681606</v>
      </c>
      <c r="CL1146">
        <v>2.2573999999999999E-4</v>
      </c>
      <c r="CM1146">
        <v>2.4400000000000002E-2</v>
      </c>
      <c r="CN1146">
        <f t="shared" si="146"/>
        <v>1.8963437216151342</v>
      </c>
    </row>
    <row r="1147" spans="4:92" x14ac:dyDescent="0.35">
      <c r="D1147">
        <v>2.4701500000000001E-4</v>
      </c>
      <c r="E1147">
        <v>14.45</v>
      </c>
      <c r="F1147">
        <v>11.8962</v>
      </c>
      <c r="G1147">
        <v>14.395300000000001</v>
      </c>
      <c r="I1147">
        <v>2.4701500000000001E-4</v>
      </c>
      <c r="J1147">
        <f t="shared" si="142"/>
        <v>2.56465078444955E-2</v>
      </c>
      <c r="K1147">
        <v>6.3135991577293812E-2</v>
      </c>
      <c r="L1147">
        <v>4.7327038946689826E-2</v>
      </c>
      <c r="N1147">
        <v>2.4701500000000001E-4</v>
      </c>
      <c r="O1147">
        <f t="shared" si="143"/>
        <v>6.3135991577293812E-2</v>
      </c>
      <c r="Q1147">
        <v>2.4701500000000001E-4</v>
      </c>
      <c r="R1147">
        <f t="shared" si="144"/>
        <v>4.7327038946689826E-2</v>
      </c>
      <c r="CH1147">
        <v>2.2866299999999999E-4</v>
      </c>
      <c r="CI1147">
        <v>29.744399999999999</v>
      </c>
      <c r="CJ1147">
        <f t="shared" si="145"/>
        <v>2311.7051718528355</v>
      </c>
      <c r="CL1147">
        <v>2.2866299999999999E-4</v>
      </c>
      <c r="CM1147">
        <v>2.019E-2</v>
      </c>
      <c r="CN1147">
        <f t="shared" si="146"/>
        <v>1.5691467106315391</v>
      </c>
    </row>
    <row r="1148" spans="4:92" x14ac:dyDescent="0.35">
      <c r="D1148">
        <v>2.5021400000000001E-4</v>
      </c>
      <c r="E1148">
        <v>14.7682</v>
      </c>
      <c r="F1148">
        <v>11.9445</v>
      </c>
      <c r="G1148">
        <v>14.267799999999999</v>
      </c>
      <c r="I1148">
        <v>2.5021400000000001E-4</v>
      </c>
      <c r="J1148">
        <f t="shared" si="142"/>
        <v>2.6211263470524462E-2</v>
      </c>
      <c r="K1148">
        <v>6.3392331281836703E-2</v>
      </c>
      <c r="L1148">
        <v>4.690786064087453E-2</v>
      </c>
      <c r="N1148">
        <v>2.5021400000000001E-4</v>
      </c>
      <c r="O1148">
        <f t="shared" si="143"/>
        <v>6.3392331281836703E-2</v>
      </c>
      <c r="Q1148">
        <v>2.5021400000000001E-4</v>
      </c>
      <c r="R1148">
        <f t="shared" si="144"/>
        <v>4.690786064087453E-2</v>
      </c>
      <c r="CH1148">
        <v>2.3162399999999999E-4</v>
      </c>
      <c r="CI1148">
        <v>30.594200000000001</v>
      </c>
      <c r="CJ1148">
        <f t="shared" si="145"/>
        <v>2377.7507822884318</v>
      </c>
      <c r="CL1148">
        <v>2.3162399999999999E-4</v>
      </c>
      <c r="CM1148">
        <v>2.2880000000000001E-2</v>
      </c>
      <c r="CN1148">
        <f t="shared" si="146"/>
        <v>1.7782108340391094</v>
      </c>
    </row>
    <row r="1149" spans="4:92" x14ac:dyDescent="0.35">
      <c r="D1149">
        <v>2.5345499999999998E-4</v>
      </c>
      <c r="E1149">
        <v>14.740500000000001</v>
      </c>
      <c r="F1149">
        <v>11.727499999999999</v>
      </c>
      <c r="G1149">
        <v>14.3147</v>
      </c>
      <c r="I1149">
        <v>2.5345499999999998E-4</v>
      </c>
      <c r="J1149">
        <f t="shared" si="142"/>
        <v>2.6162100268635705E-2</v>
      </c>
      <c r="K1149">
        <v>6.224066014548453E-2</v>
      </c>
      <c r="L1149">
        <v>4.7062052503954822E-2</v>
      </c>
      <c r="N1149">
        <v>2.5345499999999998E-4</v>
      </c>
      <c r="O1149">
        <f t="shared" si="143"/>
        <v>6.224066014548453E-2</v>
      </c>
      <c r="Q1149">
        <v>2.5345499999999998E-4</v>
      </c>
      <c r="R1149">
        <f t="shared" si="144"/>
        <v>4.7062052503954822E-2</v>
      </c>
      <c r="CH1149">
        <v>2.3462400000000001E-4</v>
      </c>
      <c r="CI1149">
        <v>29.413499999999999</v>
      </c>
      <c r="CJ1149">
        <f t="shared" si="145"/>
        <v>2285.9879531035549</v>
      </c>
      <c r="CL1149">
        <v>2.3462400000000001E-4</v>
      </c>
      <c r="CM1149">
        <v>2.4850000000000001E-2</v>
      </c>
      <c r="CN1149">
        <f t="shared" si="146"/>
        <v>1.9313172738580362</v>
      </c>
    </row>
    <row r="1150" spans="4:92" x14ac:dyDescent="0.35">
      <c r="D1150">
        <v>2.5673699999999999E-4</v>
      </c>
      <c r="E1150">
        <v>14.470700000000001</v>
      </c>
      <c r="F1150">
        <v>11.834</v>
      </c>
      <c r="G1150">
        <v>14.422800000000001</v>
      </c>
      <c r="I1150">
        <v>2.5673699999999999E-4</v>
      </c>
      <c r="J1150">
        <f t="shared" si="142"/>
        <v>2.5683247132549554E-2</v>
      </c>
      <c r="K1150">
        <v>6.280588123314125E-2</v>
      </c>
      <c r="L1150">
        <v>4.7417449953826463E-2</v>
      </c>
      <c r="N1150">
        <v>2.5673699999999999E-4</v>
      </c>
      <c r="O1150">
        <f t="shared" si="143"/>
        <v>6.280588123314125E-2</v>
      </c>
      <c r="Q1150">
        <v>2.5673699999999999E-4</v>
      </c>
      <c r="R1150">
        <f t="shared" si="144"/>
        <v>4.7417449953826463E-2</v>
      </c>
      <c r="CH1150">
        <v>2.37662E-4</v>
      </c>
      <c r="CI1150">
        <v>29.7288</v>
      </c>
      <c r="CJ1150">
        <f t="shared" si="145"/>
        <v>2310.4927553750817</v>
      </c>
      <c r="CL1150">
        <v>2.37662E-4</v>
      </c>
      <c r="CM1150">
        <v>2.0799999999999999E-2</v>
      </c>
      <c r="CN1150">
        <f t="shared" si="146"/>
        <v>1.6165553036719174</v>
      </c>
    </row>
    <row r="1151" spans="4:92" x14ac:dyDescent="0.35">
      <c r="D1151">
        <v>2.6006199999999998E-4</v>
      </c>
      <c r="E1151">
        <v>14.656000000000001</v>
      </c>
      <c r="F1151">
        <v>11.6037</v>
      </c>
      <c r="G1151">
        <v>14.2509</v>
      </c>
      <c r="I1151">
        <v>2.6006199999999998E-4</v>
      </c>
      <c r="J1151">
        <f t="shared" si="142"/>
        <v>2.6012125880202495E-2</v>
      </c>
      <c r="K1151">
        <v>6.1583623801335231E-2</v>
      </c>
      <c r="L1151">
        <v>4.6852298967397836E-2</v>
      </c>
      <c r="N1151">
        <v>2.6006199999999998E-4</v>
      </c>
      <c r="O1151">
        <f t="shared" si="143"/>
        <v>6.1583623801335231E-2</v>
      </c>
      <c r="Q1151">
        <v>2.6006199999999998E-4</v>
      </c>
      <c r="R1151">
        <f t="shared" si="144"/>
        <v>4.6852298967397836E-2</v>
      </c>
      <c r="CH1151">
        <v>2.4074E-4</v>
      </c>
      <c r="CI1151">
        <v>30.025099999999998</v>
      </c>
      <c r="CJ1151">
        <f t="shared" si="145"/>
        <v>2333.5208965519082</v>
      </c>
      <c r="CL1151">
        <v>2.4074E-4</v>
      </c>
      <c r="CM1151">
        <v>2.3619999999999999E-2</v>
      </c>
      <c r="CN1151">
        <f t="shared" si="146"/>
        <v>1.8357228977274369</v>
      </c>
    </row>
    <row r="1152" spans="4:92" x14ac:dyDescent="0.35">
      <c r="D1152">
        <v>2.6342999999999999E-4</v>
      </c>
      <c r="E1152">
        <v>14.549799999999999</v>
      </c>
      <c r="F1152">
        <v>11.8887</v>
      </c>
      <c r="G1152">
        <v>14.585599999999999</v>
      </c>
      <c r="I1152">
        <v>2.6342999999999999E-4</v>
      </c>
      <c r="J1152">
        <f t="shared" si="142"/>
        <v>2.5823637358881706E-2</v>
      </c>
      <c r="K1152">
        <v>6.3096187275346161E-2</v>
      </c>
      <c r="L1152">
        <v>4.7952683116075326E-2</v>
      </c>
      <c r="N1152">
        <v>2.6342999999999999E-4</v>
      </c>
      <c r="O1152">
        <f t="shared" si="143"/>
        <v>6.3096187275346161E-2</v>
      </c>
      <c r="Q1152">
        <v>2.6342999999999999E-4</v>
      </c>
      <c r="R1152">
        <f t="shared" si="144"/>
        <v>4.7952683116075326E-2</v>
      </c>
      <c r="CH1152">
        <v>2.4385800000000001E-4</v>
      </c>
      <c r="CI1152">
        <v>30.347000000000001</v>
      </c>
      <c r="CJ1152">
        <f t="shared" si="145"/>
        <v>2358.5386442563308</v>
      </c>
      <c r="CL1152">
        <v>2.4385800000000001E-4</v>
      </c>
      <c r="CM1152">
        <v>2.6589999999999999E-2</v>
      </c>
      <c r="CN1152">
        <f t="shared" si="146"/>
        <v>2.0665483425305906</v>
      </c>
    </row>
    <row r="1153" spans="4:92" x14ac:dyDescent="0.35">
      <c r="D1153">
        <v>2.6684099999999997E-4</v>
      </c>
      <c r="E1153">
        <v>14.7325</v>
      </c>
      <c r="F1153">
        <v>12.4771</v>
      </c>
      <c r="G1153">
        <v>14.723699999999999</v>
      </c>
      <c r="I1153">
        <v>2.6684099999999997E-4</v>
      </c>
      <c r="J1153">
        <f t="shared" si="142"/>
        <v>2.6147901509967472E-2</v>
      </c>
      <c r="K1153">
        <v>6.6218967444146251E-2</v>
      </c>
      <c r="L1153">
        <v>4.8406710755550565E-2</v>
      </c>
      <c r="N1153">
        <v>2.6684099999999997E-4</v>
      </c>
      <c r="O1153">
        <f t="shared" si="143"/>
        <v>6.6218967444146251E-2</v>
      </c>
      <c r="Q1153">
        <v>2.6684099999999997E-4</v>
      </c>
      <c r="R1153">
        <f t="shared" si="144"/>
        <v>4.8406710755550565E-2</v>
      </c>
      <c r="CH1153">
        <v>2.4701500000000001E-4</v>
      </c>
      <c r="CI1153">
        <v>30.322299999999998</v>
      </c>
      <c r="CJ1153">
        <f t="shared" si="145"/>
        <v>2356.6189848332201</v>
      </c>
      <c r="CL1153">
        <v>2.4701500000000001E-4</v>
      </c>
      <c r="CM1153">
        <v>2.1160000000000002E-2</v>
      </c>
      <c r="CN1153">
        <f t="shared" si="146"/>
        <v>1.6445341454662392</v>
      </c>
    </row>
    <row r="1154" spans="4:92" x14ac:dyDescent="0.35">
      <c r="D1154">
        <v>2.7029700000000002E-4</v>
      </c>
      <c r="E1154">
        <v>14.6785</v>
      </c>
      <c r="F1154">
        <v>11</v>
      </c>
      <c r="G1154">
        <v>14.170999999999999</v>
      </c>
      <c r="I1154">
        <v>2.7029700000000002E-4</v>
      </c>
      <c r="J1154">
        <f t="shared" si="142"/>
        <v>2.60520598889569E-2</v>
      </c>
      <c r="K1154">
        <v>5.8379642856561914E-2</v>
      </c>
      <c r="L1154">
        <v>4.6589613895753584E-2</v>
      </c>
      <c r="N1154">
        <v>2.7029700000000002E-4</v>
      </c>
      <c r="O1154">
        <f t="shared" si="143"/>
        <v>5.8379642856561914E-2</v>
      </c>
      <c r="Q1154">
        <v>2.7029700000000002E-4</v>
      </c>
      <c r="R1154">
        <f t="shared" si="144"/>
        <v>4.6589613895753584E-2</v>
      </c>
      <c r="CH1154">
        <v>2.5021400000000001E-4</v>
      </c>
      <c r="CI1154">
        <v>30.522200000000002</v>
      </c>
      <c r="CJ1154">
        <f t="shared" si="145"/>
        <v>2372.1550139295673</v>
      </c>
      <c r="CL1154">
        <v>2.5021400000000001E-4</v>
      </c>
      <c r="CM1154">
        <v>2.0420000000000001E-2</v>
      </c>
      <c r="CN1154">
        <f t="shared" si="146"/>
        <v>1.5870220817779115</v>
      </c>
    </row>
    <row r="1155" spans="4:92" x14ac:dyDescent="0.35">
      <c r="D1155">
        <v>2.7379699999999999E-4</v>
      </c>
      <c r="E1155">
        <v>14.3775</v>
      </c>
      <c r="F1155">
        <v>9.8248999999999995</v>
      </c>
      <c r="G1155">
        <v>13.921099999999999</v>
      </c>
      <c r="I1155">
        <v>2.7379699999999999E-4</v>
      </c>
      <c r="J1155">
        <f t="shared" si="142"/>
        <v>2.5517831594064639E-2</v>
      </c>
      <c r="K1155">
        <v>5.2143104827403197E-2</v>
      </c>
      <c r="L1155">
        <v>4.5768024416355593E-2</v>
      </c>
      <c r="N1155">
        <v>2.7379699999999999E-4</v>
      </c>
      <c r="O1155">
        <f t="shared" si="143"/>
        <v>5.2143104827403197E-2</v>
      </c>
      <c r="Q1155">
        <v>2.7379699999999999E-4</v>
      </c>
      <c r="R1155">
        <f t="shared" si="144"/>
        <v>4.5768024416355593E-2</v>
      </c>
      <c r="CH1155">
        <v>2.5345499999999998E-4</v>
      </c>
      <c r="CI1155">
        <v>31.0792</v>
      </c>
      <c r="CJ1155">
        <f t="shared" si="145"/>
        <v>2415.4444997057817</v>
      </c>
      <c r="CL1155">
        <v>2.5345499999999998E-4</v>
      </c>
      <c r="CM1155">
        <v>2.0820000000000002E-2</v>
      </c>
      <c r="CN1155">
        <f t="shared" si="146"/>
        <v>1.6181096837716022</v>
      </c>
    </row>
    <row r="1156" spans="4:92" x14ac:dyDescent="0.35">
      <c r="D1156">
        <v>2.7734299999999999E-4</v>
      </c>
      <c r="E1156">
        <v>14.7515</v>
      </c>
      <c r="F1156">
        <v>12.5327</v>
      </c>
      <c r="G1156">
        <v>14.722</v>
      </c>
      <c r="I1156">
        <v>2.7734299999999999E-4</v>
      </c>
      <c r="J1156">
        <f t="shared" ref="J1156:J1219" si="147">E1156/SUM($E$3:$E$2002)/$C$3</f>
        <v>2.6181623561804524E-2</v>
      </c>
      <c r="K1156">
        <v>6.6514050002584868E-2</v>
      </c>
      <c r="L1156">
        <v>4.8401121711473025E-2</v>
      </c>
      <c r="N1156">
        <v>2.7734299999999999E-4</v>
      </c>
      <c r="O1156">
        <f t="shared" ref="O1156:O1219" si="148">F1156/SUM($F$3:$F$2002)/$C$3</f>
        <v>6.6514050002584868E-2</v>
      </c>
      <c r="Q1156">
        <v>2.7734299999999999E-4</v>
      </c>
      <c r="R1156">
        <f t="shared" ref="R1156:R1219" si="149">G1156/SUM($G$3:$G$2002)/$C$3</f>
        <v>4.8401121711473025E-2</v>
      </c>
      <c r="CH1156">
        <v>2.5673699999999999E-4</v>
      </c>
      <c r="CI1156">
        <v>30.612300000000001</v>
      </c>
      <c r="CJ1156">
        <f t="shared" si="145"/>
        <v>2379.1574962786462</v>
      </c>
      <c r="CL1156">
        <v>2.5673699999999999E-4</v>
      </c>
      <c r="CM1156">
        <v>1.831E-2</v>
      </c>
      <c r="CN1156">
        <f t="shared" si="146"/>
        <v>1.4230349812611929</v>
      </c>
    </row>
    <row r="1157" spans="4:92" x14ac:dyDescent="0.35">
      <c r="D1157">
        <v>2.8093399999999999E-4</v>
      </c>
      <c r="E1157">
        <v>14.7501</v>
      </c>
      <c r="F1157">
        <v>12.686299999999999</v>
      </c>
      <c r="G1157">
        <v>14.553699999999999</v>
      </c>
      <c r="I1157">
        <v>2.8093399999999999E-4</v>
      </c>
      <c r="J1157">
        <f t="shared" si="147"/>
        <v>2.6179138779037586E-2</v>
      </c>
      <c r="K1157">
        <v>6.7329242106472856E-2</v>
      </c>
      <c r="L1157">
        <v>4.7847806347796833E-2</v>
      </c>
      <c r="N1157">
        <v>2.8093399999999999E-4</v>
      </c>
      <c r="O1157">
        <f t="shared" si="148"/>
        <v>6.7329242106472856E-2</v>
      </c>
      <c r="Q1157">
        <v>2.8093399999999999E-4</v>
      </c>
      <c r="R1157">
        <f t="shared" si="149"/>
        <v>4.7847806347796833E-2</v>
      </c>
      <c r="CH1157">
        <v>2.6006199999999998E-4</v>
      </c>
      <c r="CI1157">
        <v>29.8919</v>
      </c>
      <c r="CJ1157">
        <f t="shared" si="145"/>
        <v>2323.1687250880091</v>
      </c>
      <c r="CL1157">
        <v>2.6006199999999998E-4</v>
      </c>
      <c r="CM1157">
        <v>2.3560000000000001E-2</v>
      </c>
      <c r="CN1157">
        <f t="shared" si="146"/>
        <v>1.8310597574283836</v>
      </c>
    </row>
    <row r="1158" spans="4:92" x14ac:dyDescent="0.35">
      <c r="D1158">
        <v>2.8457200000000003E-4</v>
      </c>
      <c r="E1158">
        <v>14.417</v>
      </c>
      <c r="F1158">
        <v>13.2285</v>
      </c>
      <c r="G1158">
        <v>14.735200000000001</v>
      </c>
      <c r="I1158">
        <v>2.8457200000000003E-4</v>
      </c>
      <c r="J1158">
        <f t="shared" si="147"/>
        <v>2.5587937964989038E-2</v>
      </c>
      <c r="K1158">
        <v>7.0206827775275399E-2</v>
      </c>
      <c r="L1158">
        <v>4.8444518994898614E-2</v>
      </c>
      <c r="N1158">
        <v>2.8457200000000003E-4</v>
      </c>
      <c r="O1158">
        <f t="shared" si="148"/>
        <v>7.0206827775275399E-2</v>
      </c>
      <c r="Q1158">
        <v>2.8457200000000003E-4</v>
      </c>
      <c r="R1158">
        <f t="shared" si="149"/>
        <v>4.8444518994898614E-2</v>
      </c>
      <c r="CH1158">
        <v>2.6342999999999999E-4</v>
      </c>
      <c r="CI1158">
        <v>30.964500000000001</v>
      </c>
      <c r="CJ1158">
        <f t="shared" si="145"/>
        <v>2406.530129834091</v>
      </c>
      <c r="CL1158">
        <v>2.6342999999999999E-4</v>
      </c>
      <c r="CM1158">
        <v>2.1080000000000002E-2</v>
      </c>
      <c r="CN1158">
        <f t="shared" si="146"/>
        <v>1.6383166250675012</v>
      </c>
    </row>
    <row r="1159" spans="4:92" x14ac:dyDescent="0.35">
      <c r="D1159">
        <v>2.88258E-4</v>
      </c>
      <c r="E1159">
        <v>14.414400000000001</v>
      </c>
      <c r="F1159">
        <v>9.8261699999999994</v>
      </c>
      <c r="G1159">
        <v>13.812200000000001</v>
      </c>
      <c r="I1159">
        <v>2.88258E-4</v>
      </c>
      <c r="J1159">
        <f t="shared" si="147"/>
        <v>2.5583323368421864E-2</v>
      </c>
      <c r="K1159">
        <v>5.2149845022532997E-2</v>
      </c>
      <c r="L1159">
        <v>4.5409996828094538E-2</v>
      </c>
      <c r="N1159">
        <v>2.88258E-4</v>
      </c>
      <c r="O1159">
        <f t="shared" si="148"/>
        <v>5.2149845022532997E-2</v>
      </c>
      <c r="Q1159">
        <v>2.88258E-4</v>
      </c>
      <c r="R1159">
        <f t="shared" si="149"/>
        <v>4.5409996828094538E-2</v>
      </c>
      <c r="CH1159">
        <v>2.6684099999999997E-4</v>
      </c>
      <c r="CI1159">
        <v>30.972200000000001</v>
      </c>
      <c r="CJ1159">
        <f t="shared" si="145"/>
        <v>2407.1285661724696</v>
      </c>
      <c r="CL1159">
        <v>2.6684099999999997E-4</v>
      </c>
      <c r="CM1159">
        <v>2.0119999999999999E-2</v>
      </c>
      <c r="CN1159">
        <f t="shared" si="146"/>
        <v>1.5637063802826432</v>
      </c>
    </row>
    <row r="1160" spans="4:92" x14ac:dyDescent="0.35">
      <c r="D1160">
        <v>2.9199100000000002E-4</v>
      </c>
      <c r="E1160">
        <v>14.896699999999999</v>
      </c>
      <c r="F1160">
        <v>12.9734</v>
      </c>
      <c r="G1160">
        <v>14.632400000000001</v>
      </c>
      <c r="I1160">
        <v>2.9199100000000002E-4</v>
      </c>
      <c r="J1160">
        <f t="shared" si="147"/>
        <v>2.643933103163295E-2</v>
      </c>
      <c r="K1160">
        <v>6.8852950785029121E-2</v>
      </c>
      <c r="L1160">
        <v>4.8106546211856942E-2</v>
      </c>
      <c r="N1160">
        <v>2.9199100000000002E-4</v>
      </c>
      <c r="O1160">
        <f t="shared" si="148"/>
        <v>6.8852950785029121E-2</v>
      </c>
      <c r="Q1160">
        <v>2.9199100000000002E-4</v>
      </c>
      <c r="R1160">
        <f t="shared" si="149"/>
        <v>4.8106546211856942E-2</v>
      </c>
      <c r="CH1160">
        <v>2.7029700000000002E-4</v>
      </c>
      <c r="CI1160">
        <v>30.214200000000002</v>
      </c>
      <c r="CJ1160">
        <f t="shared" si="145"/>
        <v>2348.2175603944256</v>
      </c>
      <c r="CL1160">
        <v>2.7029700000000002E-4</v>
      </c>
      <c r="CM1160">
        <v>2.0619999999999999E-2</v>
      </c>
      <c r="CN1160">
        <f t="shared" si="146"/>
        <v>1.6025658827747566</v>
      </c>
    </row>
    <row r="1161" spans="4:92" x14ac:dyDescent="0.35">
      <c r="D1161">
        <v>2.9577200000000003E-4</v>
      </c>
      <c r="E1161">
        <v>14.698499999999999</v>
      </c>
      <c r="F1161">
        <v>12.9976</v>
      </c>
      <c r="G1161">
        <v>14.7521</v>
      </c>
      <c r="I1161">
        <v>2.9577200000000003E-4</v>
      </c>
      <c r="J1161">
        <f t="shared" si="147"/>
        <v>2.6087556785627481E-2</v>
      </c>
      <c r="K1161">
        <v>6.8981385999313569E-2</v>
      </c>
      <c r="L1161">
        <v>4.8500080668375307E-2</v>
      </c>
      <c r="N1161">
        <v>2.9577200000000003E-4</v>
      </c>
      <c r="O1161">
        <f t="shared" si="148"/>
        <v>6.8981385999313569E-2</v>
      </c>
      <c r="Q1161">
        <v>2.9577200000000003E-4</v>
      </c>
      <c r="R1161">
        <f t="shared" si="149"/>
        <v>4.8500080668375307E-2</v>
      </c>
      <c r="CH1161">
        <v>2.7379699999999999E-4</v>
      </c>
      <c r="CI1161">
        <v>31.155799999999999</v>
      </c>
      <c r="CJ1161">
        <f t="shared" si="145"/>
        <v>2421.3977754875732</v>
      </c>
      <c r="CL1161">
        <v>2.7379699999999999E-4</v>
      </c>
      <c r="CM1161">
        <v>2.0580000000000001E-2</v>
      </c>
      <c r="CN1161">
        <f t="shared" si="146"/>
        <v>1.5994571225753877</v>
      </c>
    </row>
    <row r="1162" spans="4:92" x14ac:dyDescent="0.35">
      <c r="D1162">
        <v>2.99602E-4</v>
      </c>
      <c r="E1162">
        <v>14.6371</v>
      </c>
      <c r="F1162">
        <v>12.6297</v>
      </c>
      <c r="G1162">
        <v>14.2333</v>
      </c>
      <c r="I1162">
        <v>2.99602E-4</v>
      </c>
      <c r="J1162">
        <f t="shared" si="147"/>
        <v>2.5978581312848796E-2</v>
      </c>
      <c r="K1162">
        <v>6.7028852307774556E-2</v>
      </c>
      <c r="L1162">
        <v>4.6794435922830391E-2</v>
      </c>
      <c r="N1162">
        <v>2.99602E-4</v>
      </c>
      <c r="O1162">
        <f t="shared" si="148"/>
        <v>6.7028852307774556E-2</v>
      </c>
      <c r="Q1162">
        <v>2.99602E-4</v>
      </c>
      <c r="R1162">
        <f t="shared" si="149"/>
        <v>4.6794435922830391E-2</v>
      </c>
      <c r="CH1162">
        <v>2.7734299999999999E-4</v>
      </c>
      <c r="CI1162">
        <v>30.717099999999999</v>
      </c>
      <c r="CJ1162">
        <f t="shared" ref="CJ1162:CJ1225" si="150">CI1162/$CG$9</f>
        <v>2387.3024480009931</v>
      </c>
      <c r="CL1162">
        <v>2.7734299999999999E-4</v>
      </c>
      <c r="CM1162">
        <v>1.8839999999999999E-2</v>
      </c>
      <c r="CN1162">
        <f t="shared" ref="CN1162:CN1225" si="151">CM1162/$CG$9</f>
        <v>1.4642260539028329</v>
      </c>
    </row>
    <row r="1163" spans="4:92" x14ac:dyDescent="0.35">
      <c r="D1163">
        <v>3.0348199999999999E-4</v>
      </c>
      <c r="E1163">
        <v>14.446099999999999</v>
      </c>
      <c r="F1163">
        <v>12.7174</v>
      </c>
      <c r="G1163">
        <v>14.6691</v>
      </c>
      <c r="I1163">
        <v>3.0348199999999999E-4</v>
      </c>
      <c r="J1163">
        <f t="shared" si="147"/>
        <v>2.5639585949644737E-2</v>
      </c>
      <c r="K1163">
        <v>6.7494297278549137E-2</v>
      </c>
      <c r="L1163">
        <v>4.8227203810472019E-2</v>
      </c>
      <c r="N1163">
        <v>3.0348199999999999E-4</v>
      </c>
      <c r="O1163">
        <f t="shared" si="148"/>
        <v>6.7494297278549137E-2</v>
      </c>
      <c r="Q1163">
        <v>3.0348199999999999E-4</v>
      </c>
      <c r="R1163">
        <f t="shared" si="149"/>
        <v>4.8227203810472019E-2</v>
      </c>
      <c r="CH1163">
        <v>2.8093399999999999E-4</v>
      </c>
      <c r="CI1163">
        <v>30.7315</v>
      </c>
      <c r="CJ1163">
        <f t="shared" si="150"/>
        <v>2388.421601672766</v>
      </c>
      <c r="CL1163">
        <v>2.8093399999999999E-4</v>
      </c>
      <c r="CM1163">
        <v>2.0920000000000001E-2</v>
      </c>
      <c r="CN1163">
        <f t="shared" si="151"/>
        <v>1.6258815842700247</v>
      </c>
    </row>
    <row r="1164" spans="4:92" x14ac:dyDescent="0.35">
      <c r="D1164">
        <v>3.0741200000000002E-4</v>
      </c>
      <c r="E1164">
        <v>14.8201</v>
      </c>
      <c r="F1164">
        <v>12.5266</v>
      </c>
      <c r="G1164">
        <v>14.612399999999999</v>
      </c>
      <c r="I1164">
        <v>3.0741200000000002E-4</v>
      </c>
      <c r="J1164">
        <f t="shared" si="147"/>
        <v>2.6303377917384619E-2</v>
      </c>
      <c r="K1164">
        <v>6.6481675837000778E-2</v>
      </c>
      <c r="L1164">
        <v>4.8040792752121204E-2</v>
      </c>
      <c r="N1164">
        <v>3.0741200000000002E-4</v>
      </c>
      <c r="O1164">
        <f t="shared" si="148"/>
        <v>6.6481675837000778E-2</v>
      </c>
      <c r="Q1164">
        <v>3.0741200000000002E-4</v>
      </c>
      <c r="R1164">
        <f t="shared" si="149"/>
        <v>4.8040792752121204E-2</v>
      </c>
      <c r="CH1164">
        <v>2.8457200000000003E-4</v>
      </c>
      <c r="CI1164">
        <v>31.414899999999999</v>
      </c>
      <c r="CJ1164">
        <f t="shared" si="150"/>
        <v>2441.5347696789868</v>
      </c>
      <c r="CL1164">
        <v>2.8457200000000003E-4</v>
      </c>
      <c r="CM1164">
        <v>2.9020000000000001E-2</v>
      </c>
      <c r="CN1164">
        <f t="shared" si="151"/>
        <v>2.2554055246422617</v>
      </c>
    </row>
    <row r="1165" spans="4:92" x14ac:dyDescent="0.35">
      <c r="D1165">
        <v>3.1139299999999998E-4</v>
      </c>
      <c r="E1165">
        <v>14.507</v>
      </c>
      <c r="F1165">
        <v>12.947699999999999</v>
      </c>
      <c r="G1165">
        <v>14.4842</v>
      </c>
      <c r="I1165">
        <v>3.1139299999999998E-4</v>
      </c>
      <c r="J1165">
        <f t="shared" si="147"/>
        <v>2.574767400000666E-2</v>
      </c>
      <c r="K1165">
        <v>6.8716554710355149E-2</v>
      </c>
      <c r="L1165">
        <v>4.7619313075215164E-2</v>
      </c>
      <c r="N1165">
        <v>3.1139299999999998E-4</v>
      </c>
      <c r="O1165">
        <f t="shared" si="148"/>
        <v>6.8716554710355149E-2</v>
      </c>
      <c r="Q1165">
        <v>3.1139299999999998E-4</v>
      </c>
      <c r="R1165">
        <f t="shared" si="149"/>
        <v>4.7619313075215164E-2</v>
      </c>
      <c r="CH1165">
        <v>2.88258E-4</v>
      </c>
      <c r="CI1165">
        <v>30.0853</v>
      </c>
      <c r="CJ1165">
        <f t="shared" si="150"/>
        <v>2338.1995806519585</v>
      </c>
      <c r="CL1165">
        <v>2.88258E-4</v>
      </c>
      <c r="CM1165">
        <v>1.9019999999999999E-2</v>
      </c>
      <c r="CN1165">
        <f t="shared" si="151"/>
        <v>1.4782154747999936</v>
      </c>
    </row>
    <row r="1166" spans="4:92" x14ac:dyDescent="0.35">
      <c r="D1166">
        <v>3.15426E-4</v>
      </c>
      <c r="E1166">
        <v>14.6188</v>
      </c>
      <c r="F1166">
        <v>12.9169</v>
      </c>
      <c r="G1166">
        <v>14.3819</v>
      </c>
      <c r="I1166">
        <v>3.15426E-4</v>
      </c>
      <c r="J1166">
        <f t="shared" si="147"/>
        <v>2.5946101652395213E-2</v>
      </c>
      <c r="K1166">
        <v>6.8553091710356784E-2</v>
      </c>
      <c r="L1166">
        <v>4.728298412866689E-2</v>
      </c>
      <c r="N1166">
        <v>3.15426E-4</v>
      </c>
      <c r="O1166">
        <f t="shared" si="148"/>
        <v>6.8553091710356784E-2</v>
      </c>
      <c r="Q1166">
        <v>3.15426E-4</v>
      </c>
      <c r="R1166">
        <f t="shared" si="149"/>
        <v>4.728298412866689E-2</v>
      </c>
      <c r="CH1166">
        <v>2.9199100000000002E-4</v>
      </c>
      <c r="CI1166">
        <v>30.962499999999999</v>
      </c>
      <c r="CJ1166">
        <f t="shared" si="150"/>
        <v>2406.3746918241222</v>
      </c>
      <c r="CL1166">
        <v>2.9199100000000002E-4</v>
      </c>
      <c r="CM1166">
        <v>1.9630000000000002E-2</v>
      </c>
      <c r="CN1166">
        <f t="shared" si="151"/>
        <v>1.5256240678403723</v>
      </c>
    </row>
    <row r="1167" spans="4:92" x14ac:dyDescent="0.35">
      <c r="D1167">
        <v>3.1951000000000001E-4</v>
      </c>
      <c r="E1167">
        <v>14.693199999999999</v>
      </c>
      <c r="F1167">
        <v>12.804500000000001</v>
      </c>
      <c r="G1167">
        <v>14.4602</v>
      </c>
      <c r="I1167">
        <v>3.1951000000000001E-4</v>
      </c>
      <c r="J1167">
        <f t="shared" si="147"/>
        <v>2.6078150108009776E-2</v>
      </c>
      <c r="K1167">
        <v>6.7956557905167927E-2</v>
      </c>
      <c r="L1167">
        <v>4.7540408923532285E-2</v>
      </c>
      <c r="N1167">
        <v>3.1951000000000001E-4</v>
      </c>
      <c r="O1167">
        <f t="shared" si="148"/>
        <v>6.7956557905167927E-2</v>
      </c>
      <c r="Q1167">
        <v>3.1951000000000001E-4</v>
      </c>
      <c r="R1167">
        <f t="shared" si="149"/>
        <v>4.7540408923532285E-2</v>
      </c>
      <c r="CH1167">
        <v>2.9577200000000003E-4</v>
      </c>
      <c r="CI1167">
        <v>31.0672</v>
      </c>
      <c r="CJ1167">
        <f t="shared" si="150"/>
        <v>2414.511871645971</v>
      </c>
      <c r="CL1167">
        <v>2.9577200000000003E-4</v>
      </c>
      <c r="CM1167">
        <v>1.8540000000000001E-2</v>
      </c>
      <c r="CN1167">
        <f t="shared" si="151"/>
        <v>1.440910352407565</v>
      </c>
    </row>
    <row r="1168" spans="4:92" x14ac:dyDescent="0.35">
      <c r="D1168">
        <v>3.23648E-4</v>
      </c>
      <c r="E1168">
        <v>14.609500000000001</v>
      </c>
      <c r="F1168">
        <v>12.5695</v>
      </c>
      <c r="G1168">
        <v>14.696300000000001</v>
      </c>
      <c r="I1168">
        <v>3.23648E-4</v>
      </c>
      <c r="J1168">
        <f t="shared" si="147"/>
        <v>2.5929595595443392E-2</v>
      </c>
      <c r="K1168">
        <v>6.670935644414136E-2</v>
      </c>
      <c r="L1168">
        <v>4.8316628515712612E-2</v>
      </c>
      <c r="N1168">
        <v>3.23648E-4</v>
      </c>
      <c r="O1168">
        <f t="shared" si="148"/>
        <v>6.670935644414136E-2</v>
      </c>
      <c r="Q1168">
        <v>3.23648E-4</v>
      </c>
      <c r="R1168">
        <f t="shared" si="149"/>
        <v>4.8316628515712612E-2</v>
      </c>
      <c r="CH1168">
        <v>2.99602E-4</v>
      </c>
      <c r="CI1168">
        <v>30.302</v>
      </c>
      <c r="CJ1168">
        <f t="shared" si="150"/>
        <v>2355.0412890320404</v>
      </c>
      <c r="CL1168">
        <v>2.99602E-4</v>
      </c>
      <c r="CM1168">
        <v>2.2519999999999998E-2</v>
      </c>
      <c r="CN1168">
        <f t="shared" si="151"/>
        <v>1.7502319922447875</v>
      </c>
    </row>
    <row r="1169" spans="4:92" x14ac:dyDescent="0.35">
      <c r="D1169">
        <v>3.2783900000000002E-4</v>
      </c>
      <c r="E1169">
        <v>14.402699999999999</v>
      </c>
      <c r="F1169">
        <v>13.0107</v>
      </c>
      <c r="G1169">
        <v>14.247299999999999</v>
      </c>
      <c r="I1169">
        <v>3.2783900000000002E-4</v>
      </c>
      <c r="J1169">
        <f t="shared" si="147"/>
        <v>2.5562557683869572E-2</v>
      </c>
      <c r="K1169">
        <v>6.9050910846715469E-2</v>
      </c>
      <c r="L1169">
        <v>4.6840463344645401E-2</v>
      </c>
      <c r="N1169">
        <v>3.2783900000000002E-4</v>
      </c>
      <c r="O1169">
        <f t="shared" si="148"/>
        <v>6.9050910846715469E-2</v>
      </c>
      <c r="Q1169">
        <v>3.2783900000000002E-4</v>
      </c>
      <c r="R1169">
        <f t="shared" si="149"/>
        <v>4.6840463344645401E-2</v>
      </c>
      <c r="CH1169">
        <v>3.0348199999999999E-4</v>
      </c>
      <c r="CI1169">
        <v>30.9344</v>
      </c>
      <c r="CJ1169">
        <f t="shared" si="150"/>
        <v>2404.1907877840658</v>
      </c>
      <c r="CL1169">
        <v>3.0348199999999999E-4</v>
      </c>
      <c r="CM1169">
        <v>2.1340000000000001E-2</v>
      </c>
      <c r="CN1169">
        <f t="shared" si="151"/>
        <v>1.6585235663634001</v>
      </c>
    </row>
    <row r="1170" spans="4:92" x14ac:dyDescent="0.35">
      <c r="D1170">
        <v>3.3208499999999998E-4</v>
      </c>
      <c r="E1170">
        <v>14.7697</v>
      </c>
      <c r="F1170">
        <v>12.607799999999999</v>
      </c>
      <c r="G1170">
        <v>14.5662</v>
      </c>
      <c r="I1170">
        <v>3.3208499999999998E-4</v>
      </c>
      <c r="J1170">
        <f t="shared" si="147"/>
        <v>2.6213925737774754E-2</v>
      </c>
      <c r="K1170">
        <v>6.6912623746087391E-2</v>
      </c>
      <c r="L1170">
        <v>4.7888902260131663E-2</v>
      </c>
      <c r="N1170">
        <v>3.3208499999999998E-4</v>
      </c>
      <c r="O1170">
        <f t="shared" si="148"/>
        <v>6.6912623746087391E-2</v>
      </c>
      <c r="Q1170">
        <v>3.3208499999999998E-4</v>
      </c>
      <c r="R1170">
        <f t="shared" si="149"/>
        <v>4.7888902260131663E-2</v>
      </c>
      <c r="CH1170">
        <v>3.0741200000000002E-4</v>
      </c>
      <c r="CI1170">
        <v>30.193899999999999</v>
      </c>
      <c r="CJ1170">
        <f t="shared" si="150"/>
        <v>2346.6398645932454</v>
      </c>
      <c r="CL1170">
        <v>3.0741200000000002E-4</v>
      </c>
      <c r="CM1170">
        <v>2.639E-2</v>
      </c>
      <c r="CN1170">
        <f t="shared" si="151"/>
        <v>2.0510045415337452</v>
      </c>
    </row>
    <row r="1171" spans="4:92" x14ac:dyDescent="0.35">
      <c r="D1171">
        <v>3.3638599999999999E-4</v>
      </c>
      <c r="E1171">
        <v>14.8507</v>
      </c>
      <c r="F1171">
        <v>13.018700000000001</v>
      </c>
      <c r="G1171">
        <v>14.6958</v>
      </c>
      <c r="I1171">
        <v>3.3638599999999999E-4</v>
      </c>
      <c r="J1171">
        <f t="shared" si="147"/>
        <v>2.635768816929061E-2</v>
      </c>
      <c r="K1171">
        <v>6.9093368768792976E-2</v>
      </c>
      <c r="L1171">
        <v>4.8314984679219221E-2</v>
      </c>
      <c r="N1171">
        <v>3.3638599999999999E-4</v>
      </c>
      <c r="O1171">
        <f t="shared" si="148"/>
        <v>6.9093368768792976E-2</v>
      </c>
      <c r="Q1171">
        <v>3.3638599999999999E-4</v>
      </c>
      <c r="R1171">
        <f t="shared" si="149"/>
        <v>4.8314984679219221E-2</v>
      </c>
      <c r="CH1171">
        <v>3.1139299999999998E-4</v>
      </c>
      <c r="CI1171">
        <v>31.863499999999998</v>
      </c>
      <c r="CJ1171">
        <f t="shared" si="150"/>
        <v>2476.3995153149108</v>
      </c>
      <c r="CL1171">
        <v>3.1139299999999998E-4</v>
      </c>
      <c r="CM1171">
        <v>1.9400000000000001E-2</v>
      </c>
      <c r="CN1171">
        <f t="shared" si="151"/>
        <v>1.5077486966940001</v>
      </c>
    </row>
    <row r="1172" spans="4:92" x14ac:dyDescent="0.35">
      <c r="D1172">
        <v>3.40742E-4</v>
      </c>
      <c r="E1172">
        <v>15.114000000000001</v>
      </c>
      <c r="F1172">
        <v>16.3217</v>
      </c>
      <c r="G1172">
        <v>15.209099999999999</v>
      </c>
      <c r="I1172">
        <v>3.40742E-4</v>
      </c>
      <c r="J1172">
        <f t="shared" si="147"/>
        <v>2.6825004813958823E-2</v>
      </c>
      <c r="K1172">
        <v>8.6623183346540608E-2</v>
      </c>
      <c r="L1172">
        <v>5.0002547223336802E-2</v>
      </c>
      <c r="N1172">
        <v>3.40742E-4</v>
      </c>
      <c r="O1172">
        <f t="shared" si="148"/>
        <v>8.6623183346540608E-2</v>
      </c>
      <c r="Q1172">
        <v>3.40742E-4</v>
      </c>
      <c r="R1172">
        <f t="shared" si="149"/>
        <v>5.0002547223336802E-2</v>
      </c>
      <c r="CH1172">
        <v>3.15426E-4</v>
      </c>
      <c r="CI1172">
        <v>31.3962</v>
      </c>
      <c r="CJ1172">
        <f t="shared" si="150"/>
        <v>2440.0814242857814</v>
      </c>
      <c r="CL1172">
        <v>3.15426E-4</v>
      </c>
      <c r="CM1172">
        <v>2.1870000000000001E-2</v>
      </c>
      <c r="CN1172">
        <f t="shared" si="151"/>
        <v>1.6997146390050402</v>
      </c>
    </row>
    <row r="1173" spans="4:92" x14ac:dyDescent="0.35">
      <c r="D1173">
        <v>3.4515400000000002E-4</v>
      </c>
      <c r="E1173">
        <v>14.6282</v>
      </c>
      <c r="F1173">
        <v>9.4304199999999998</v>
      </c>
      <c r="G1173">
        <v>13.779500000000001</v>
      </c>
      <c r="I1173">
        <v>3.4515400000000002E-4</v>
      </c>
      <c r="J1173">
        <f t="shared" si="147"/>
        <v>2.5962785193830388E-2</v>
      </c>
      <c r="K1173">
        <v>5.0049504689761694E-2</v>
      </c>
      <c r="L1173">
        <v>4.5302489921426617E-2</v>
      </c>
      <c r="N1173">
        <v>3.4515400000000002E-4</v>
      </c>
      <c r="O1173">
        <f t="shared" si="148"/>
        <v>5.0049504689761694E-2</v>
      </c>
      <c r="Q1173">
        <v>3.4515400000000002E-4</v>
      </c>
      <c r="R1173">
        <f t="shared" si="149"/>
        <v>4.5302489921426617E-2</v>
      </c>
      <c r="CH1173">
        <v>3.1951000000000001E-4</v>
      </c>
      <c r="CI1173">
        <v>30.732600000000001</v>
      </c>
      <c r="CJ1173">
        <f t="shared" si="150"/>
        <v>2388.5070925782488</v>
      </c>
      <c r="CL1173">
        <v>3.1951000000000001E-4</v>
      </c>
      <c r="CM1173">
        <v>1.9290000000000002E-2</v>
      </c>
      <c r="CN1173">
        <f t="shared" si="151"/>
        <v>1.4991996061457351</v>
      </c>
    </row>
    <row r="1174" spans="4:92" x14ac:dyDescent="0.35">
      <c r="D1174">
        <v>3.4962399999999999E-4</v>
      </c>
      <c r="E1174">
        <v>14.6991</v>
      </c>
      <c r="F1174">
        <v>12.553000000000001</v>
      </c>
      <c r="G1174">
        <v>14.4292</v>
      </c>
      <c r="I1174">
        <v>3.4962399999999999E-4</v>
      </c>
      <c r="J1174">
        <f t="shared" si="147"/>
        <v>2.6088621692527601E-2</v>
      </c>
      <c r="K1174">
        <v>6.6621786979856518E-2</v>
      </c>
      <c r="L1174">
        <v>4.7438491060941897E-2</v>
      </c>
      <c r="N1174">
        <v>3.4962399999999999E-4</v>
      </c>
      <c r="O1174">
        <f t="shared" si="148"/>
        <v>6.6621786979856518E-2</v>
      </c>
      <c r="Q1174">
        <v>3.4962399999999999E-4</v>
      </c>
      <c r="R1174">
        <f t="shared" si="149"/>
        <v>4.7438491060941897E-2</v>
      </c>
      <c r="CH1174">
        <v>3.23648E-4</v>
      </c>
      <c r="CI1174">
        <v>30.8261</v>
      </c>
      <c r="CJ1174">
        <f t="shared" si="150"/>
        <v>2395.7738195442739</v>
      </c>
      <c r="CL1174">
        <v>3.23648E-4</v>
      </c>
      <c r="CM1174">
        <v>2.112E-2</v>
      </c>
      <c r="CN1174">
        <f t="shared" si="151"/>
        <v>1.6414253852668701</v>
      </c>
    </row>
    <row r="1175" spans="4:92" x14ac:dyDescent="0.35">
      <c r="D1175">
        <v>3.5415199999999999E-4</v>
      </c>
      <c r="E1175">
        <v>14.9298</v>
      </c>
      <c r="F1175">
        <v>13.1662</v>
      </c>
      <c r="G1175">
        <v>14.526300000000001</v>
      </c>
      <c r="I1175">
        <v>3.5415199999999999E-4</v>
      </c>
      <c r="J1175">
        <f t="shared" si="147"/>
        <v>2.6498078395622762E-2</v>
      </c>
      <c r="K1175">
        <v>6.987618670709686E-2</v>
      </c>
      <c r="L1175">
        <v>4.7757724107958879E-2</v>
      </c>
      <c r="N1175">
        <v>3.5415199999999999E-4</v>
      </c>
      <c r="O1175">
        <f t="shared" si="148"/>
        <v>6.987618670709686E-2</v>
      </c>
      <c r="Q1175">
        <v>3.5415199999999999E-4</v>
      </c>
      <c r="R1175">
        <f t="shared" si="149"/>
        <v>4.7757724107958879E-2</v>
      </c>
      <c r="CH1175">
        <v>3.2783900000000002E-4</v>
      </c>
      <c r="CI1175">
        <v>30.744599999999998</v>
      </c>
      <c r="CJ1175">
        <f t="shared" si="150"/>
        <v>2389.439720638059</v>
      </c>
      <c r="CL1175">
        <v>3.2783900000000002E-4</v>
      </c>
      <c r="CM1175">
        <v>2.3630000000000002E-2</v>
      </c>
      <c r="CN1175">
        <f t="shared" si="151"/>
        <v>1.8365000877772795</v>
      </c>
    </row>
    <row r="1176" spans="4:92" x14ac:dyDescent="0.35">
      <c r="D1176">
        <v>3.5873799999999999E-4</v>
      </c>
      <c r="E1176">
        <v>14.4633</v>
      </c>
      <c r="F1176">
        <v>13.644399999999999</v>
      </c>
      <c r="G1176">
        <v>14.6767</v>
      </c>
      <c r="I1176">
        <v>3.5873799999999999E-4</v>
      </c>
      <c r="J1176">
        <f t="shared" si="147"/>
        <v>2.5670113280781438E-2</v>
      </c>
      <c r="K1176">
        <v>7.24141089992794E-2</v>
      </c>
      <c r="L1176">
        <v>4.8252190125171596E-2</v>
      </c>
      <c r="N1176">
        <v>3.5873799999999999E-4</v>
      </c>
      <c r="O1176">
        <f t="shared" si="148"/>
        <v>7.24141089992794E-2</v>
      </c>
      <c r="Q1176">
        <v>3.5873799999999999E-4</v>
      </c>
      <c r="R1176">
        <f t="shared" si="149"/>
        <v>4.8252190125171596E-2</v>
      </c>
      <c r="CH1176">
        <v>3.3208499999999998E-4</v>
      </c>
      <c r="CI1176">
        <v>29.722799999999999</v>
      </c>
      <c r="CJ1176">
        <f t="shared" si="150"/>
        <v>2310.0264413451764</v>
      </c>
      <c r="CL1176">
        <v>3.3208499999999998E-4</v>
      </c>
      <c r="CM1176">
        <v>2.239E-2</v>
      </c>
      <c r="CN1176">
        <f t="shared" si="151"/>
        <v>1.7401285215968381</v>
      </c>
    </row>
    <row r="1177" spans="4:92" x14ac:dyDescent="0.35">
      <c r="D1177">
        <v>3.6338400000000002E-4</v>
      </c>
      <c r="E1177">
        <v>14.7521</v>
      </c>
      <c r="F1177">
        <v>13.4763</v>
      </c>
      <c r="G1177">
        <v>14.739100000000001</v>
      </c>
      <c r="I1177">
        <v>3.6338400000000002E-4</v>
      </c>
      <c r="J1177">
        <f t="shared" si="147"/>
        <v>2.6182688468704644E-2</v>
      </c>
      <c r="K1177">
        <v>7.1521961911625936E-2</v>
      </c>
      <c r="L1177">
        <v>4.8457340919547079E-2</v>
      </c>
      <c r="N1177">
        <v>3.6338400000000002E-4</v>
      </c>
      <c r="O1177">
        <f t="shared" si="148"/>
        <v>7.1521961911625936E-2</v>
      </c>
      <c r="Q1177">
        <v>3.6338400000000002E-4</v>
      </c>
      <c r="R1177">
        <f t="shared" si="149"/>
        <v>4.8457340919547079E-2</v>
      </c>
      <c r="CH1177">
        <v>3.3638599999999999E-4</v>
      </c>
      <c r="CI1177">
        <v>31.847300000000001</v>
      </c>
      <c r="CJ1177">
        <f t="shared" si="150"/>
        <v>2475.1404674341661</v>
      </c>
      <c r="CL1177">
        <v>3.3638599999999999E-4</v>
      </c>
      <c r="CM1177">
        <v>1.9529999999999999E-2</v>
      </c>
      <c r="CN1177">
        <f t="shared" si="151"/>
        <v>1.5178521673419494</v>
      </c>
    </row>
    <row r="1178" spans="4:92" x14ac:dyDescent="0.35">
      <c r="D1178">
        <v>3.6809000000000001E-4</v>
      </c>
      <c r="E1178">
        <v>14.6496</v>
      </c>
      <c r="F1178">
        <v>13.768000000000001</v>
      </c>
      <c r="G1178">
        <v>14.5535</v>
      </c>
      <c r="I1178">
        <v>3.6809000000000001E-4</v>
      </c>
      <c r="J1178">
        <f t="shared" si="147"/>
        <v>2.6000766873267907E-2</v>
      </c>
      <c r="K1178">
        <v>7.3070083895376767E-2</v>
      </c>
      <c r="L1178">
        <v>4.7847148813199472E-2</v>
      </c>
      <c r="N1178">
        <v>3.6809000000000001E-4</v>
      </c>
      <c r="O1178">
        <f t="shared" si="148"/>
        <v>7.3070083895376767E-2</v>
      </c>
      <c r="Q1178">
        <v>3.6809000000000001E-4</v>
      </c>
      <c r="R1178">
        <f t="shared" si="149"/>
        <v>4.7847148813199472E-2</v>
      </c>
      <c r="CH1178">
        <v>3.40742E-4</v>
      </c>
      <c r="CI1178">
        <v>32.035299999999999</v>
      </c>
      <c r="CJ1178">
        <f t="shared" si="150"/>
        <v>2489.7516403712007</v>
      </c>
      <c r="CL1178">
        <v>3.40742E-4</v>
      </c>
      <c r="CM1178">
        <v>2.103E-2</v>
      </c>
      <c r="CN1178">
        <f t="shared" si="151"/>
        <v>1.6344306748182897</v>
      </c>
    </row>
    <row r="1179" spans="4:92" x14ac:dyDescent="0.35">
      <c r="D1179">
        <v>3.7285600000000002E-4</v>
      </c>
      <c r="E1179">
        <v>14.463699999999999</v>
      </c>
      <c r="F1179">
        <v>13.3536</v>
      </c>
      <c r="G1179">
        <v>14.464499999999999</v>
      </c>
      <c r="I1179">
        <v>3.7285600000000002E-4</v>
      </c>
      <c r="J1179">
        <f t="shared" si="147"/>
        <v>2.5670823218714851E-2</v>
      </c>
      <c r="K1179">
        <v>7.087076353176229E-2</v>
      </c>
      <c r="L1179">
        <v>4.7554545917375457E-2</v>
      </c>
      <c r="N1179">
        <v>3.7285600000000002E-4</v>
      </c>
      <c r="O1179">
        <f t="shared" si="148"/>
        <v>7.087076353176229E-2</v>
      </c>
      <c r="Q1179">
        <v>3.7285600000000002E-4</v>
      </c>
      <c r="R1179">
        <f t="shared" si="149"/>
        <v>4.7554545917375457E-2</v>
      </c>
      <c r="CH1179">
        <v>3.4515400000000002E-4</v>
      </c>
      <c r="CI1179">
        <v>28.489899999999999</v>
      </c>
      <c r="CJ1179">
        <f t="shared" si="150"/>
        <v>2214.2066801001233</v>
      </c>
      <c r="CL1179">
        <v>3.4515400000000002E-4</v>
      </c>
      <c r="CM1179">
        <v>2.2239999999999999E-2</v>
      </c>
      <c r="CN1179">
        <f t="shared" si="151"/>
        <v>1.7284706708492041</v>
      </c>
    </row>
    <row r="1180" spans="4:92" x14ac:dyDescent="0.35">
      <c r="D1180">
        <v>3.77685E-4</v>
      </c>
      <c r="E1180">
        <v>14.523999999999999</v>
      </c>
      <c r="F1180">
        <v>13.6784</v>
      </c>
      <c r="G1180">
        <v>14.389900000000001</v>
      </c>
      <c r="I1180">
        <v>3.77685E-4</v>
      </c>
      <c r="J1180">
        <f t="shared" si="147"/>
        <v>2.577784636217665E-2</v>
      </c>
      <c r="K1180">
        <v>7.2594555168108768E-2</v>
      </c>
      <c r="L1180">
        <v>4.7309285512561181E-2</v>
      </c>
      <c r="N1180">
        <v>3.77685E-4</v>
      </c>
      <c r="O1180">
        <f t="shared" si="148"/>
        <v>7.2594555168108768E-2</v>
      </c>
      <c r="Q1180">
        <v>3.77685E-4</v>
      </c>
      <c r="R1180">
        <f t="shared" si="149"/>
        <v>4.7309285512561181E-2</v>
      </c>
      <c r="CH1180">
        <v>3.4962399999999999E-4</v>
      </c>
      <c r="CI1180">
        <v>29.7698</v>
      </c>
      <c r="CJ1180">
        <f t="shared" si="150"/>
        <v>2313.6792345794352</v>
      </c>
      <c r="CL1180">
        <v>3.4962399999999999E-4</v>
      </c>
      <c r="CM1180">
        <v>2.206E-2</v>
      </c>
      <c r="CN1180">
        <f t="shared" si="151"/>
        <v>1.7144812499520432</v>
      </c>
    </row>
    <row r="1181" spans="4:92" x14ac:dyDescent="0.35">
      <c r="D1181">
        <v>3.8257599999999998E-4</v>
      </c>
      <c r="E1181">
        <v>14.795400000000001</v>
      </c>
      <c r="F1181">
        <v>13.8873</v>
      </c>
      <c r="G1181">
        <v>14.6434</v>
      </c>
      <c r="I1181">
        <v>3.8257599999999998E-4</v>
      </c>
      <c r="J1181">
        <f t="shared" si="147"/>
        <v>2.6259539249996453E-2</v>
      </c>
      <c r="K1181">
        <v>7.3703237658357484E-2</v>
      </c>
      <c r="L1181">
        <v>4.8142710614711599E-2</v>
      </c>
      <c r="N1181">
        <v>3.8257599999999998E-4</v>
      </c>
      <c r="O1181">
        <f t="shared" si="148"/>
        <v>7.3703237658357484E-2</v>
      </c>
      <c r="Q1181">
        <v>3.8257599999999998E-4</v>
      </c>
      <c r="R1181">
        <f t="shared" si="149"/>
        <v>4.8142710614711599E-2</v>
      </c>
      <c r="CH1181">
        <v>3.5415199999999999E-4</v>
      </c>
      <c r="CI1181">
        <v>31.371700000000001</v>
      </c>
      <c r="CJ1181">
        <f t="shared" si="150"/>
        <v>2438.1773086636681</v>
      </c>
      <c r="CL1181">
        <v>3.5415199999999999E-4</v>
      </c>
      <c r="CM1181">
        <v>2.3009999999999999E-2</v>
      </c>
      <c r="CN1181">
        <f t="shared" si="151"/>
        <v>1.7883143046870587</v>
      </c>
    </row>
    <row r="1182" spans="4:92" x14ac:dyDescent="0.35">
      <c r="D1182">
        <v>3.8753000000000003E-4</v>
      </c>
      <c r="E1182">
        <v>14.404999999999999</v>
      </c>
      <c r="F1182">
        <v>13.6106</v>
      </c>
      <c r="G1182">
        <v>14.8287</v>
      </c>
      <c r="I1182">
        <v>3.8753000000000003E-4</v>
      </c>
      <c r="J1182">
        <f t="shared" si="147"/>
        <v>2.556663982698669E-2</v>
      </c>
      <c r="K1182">
        <v>7.2234724278501972E-2</v>
      </c>
      <c r="L1182">
        <v>4.8751916419163162E-2</v>
      </c>
      <c r="N1182">
        <v>3.8753000000000003E-4</v>
      </c>
      <c r="O1182">
        <f t="shared" si="148"/>
        <v>7.2234724278501972E-2</v>
      </c>
      <c r="Q1182">
        <v>3.8753000000000003E-4</v>
      </c>
      <c r="R1182">
        <f t="shared" si="149"/>
        <v>4.8751916419163162E-2</v>
      </c>
      <c r="CH1182">
        <v>3.5873799999999999E-4</v>
      </c>
      <c r="CI1182">
        <v>31.078199999999999</v>
      </c>
      <c r="CJ1182">
        <f t="shared" si="150"/>
        <v>2415.3667807007973</v>
      </c>
      <c r="CL1182">
        <v>3.5873799999999999E-4</v>
      </c>
      <c r="CM1182">
        <v>1.992E-2</v>
      </c>
      <c r="CN1182">
        <f t="shared" si="151"/>
        <v>1.548162579285798</v>
      </c>
    </row>
    <row r="1183" spans="4:92" x14ac:dyDescent="0.35">
      <c r="D1183">
        <v>3.9254900000000001E-4</v>
      </c>
      <c r="E1183">
        <v>14.6447</v>
      </c>
      <c r="F1183">
        <v>13.248100000000001</v>
      </c>
      <c r="G1183">
        <v>14.5085</v>
      </c>
      <c r="I1183">
        <v>3.9254900000000001E-4</v>
      </c>
      <c r="J1183">
        <f t="shared" si="147"/>
        <v>2.5992070133583619E-2</v>
      </c>
      <c r="K1183">
        <v>7.0310849684365281E-2</v>
      </c>
      <c r="L1183">
        <v>4.769920352879408E-2</v>
      </c>
      <c r="N1183">
        <v>3.9254900000000001E-4</v>
      </c>
      <c r="O1183">
        <f t="shared" si="148"/>
        <v>7.0310849684365281E-2</v>
      </c>
      <c r="Q1183">
        <v>3.9254900000000001E-4</v>
      </c>
      <c r="R1183">
        <f t="shared" si="149"/>
        <v>4.769920352879408E-2</v>
      </c>
      <c r="CH1183">
        <v>3.6338400000000002E-4</v>
      </c>
      <c r="CI1183">
        <v>31.707799999999999</v>
      </c>
      <c r="CJ1183">
        <f t="shared" si="150"/>
        <v>2464.2986662388666</v>
      </c>
      <c r="CL1183">
        <v>3.6338400000000002E-4</v>
      </c>
      <c r="CM1183">
        <v>1.9779999999999999E-2</v>
      </c>
      <c r="CN1183">
        <f t="shared" si="151"/>
        <v>1.537281918588006</v>
      </c>
    </row>
    <row r="1184" spans="4:92" x14ac:dyDescent="0.35">
      <c r="D1184">
        <v>3.9763299999999999E-4</v>
      </c>
      <c r="E1184">
        <v>14.6736</v>
      </c>
      <c r="F1184">
        <v>13.188800000000001</v>
      </c>
      <c r="G1184">
        <v>14.539099999999999</v>
      </c>
      <c r="I1184">
        <v>3.9763299999999999E-4</v>
      </c>
      <c r="J1184">
        <f t="shared" si="147"/>
        <v>2.6043363149272608E-2</v>
      </c>
      <c r="K1184">
        <v>6.9996130336965806E-2</v>
      </c>
      <c r="L1184">
        <v>4.7799806322189747E-2</v>
      </c>
      <c r="N1184">
        <v>3.9763299999999999E-4</v>
      </c>
      <c r="O1184">
        <f t="shared" si="148"/>
        <v>6.9996130336965806E-2</v>
      </c>
      <c r="Q1184">
        <v>3.9763299999999999E-4</v>
      </c>
      <c r="R1184">
        <f t="shared" si="149"/>
        <v>4.7799806322189747E-2</v>
      </c>
      <c r="CH1184">
        <v>3.6809000000000001E-4</v>
      </c>
      <c r="CI1184">
        <v>30.550799999999999</v>
      </c>
      <c r="CJ1184">
        <f t="shared" si="150"/>
        <v>2374.3777774721161</v>
      </c>
      <c r="CL1184">
        <v>3.6809000000000001E-4</v>
      </c>
      <c r="CM1184">
        <v>2.4049999999999998E-2</v>
      </c>
      <c r="CN1184">
        <f t="shared" si="151"/>
        <v>1.8691420698706545</v>
      </c>
    </row>
    <row r="1185" spans="4:92" x14ac:dyDescent="0.35">
      <c r="D1185">
        <v>4.0278200000000002E-4</v>
      </c>
      <c r="E1185">
        <v>14.8248</v>
      </c>
      <c r="F1185">
        <v>15.043200000000001</v>
      </c>
      <c r="G1185">
        <v>14.9459</v>
      </c>
      <c r="I1185">
        <v>4.0278200000000002E-4</v>
      </c>
      <c r="J1185">
        <f t="shared" si="147"/>
        <v>2.6311719688102208E-2</v>
      </c>
      <c r="K1185">
        <v>7.9837876674530198E-2</v>
      </c>
      <c r="L1185">
        <v>4.9137231693214559E-2</v>
      </c>
      <c r="N1185">
        <v>4.0278200000000002E-4</v>
      </c>
      <c r="O1185">
        <f t="shared" si="148"/>
        <v>7.9837876674530198E-2</v>
      </c>
      <c r="Q1185">
        <v>4.0278200000000002E-4</v>
      </c>
      <c r="R1185">
        <f t="shared" si="149"/>
        <v>4.9137231693214559E-2</v>
      </c>
      <c r="CH1185">
        <v>3.7285600000000002E-4</v>
      </c>
      <c r="CI1185">
        <v>31.2316</v>
      </c>
      <c r="CJ1185">
        <f t="shared" si="150"/>
        <v>2427.2888760653777</v>
      </c>
      <c r="CL1185">
        <v>3.7285600000000002E-4</v>
      </c>
      <c r="CM1185">
        <v>2.206E-2</v>
      </c>
      <c r="CN1185">
        <f t="shared" si="151"/>
        <v>1.7144812499520432</v>
      </c>
    </row>
    <row r="1186" spans="4:92" x14ac:dyDescent="0.35">
      <c r="D1186">
        <v>4.0799800000000002E-4</v>
      </c>
      <c r="E1186">
        <v>14.5784</v>
      </c>
      <c r="F1186">
        <v>11.2424</v>
      </c>
      <c r="G1186">
        <v>14.1828</v>
      </c>
      <c r="I1186">
        <v>4.0799800000000002E-4</v>
      </c>
      <c r="J1186">
        <f t="shared" si="147"/>
        <v>2.5874397921120638E-2</v>
      </c>
      <c r="K1186">
        <v>5.9666117895510157E-2</v>
      </c>
      <c r="L1186">
        <v>4.6628408436997663E-2</v>
      </c>
      <c r="N1186">
        <v>4.0799800000000002E-4</v>
      </c>
      <c r="O1186">
        <f t="shared" si="148"/>
        <v>5.9666117895510157E-2</v>
      </c>
      <c r="Q1186">
        <v>4.0799800000000002E-4</v>
      </c>
      <c r="R1186">
        <f t="shared" si="149"/>
        <v>4.6628408436997663E-2</v>
      </c>
      <c r="CH1186">
        <v>3.77685E-4</v>
      </c>
      <c r="CI1186">
        <v>30.848099999999999</v>
      </c>
      <c r="CJ1186">
        <f t="shared" si="150"/>
        <v>2397.483637653927</v>
      </c>
      <c r="CL1186">
        <v>3.77685E-4</v>
      </c>
      <c r="CM1186">
        <v>1.9939999999999999E-2</v>
      </c>
      <c r="CN1186">
        <f t="shared" si="151"/>
        <v>1.5497169593854825</v>
      </c>
    </row>
    <row r="1187" spans="4:92" x14ac:dyDescent="0.35">
      <c r="D1187">
        <v>4.13282E-4</v>
      </c>
      <c r="E1187">
        <v>14.703200000000001</v>
      </c>
      <c r="F1187">
        <v>14.307399999999999</v>
      </c>
      <c r="G1187">
        <v>14.686400000000001</v>
      </c>
      <c r="I1187">
        <v>4.13282E-4</v>
      </c>
      <c r="J1187">
        <f t="shared" si="147"/>
        <v>2.609589855634507E-2</v>
      </c>
      <c r="K1187">
        <v>7.5932809291452172E-2</v>
      </c>
      <c r="L1187">
        <v>4.8284080553143427E-2</v>
      </c>
      <c r="N1187">
        <v>4.13282E-4</v>
      </c>
      <c r="O1187">
        <f t="shared" si="148"/>
        <v>7.5932809291452172E-2</v>
      </c>
      <c r="Q1187">
        <v>4.13282E-4</v>
      </c>
      <c r="R1187">
        <f t="shared" si="149"/>
        <v>4.8284080553143427E-2</v>
      </c>
      <c r="CH1187">
        <v>3.8257599999999998E-4</v>
      </c>
      <c r="CI1187">
        <v>30.116299999999999</v>
      </c>
      <c r="CJ1187">
        <f t="shared" si="150"/>
        <v>2340.6088698064696</v>
      </c>
      <c r="CL1187">
        <v>3.8257599999999998E-4</v>
      </c>
      <c r="CM1187">
        <v>2.1819999999999999E-2</v>
      </c>
      <c r="CN1187">
        <f t="shared" si="151"/>
        <v>1.6958286887558287</v>
      </c>
    </row>
    <row r="1188" spans="4:92" x14ac:dyDescent="0.35">
      <c r="D1188">
        <v>4.1863399999999998E-4</v>
      </c>
      <c r="E1188">
        <v>14.7666</v>
      </c>
      <c r="F1188">
        <v>14.2227</v>
      </c>
      <c r="G1188">
        <v>14.706200000000001</v>
      </c>
      <c r="I1188">
        <v>4.1863399999999998E-4</v>
      </c>
      <c r="J1188">
        <f t="shared" si="147"/>
        <v>2.6208423718790813E-2</v>
      </c>
      <c r="K1188">
        <v>7.5483286041456654E-2</v>
      </c>
      <c r="L1188">
        <v>4.8349176478281797E-2</v>
      </c>
      <c r="N1188">
        <v>4.1863399999999998E-4</v>
      </c>
      <c r="O1188">
        <f t="shared" si="148"/>
        <v>7.5483286041456654E-2</v>
      </c>
      <c r="Q1188">
        <v>4.1863399999999998E-4</v>
      </c>
      <c r="R1188">
        <f t="shared" si="149"/>
        <v>4.8349176478281797E-2</v>
      </c>
      <c r="CH1188">
        <v>3.8753000000000003E-4</v>
      </c>
      <c r="CI1188">
        <v>31.408899999999999</v>
      </c>
      <c r="CJ1188">
        <f t="shared" si="150"/>
        <v>2441.068455649081</v>
      </c>
      <c r="CL1188">
        <v>3.8753000000000003E-4</v>
      </c>
      <c r="CM1188">
        <v>2.0119999999999999E-2</v>
      </c>
      <c r="CN1188">
        <f t="shared" si="151"/>
        <v>1.5637063802826432</v>
      </c>
    </row>
    <row r="1189" spans="4:92" x14ac:dyDescent="0.35">
      <c r="D1189">
        <v>4.24055E-4</v>
      </c>
      <c r="E1189">
        <v>14.835900000000001</v>
      </c>
      <c r="F1189">
        <v>14.2102</v>
      </c>
      <c r="G1189">
        <v>14.6594</v>
      </c>
      <c r="I1189">
        <v>4.24055E-4</v>
      </c>
      <c r="J1189">
        <f t="shared" si="147"/>
        <v>2.6331420465754381E-2</v>
      </c>
      <c r="K1189">
        <v>7.5416945538210559E-2</v>
      </c>
      <c r="L1189">
        <v>4.8195313382500188E-2</v>
      </c>
      <c r="N1189">
        <v>4.24055E-4</v>
      </c>
      <c r="O1189">
        <f t="shared" si="148"/>
        <v>7.5416945538210559E-2</v>
      </c>
      <c r="Q1189">
        <v>4.24055E-4</v>
      </c>
      <c r="R1189">
        <f t="shared" si="149"/>
        <v>4.8195313382500188E-2</v>
      </c>
      <c r="CH1189">
        <v>3.9254900000000001E-4</v>
      </c>
      <c r="CI1189">
        <v>31.3566</v>
      </c>
      <c r="CJ1189">
        <f t="shared" si="150"/>
        <v>2437.0037516884063</v>
      </c>
      <c r="CL1189">
        <v>3.9254900000000001E-4</v>
      </c>
      <c r="CM1189">
        <v>2.3210000000000001E-2</v>
      </c>
      <c r="CN1189">
        <f t="shared" si="151"/>
        <v>1.8038581056839043</v>
      </c>
    </row>
    <row r="1190" spans="4:92" x14ac:dyDescent="0.35">
      <c r="D1190">
        <v>4.29546E-4</v>
      </c>
      <c r="E1190">
        <v>14.430300000000001</v>
      </c>
      <c r="F1190">
        <v>13.0764</v>
      </c>
      <c r="G1190">
        <v>14.247999999999999</v>
      </c>
      <c r="I1190">
        <v>4.29546E-4</v>
      </c>
      <c r="J1190">
        <f t="shared" si="147"/>
        <v>2.5611543401274979E-2</v>
      </c>
      <c r="K1190">
        <v>6.9399596531776922E-2</v>
      </c>
      <c r="L1190">
        <v>4.6842764715736153E-2</v>
      </c>
      <c r="N1190">
        <v>4.29546E-4</v>
      </c>
      <c r="O1190">
        <f t="shared" si="148"/>
        <v>6.9399596531776922E-2</v>
      </c>
      <c r="Q1190">
        <v>4.29546E-4</v>
      </c>
      <c r="R1190">
        <f t="shared" si="149"/>
        <v>4.6842764715736153E-2</v>
      </c>
      <c r="CH1190">
        <v>3.9763299999999999E-4</v>
      </c>
      <c r="CI1190">
        <v>30.197199999999999</v>
      </c>
      <c r="CJ1190">
        <f t="shared" si="150"/>
        <v>2346.8963373096935</v>
      </c>
      <c r="CL1190">
        <v>3.9763299999999999E-4</v>
      </c>
      <c r="CM1190">
        <v>2.1100000000000001E-2</v>
      </c>
      <c r="CN1190">
        <f t="shared" si="151"/>
        <v>1.6398710051671856</v>
      </c>
    </row>
    <row r="1191" spans="4:92" x14ac:dyDescent="0.35">
      <c r="D1191">
        <v>4.3510899999999998E-4</v>
      </c>
      <c r="E1191">
        <v>14.773099999999999</v>
      </c>
      <c r="F1191">
        <v>14.055300000000001</v>
      </c>
      <c r="G1191">
        <v>14.5517</v>
      </c>
      <c r="I1191">
        <v>4.3510899999999998E-4</v>
      </c>
      <c r="J1191">
        <f t="shared" si="147"/>
        <v>2.621996021020875E-2</v>
      </c>
      <c r="K1191">
        <v>7.4594854021984985E-2</v>
      </c>
      <c r="L1191">
        <v>4.7841231001823262E-2</v>
      </c>
      <c r="N1191">
        <v>4.3510899999999998E-4</v>
      </c>
      <c r="O1191">
        <f t="shared" si="148"/>
        <v>7.4594854021984985E-2</v>
      </c>
      <c r="Q1191">
        <v>4.3510899999999998E-4</v>
      </c>
      <c r="R1191">
        <f t="shared" si="149"/>
        <v>4.7841231001823262E-2</v>
      </c>
      <c r="CH1191">
        <v>4.0278200000000002E-4</v>
      </c>
      <c r="CI1191">
        <v>31.682400000000001</v>
      </c>
      <c r="CJ1191">
        <f t="shared" si="150"/>
        <v>2462.3246035122675</v>
      </c>
      <c r="CL1191">
        <v>4.0278200000000002E-4</v>
      </c>
      <c r="CM1191">
        <v>2.0789999999999999E-2</v>
      </c>
      <c r="CN1191">
        <f t="shared" si="151"/>
        <v>1.6157781136220752</v>
      </c>
    </row>
    <row r="1192" spans="4:92" x14ac:dyDescent="0.35">
      <c r="D1192">
        <v>4.4074400000000002E-4</v>
      </c>
      <c r="E1192">
        <v>14.894500000000001</v>
      </c>
      <c r="F1192">
        <v>14.327400000000001</v>
      </c>
      <c r="G1192">
        <v>14.7346</v>
      </c>
      <c r="I1192">
        <v>4.4074400000000002E-4</v>
      </c>
      <c r="J1192">
        <f t="shared" si="147"/>
        <v>2.6435426372999189E-2</v>
      </c>
      <c r="K1192">
        <v>7.6038954096645933E-2</v>
      </c>
      <c r="L1192">
        <v>4.8442546391106539E-2</v>
      </c>
      <c r="N1192">
        <v>4.4074400000000002E-4</v>
      </c>
      <c r="O1192">
        <f t="shared" si="148"/>
        <v>7.6038954096645933E-2</v>
      </c>
      <c r="Q1192">
        <v>4.4074400000000002E-4</v>
      </c>
      <c r="R1192">
        <f t="shared" si="149"/>
        <v>4.8442546391106539E-2</v>
      </c>
      <c r="CH1192">
        <v>4.0799800000000002E-4</v>
      </c>
      <c r="CI1192">
        <v>31.53</v>
      </c>
      <c r="CJ1192">
        <f t="shared" si="150"/>
        <v>2450.4802271526714</v>
      </c>
      <c r="CL1192">
        <v>4.0799800000000002E-4</v>
      </c>
      <c r="CM1192">
        <v>2.1299999999999999E-2</v>
      </c>
      <c r="CN1192">
        <f t="shared" si="151"/>
        <v>1.6554148061640308</v>
      </c>
    </row>
    <row r="1193" spans="4:92" x14ac:dyDescent="0.35">
      <c r="D1193">
        <v>4.4645200000000001E-4</v>
      </c>
      <c r="E1193">
        <v>14.916499999999999</v>
      </c>
      <c r="F1193">
        <v>14.6534</v>
      </c>
      <c r="G1193">
        <v>14.8613</v>
      </c>
      <c r="I1193">
        <v>4.4645200000000001E-4</v>
      </c>
      <c r="J1193">
        <f t="shared" si="147"/>
        <v>2.6474472959336824E-2</v>
      </c>
      <c r="K1193">
        <v>7.7769114421304034E-2</v>
      </c>
      <c r="L1193">
        <v>4.8859094558532407E-2</v>
      </c>
      <c r="N1193">
        <v>4.4645200000000001E-4</v>
      </c>
      <c r="O1193">
        <f t="shared" si="148"/>
        <v>7.7769114421304034E-2</v>
      </c>
      <c r="Q1193">
        <v>4.4645200000000001E-4</v>
      </c>
      <c r="R1193">
        <f t="shared" si="149"/>
        <v>4.8859094558532407E-2</v>
      </c>
      <c r="CH1193">
        <v>4.13282E-4</v>
      </c>
      <c r="CI1193">
        <v>31.3371</v>
      </c>
      <c r="CJ1193">
        <f t="shared" si="150"/>
        <v>2435.4882310912139</v>
      </c>
      <c r="CL1193">
        <v>4.13282E-4</v>
      </c>
      <c r="CM1193">
        <v>2.5159999999999998E-2</v>
      </c>
      <c r="CN1193">
        <f t="shared" si="151"/>
        <v>1.9554101654031462</v>
      </c>
    </row>
    <row r="1194" spans="4:92" x14ac:dyDescent="0.35">
      <c r="D1194">
        <v>4.5223300000000002E-4</v>
      </c>
      <c r="E1194">
        <v>14.8514</v>
      </c>
      <c r="F1194">
        <v>14.3612</v>
      </c>
      <c r="G1194">
        <v>14.6214</v>
      </c>
      <c r="I1194">
        <v>4.5223300000000002E-4</v>
      </c>
      <c r="J1194">
        <f t="shared" si="147"/>
        <v>2.6358930560674079E-2</v>
      </c>
      <c r="K1194">
        <v>7.6218338817423362E-2</v>
      </c>
      <c r="L1194">
        <v>4.8070381809002291E-2</v>
      </c>
      <c r="N1194">
        <v>4.5223300000000002E-4</v>
      </c>
      <c r="O1194">
        <f t="shared" si="148"/>
        <v>7.6218338817423362E-2</v>
      </c>
      <c r="Q1194">
        <v>4.5223300000000002E-4</v>
      </c>
      <c r="R1194">
        <f t="shared" si="149"/>
        <v>4.8070381809002291E-2</v>
      </c>
      <c r="CH1194">
        <v>4.1863399999999998E-4</v>
      </c>
      <c r="CI1194">
        <v>31.417899999999999</v>
      </c>
      <c r="CJ1194">
        <f t="shared" si="150"/>
        <v>2441.7679266939394</v>
      </c>
      <c r="CL1194">
        <v>4.1863399999999998E-4</v>
      </c>
      <c r="CM1194">
        <v>2.445E-2</v>
      </c>
      <c r="CN1194">
        <f t="shared" si="151"/>
        <v>1.9002296718643452</v>
      </c>
    </row>
    <row r="1195" spans="4:92" x14ac:dyDescent="0.35">
      <c r="D1195">
        <v>4.5808999999999997E-4</v>
      </c>
      <c r="E1195">
        <v>14.440099999999999</v>
      </c>
      <c r="F1195">
        <v>13.692</v>
      </c>
      <c r="G1195">
        <v>14.497</v>
      </c>
      <c r="I1195">
        <v>4.5808999999999997E-4</v>
      </c>
      <c r="J1195">
        <f t="shared" si="147"/>
        <v>2.562893688064356E-2</v>
      </c>
      <c r="K1195">
        <v>7.2666733635640524E-2</v>
      </c>
      <c r="L1195">
        <v>4.7661395289446025E-2</v>
      </c>
      <c r="N1195">
        <v>4.5808999999999997E-4</v>
      </c>
      <c r="O1195">
        <f t="shared" si="148"/>
        <v>7.2666733635640524E-2</v>
      </c>
      <c r="Q1195">
        <v>4.5808999999999997E-4</v>
      </c>
      <c r="R1195">
        <f t="shared" si="149"/>
        <v>4.7661395289446025E-2</v>
      </c>
      <c r="CH1195">
        <v>4.24055E-4</v>
      </c>
      <c r="CI1195">
        <v>31.666499999999999</v>
      </c>
      <c r="CJ1195">
        <f t="shared" si="150"/>
        <v>2461.0888713330182</v>
      </c>
      <c r="CL1195">
        <v>4.24055E-4</v>
      </c>
      <c r="CM1195">
        <v>1.958E-2</v>
      </c>
      <c r="CN1195">
        <f t="shared" si="151"/>
        <v>1.5217381175911608</v>
      </c>
    </row>
    <row r="1196" spans="4:92" x14ac:dyDescent="0.35">
      <c r="D1196">
        <v>4.6402200000000002E-4</v>
      </c>
      <c r="E1196">
        <v>14.9513</v>
      </c>
      <c r="F1196">
        <v>14.5181</v>
      </c>
      <c r="G1196">
        <v>14.475300000000001</v>
      </c>
      <c r="I1196">
        <v>4.6402200000000002E-4</v>
      </c>
      <c r="J1196">
        <f t="shared" si="147"/>
        <v>2.6536237559543638E-2</v>
      </c>
      <c r="K1196">
        <v>7.7051044814168315E-2</v>
      </c>
      <c r="L1196">
        <v>4.7590052785632761E-2</v>
      </c>
      <c r="N1196">
        <v>4.6402200000000002E-4</v>
      </c>
      <c r="O1196">
        <f t="shared" si="148"/>
        <v>7.7051044814168315E-2</v>
      </c>
      <c r="Q1196">
        <v>4.6402200000000002E-4</v>
      </c>
      <c r="R1196">
        <f t="shared" si="149"/>
        <v>4.7590052785632761E-2</v>
      </c>
      <c r="CH1196">
        <v>4.29546E-4</v>
      </c>
      <c r="CI1196">
        <v>31.988900000000001</v>
      </c>
      <c r="CJ1196">
        <f t="shared" si="150"/>
        <v>2486.1454785399328</v>
      </c>
      <c r="CL1196">
        <v>4.29546E-4</v>
      </c>
      <c r="CM1196">
        <v>2.3210000000000001E-2</v>
      </c>
      <c r="CN1196">
        <f t="shared" si="151"/>
        <v>1.8038581056839043</v>
      </c>
    </row>
    <row r="1197" spans="4:92" x14ac:dyDescent="0.35">
      <c r="D1197">
        <v>4.7003099999999999E-4</v>
      </c>
      <c r="E1197">
        <v>14.944000000000001</v>
      </c>
      <c r="F1197">
        <v>14.651999999999999</v>
      </c>
      <c r="G1197">
        <v>14.429500000000001</v>
      </c>
      <c r="I1197">
        <v>4.7003099999999999E-4</v>
      </c>
      <c r="J1197">
        <f t="shared" si="147"/>
        <v>2.6523281192258878E-2</v>
      </c>
      <c r="K1197">
        <v>7.7761684284940472E-2</v>
      </c>
      <c r="L1197">
        <v>4.7439477362837934E-2</v>
      </c>
      <c r="N1197">
        <v>4.7003099999999999E-4</v>
      </c>
      <c r="O1197">
        <f t="shared" si="148"/>
        <v>7.7761684284940472E-2</v>
      </c>
      <c r="Q1197">
        <v>4.7003099999999999E-4</v>
      </c>
      <c r="R1197">
        <f t="shared" si="149"/>
        <v>4.7439477362837934E-2</v>
      </c>
      <c r="CH1197">
        <v>4.3510899999999998E-4</v>
      </c>
      <c r="CI1197">
        <v>31.853899999999999</v>
      </c>
      <c r="CJ1197">
        <f t="shared" si="150"/>
        <v>2475.6534128670623</v>
      </c>
      <c r="CL1197">
        <v>4.3510899999999998E-4</v>
      </c>
      <c r="CM1197">
        <v>2.2270000000000002E-2</v>
      </c>
      <c r="CN1197">
        <f t="shared" si="151"/>
        <v>1.7308022409987311</v>
      </c>
    </row>
    <row r="1198" spans="4:92" x14ac:dyDescent="0.35">
      <c r="D1198">
        <v>4.7611799999999998E-4</v>
      </c>
      <c r="E1198">
        <v>14.7056</v>
      </c>
      <c r="F1198">
        <v>14.2271</v>
      </c>
      <c r="G1198">
        <v>14.677899999999999</v>
      </c>
      <c r="I1198">
        <v>4.7611799999999998E-4</v>
      </c>
      <c r="J1198">
        <f t="shared" si="147"/>
        <v>2.6100158183945541E-2</v>
      </c>
      <c r="K1198">
        <v>7.550663789859928E-2</v>
      </c>
      <c r="L1198">
        <v>4.8256135332755738E-2</v>
      </c>
      <c r="N1198">
        <v>4.7611799999999998E-4</v>
      </c>
      <c r="O1198">
        <f t="shared" si="148"/>
        <v>7.550663789859928E-2</v>
      </c>
      <c r="Q1198">
        <v>4.7611799999999998E-4</v>
      </c>
      <c r="R1198">
        <f t="shared" si="149"/>
        <v>4.8256135332755738E-2</v>
      </c>
      <c r="CH1198">
        <v>4.4074400000000002E-4</v>
      </c>
      <c r="CI1198">
        <v>31.566400000000002</v>
      </c>
      <c r="CJ1198">
        <f t="shared" si="150"/>
        <v>2453.3091989340969</v>
      </c>
      <c r="CL1198">
        <v>4.4074400000000002E-4</v>
      </c>
      <c r="CM1198">
        <v>2.0369999999999999E-2</v>
      </c>
      <c r="CN1198">
        <f t="shared" si="151"/>
        <v>1.5831361315287</v>
      </c>
    </row>
    <row r="1199" spans="4:92" x14ac:dyDescent="0.35">
      <c r="D1199">
        <v>4.8228399999999998E-4</v>
      </c>
      <c r="E1199">
        <v>14.5046</v>
      </c>
      <c r="F1199">
        <v>14.931699999999999</v>
      </c>
      <c r="G1199">
        <v>15.1692</v>
      </c>
      <c r="I1199">
        <v>4.8228399999999998E-4</v>
      </c>
      <c r="J1199">
        <f t="shared" si="147"/>
        <v>2.5743414372406188E-2</v>
      </c>
      <c r="K1199">
        <v>7.9246119385575048E-2</v>
      </c>
      <c r="L1199">
        <v>4.9871369071164018E-2</v>
      </c>
      <c r="N1199">
        <v>4.8228399999999998E-4</v>
      </c>
      <c r="O1199">
        <f t="shared" si="148"/>
        <v>7.9246119385575048E-2</v>
      </c>
      <c r="Q1199">
        <v>4.8228399999999998E-4</v>
      </c>
      <c r="R1199">
        <f t="shared" si="149"/>
        <v>4.9871369071164018E-2</v>
      </c>
      <c r="CH1199">
        <v>4.4645200000000001E-4</v>
      </c>
      <c r="CI1199">
        <v>32.6173</v>
      </c>
      <c r="CJ1199">
        <f t="shared" si="150"/>
        <v>2534.9841012720208</v>
      </c>
      <c r="CL1199">
        <v>4.4645200000000001E-4</v>
      </c>
      <c r="CM1199">
        <v>2.1190000000000001E-2</v>
      </c>
      <c r="CN1199">
        <f t="shared" si="151"/>
        <v>1.646865715615766</v>
      </c>
    </row>
    <row r="1200" spans="4:92" x14ac:dyDescent="0.35">
      <c r="D1200">
        <v>4.8852900000000002E-4</v>
      </c>
      <c r="E1200">
        <v>14.6265</v>
      </c>
      <c r="F1200">
        <v>14.577</v>
      </c>
      <c r="G1200">
        <v>14.488200000000001</v>
      </c>
      <c r="I1200">
        <v>4.8852900000000002E-4</v>
      </c>
      <c r="J1200">
        <f t="shared" si="147"/>
        <v>2.5959767957613386E-2</v>
      </c>
      <c r="K1200">
        <v>7.7363641265463912E-2</v>
      </c>
      <c r="L1200">
        <v>4.7632463767162306E-2</v>
      </c>
      <c r="N1200">
        <v>4.8852900000000002E-4</v>
      </c>
      <c r="O1200">
        <f t="shared" si="148"/>
        <v>7.7363641265463912E-2</v>
      </c>
      <c r="Q1200">
        <v>4.8852900000000002E-4</v>
      </c>
      <c r="R1200">
        <f t="shared" si="149"/>
        <v>4.7632463767162306E-2</v>
      </c>
      <c r="CH1200">
        <v>4.5223300000000002E-4</v>
      </c>
      <c r="CI1200">
        <v>30.74</v>
      </c>
      <c r="CJ1200">
        <f t="shared" si="150"/>
        <v>2389.082213215132</v>
      </c>
      <c r="CL1200">
        <v>4.5223300000000002E-4</v>
      </c>
      <c r="CM1200">
        <v>2.7140000000000001E-2</v>
      </c>
      <c r="CN1200">
        <f t="shared" si="151"/>
        <v>2.1092937952719155</v>
      </c>
    </row>
    <row r="1201" spans="4:92" x14ac:dyDescent="0.35">
      <c r="D1201">
        <v>4.9485600000000001E-4</v>
      </c>
      <c r="E1201">
        <v>14.7308</v>
      </c>
      <c r="F1201">
        <v>14.368499999999999</v>
      </c>
      <c r="G1201">
        <v>14.6934</v>
      </c>
      <c r="I1201">
        <v>4.9485600000000001E-4</v>
      </c>
      <c r="J1201">
        <f t="shared" si="147"/>
        <v>2.6144884273750474E-2</v>
      </c>
      <c r="K1201">
        <v>7.6257081671319088E-2</v>
      </c>
      <c r="L1201">
        <v>4.8307094264050936E-2</v>
      </c>
      <c r="N1201">
        <v>4.9485600000000001E-4</v>
      </c>
      <c r="O1201">
        <f t="shared" si="148"/>
        <v>7.6257081671319088E-2</v>
      </c>
      <c r="Q1201">
        <v>4.9485600000000001E-4</v>
      </c>
      <c r="R1201">
        <f t="shared" si="149"/>
        <v>4.8307094264050936E-2</v>
      </c>
      <c r="CH1201">
        <v>4.5808999999999997E-4</v>
      </c>
      <c r="CI1201">
        <v>31.4802</v>
      </c>
      <c r="CJ1201">
        <f t="shared" si="150"/>
        <v>2446.6098207044565</v>
      </c>
      <c r="CL1201">
        <v>4.5808999999999997E-4</v>
      </c>
      <c r="CM1201">
        <v>2.078E-2</v>
      </c>
      <c r="CN1201">
        <f t="shared" si="151"/>
        <v>1.6150009235722329</v>
      </c>
    </row>
    <row r="1202" spans="4:92" x14ac:dyDescent="0.35">
      <c r="D1202">
        <v>5.0126399999999996E-4</v>
      </c>
      <c r="E1202">
        <v>14.729100000000001</v>
      </c>
      <c r="F1202">
        <v>14.646000000000001</v>
      </c>
      <c r="G1202">
        <v>14.3865</v>
      </c>
      <c r="I1202">
        <v>5.0126399999999996E-4</v>
      </c>
      <c r="J1202">
        <f t="shared" si="147"/>
        <v>2.6141867037533472E-2</v>
      </c>
      <c r="K1202">
        <v>7.7729840843382358E-2</v>
      </c>
      <c r="L1202">
        <v>4.7298107424406106E-2</v>
      </c>
      <c r="N1202">
        <v>5.0126399999999996E-4</v>
      </c>
      <c r="O1202">
        <f t="shared" si="148"/>
        <v>7.7729840843382358E-2</v>
      </c>
      <c r="Q1202">
        <v>5.0126399999999996E-4</v>
      </c>
      <c r="R1202">
        <f t="shared" si="149"/>
        <v>4.7298107424406106E-2</v>
      </c>
      <c r="CH1202">
        <v>4.6402200000000002E-4</v>
      </c>
      <c r="CI1202">
        <v>31.3109</v>
      </c>
      <c r="CJ1202">
        <f t="shared" si="150"/>
        <v>2433.4519931606269</v>
      </c>
      <c r="CL1202">
        <v>4.6402200000000002E-4</v>
      </c>
      <c r="CM1202">
        <v>1.983E-2</v>
      </c>
      <c r="CN1202">
        <f t="shared" si="151"/>
        <v>1.5411678688372175</v>
      </c>
    </row>
    <row r="1203" spans="4:92" x14ac:dyDescent="0.35">
      <c r="D1203">
        <v>5.0775600000000005E-4</v>
      </c>
      <c r="E1203">
        <v>14.808</v>
      </c>
      <c r="F1203">
        <v>16.414300000000001</v>
      </c>
      <c r="G1203">
        <v>14.920999999999999</v>
      </c>
      <c r="I1203">
        <v>5.0775600000000005E-4</v>
      </c>
      <c r="J1203">
        <f t="shared" si="147"/>
        <v>2.6281902294898921E-2</v>
      </c>
      <c r="K1203">
        <v>8.7114633794587656E-2</v>
      </c>
      <c r="L1203">
        <v>4.9055368635843567E-2</v>
      </c>
      <c r="N1203">
        <v>5.0775600000000005E-4</v>
      </c>
      <c r="O1203">
        <f t="shared" si="148"/>
        <v>8.7114633794587656E-2</v>
      </c>
      <c r="Q1203">
        <v>5.0775600000000005E-4</v>
      </c>
      <c r="R1203">
        <f t="shared" si="149"/>
        <v>4.9055368635843567E-2</v>
      </c>
      <c r="CH1203">
        <v>4.7003099999999999E-4</v>
      </c>
      <c r="CI1203">
        <v>32.622399999999999</v>
      </c>
      <c r="CJ1203">
        <f t="shared" si="150"/>
        <v>2535.3804681974402</v>
      </c>
      <c r="CL1203">
        <v>4.7003099999999999E-4</v>
      </c>
      <c r="CM1203">
        <v>2.0990000000000002E-2</v>
      </c>
      <c r="CN1203">
        <f t="shared" si="151"/>
        <v>1.6313219146189208</v>
      </c>
    </row>
    <row r="1204" spans="4:92" x14ac:dyDescent="0.35">
      <c r="D1204">
        <v>5.1433100000000003E-4</v>
      </c>
      <c r="E1204">
        <v>14.767200000000001</v>
      </c>
      <c r="F1204">
        <v>12.1381</v>
      </c>
      <c r="G1204">
        <v>14.157</v>
      </c>
      <c r="I1204">
        <v>5.1433100000000003E-4</v>
      </c>
      <c r="J1204">
        <f t="shared" si="147"/>
        <v>2.6209488625690933E-2</v>
      </c>
      <c r="K1204">
        <v>6.44198129961122E-2</v>
      </c>
      <c r="L1204">
        <v>4.6543586473938567E-2</v>
      </c>
      <c r="N1204">
        <v>5.1433100000000003E-4</v>
      </c>
      <c r="O1204">
        <f t="shared" si="148"/>
        <v>6.44198129961122E-2</v>
      </c>
      <c r="Q1204">
        <v>5.1433100000000003E-4</v>
      </c>
      <c r="R1204">
        <f t="shared" si="149"/>
        <v>4.6543586473938567E-2</v>
      </c>
      <c r="CH1204">
        <v>4.7611799999999998E-4</v>
      </c>
      <c r="CI1204">
        <v>32.043199999999999</v>
      </c>
      <c r="CJ1204">
        <f t="shared" si="150"/>
        <v>2490.3656205105763</v>
      </c>
      <c r="CL1204">
        <v>4.7611799999999998E-4</v>
      </c>
      <c r="CM1204">
        <v>2.0959999999999999E-2</v>
      </c>
      <c r="CN1204">
        <f t="shared" si="151"/>
        <v>1.6289903444693938</v>
      </c>
    </row>
    <row r="1205" spans="4:92" x14ac:dyDescent="0.35">
      <c r="D1205">
        <v>5.2099199999999996E-4</v>
      </c>
      <c r="E1205">
        <v>14.6981</v>
      </c>
      <c r="F1205">
        <v>15.1265</v>
      </c>
      <c r="G1205">
        <v>14.680899999999999</v>
      </c>
      <c r="I1205">
        <v>5.2099199999999996E-4</v>
      </c>
      <c r="J1205">
        <f t="shared" si="147"/>
        <v>2.6086846847694072E-2</v>
      </c>
      <c r="K1205">
        <v>8.0279969788162167E-2</v>
      </c>
      <c r="L1205">
        <v>4.8265998351716098E-2</v>
      </c>
      <c r="N1205">
        <v>5.2099199999999996E-4</v>
      </c>
      <c r="O1205">
        <f t="shared" si="148"/>
        <v>8.0279969788162167E-2</v>
      </c>
      <c r="Q1205">
        <v>5.2099199999999996E-4</v>
      </c>
      <c r="R1205">
        <f t="shared" si="149"/>
        <v>4.8265998351716098E-2</v>
      </c>
      <c r="CH1205">
        <v>4.8228399999999998E-4</v>
      </c>
      <c r="CI1205">
        <v>31.831</v>
      </c>
      <c r="CJ1205">
        <f t="shared" si="150"/>
        <v>2473.8736476529234</v>
      </c>
      <c r="CL1205">
        <v>4.8228399999999998E-4</v>
      </c>
      <c r="CM1205">
        <v>1.8849999999999999E-2</v>
      </c>
      <c r="CN1205">
        <f t="shared" si="151"/>
        <v>1.4650032439526752</v>
      </c>
    </row>
    <row r="1206" spans="4:92" x14ac:dyDescent="0.35">
      <c r="D1206">
        <v>5.2773900000000005E-4</v>
      </c>
      <c r="E1206">
        <v>14.711</v>
      </c>
      <c r="F1206">
        <v>16.2395</v>
      </c>
      <c r="G1206">
        <v>15.0151</v>
      </c>
      <c r="I1206">
        <v>5.2773900000000005E-4</v>
      </c>
      <c r="J1206">
        <f t="shared" si="147"/>
        <v>2.6109742346046596E-2</v>
      </c>
      <c r="K1206">
        <v>8.6186928197194285E-2</v>
      </c>
      <c r="L1206">
        <v>4.9364738663900197E-2</v>
      </c>
      <c r="N1206">
        <v>5.2773900000000005E-4</v>
      </c>
      <c r="O1206">
        <f t="shared" si="148"/>
        <v>8.6186928197194285E-2</v>
      </c>
      <c r="Q1206">
        <v>5.2773900000000005E-4</v>
      </c>
      <c r="R1206">
        <f t="shared" si="149"/>
        <v>4.9364738663900197E-2</v>
      </c>
      <c r="CH1206">
        <v>4.8852900000000002E-4</v>
      </c>
      <c r="CI1206">
        <v>31.473199999999999</v>
      </c>
      <c r="CJ1206">
        <f t="shared" si="150"/>
        <v>2446.0657876695668</v>
      </c>
      <c r="CL1206">
        <v>4.8852900000000002E-4</v>
      </c>
      <c r="CM1206">
        <v>2.1559999999999999E-2</v>
      </c>
      <c r="CN1206">
        <f t="shared" si="151"/>
        <v>1.6756217474599298</v>
      </c>
    </row>
    <row r="1207" spans="4:92" x14ac:dyDescent="0.35">
      <c r="D1207">
        <v>5.3457299999999999E-4</v>
      </c>
      <c r="E1207">
        <v>14.4765</v>
      </c>
      <c r="F1207">
        <v>11.623699999999999</v>
      </c>
      <c r="G1207">
        <v>14.4391</v>
      </c>
      <c r="I1207">
        <v>5.3457299999999999E-4</v>
      </c>
      <c r="J1207">
        <f t="shared" si="147"/>
        <v>2.5693541232584018E-2</v>
      </c>
      <c r="K1207">
        <v>6.1689768606528979E-2</v>
      </c>
      <c r="L1207">
        <v>4.7471039023511082E-2</v>
      </c>
      <c r="N1207">
        <v>5.3457299999999999E-4</v>
      </c>
      <c r="O1207">
        <f t="shared" si="148"/>
        <v>6.1689768606528979E-2</v>
      </c>
      <c r="Q1207">
        <v>5.3457299999999999E-4</v>
      </c>
      <c r="R1207">
        <f t="shared" si="149"/>
        <v>4.7471039023511082E-2</v>
      </c>
      <c r="CH1207">
        <v>4.9485600000000001E-4</v>
      </c>
      <c r="CI1207">
        <v>30.816299999999998</v>
      </c>
      <c r="CJ1207">
        <f t="shared" si="150"/>
        <v>2395.0121732954285</v>
      </c>
      <c r="CL1207">
        <v>4.9485600000000001E-4</v>
      </c>
      <c r="CM1207">
        <v>2.0279999999999999E-2</v>
      </c>
      <c r="CN1207">
        <f t="shared" si="151"/>
        <v>1.5761414210801195</v>
      </c>
    </row>
    <row r="1208" spans="4:92" x14ac:dyDescent="0.35">
      <c r="D1208">
        <v>5.4149600000000003E-4</v>
      </c>
      <c r="E1208">
        <v>14.9442</v>
      </c>
      <c r="F1208">
        <v>14.805300000000001</v>
      </c>
      <c r="G1208">
        <v>14.7867</v>
      </c>
      <c r="I1208">
        <v>5.4149600000000003E-4</v>
      </c>
      <c r="J1208">
        <f t="shared" si="147"/>
        <v>2.6523636161225585E-2</v>
      </c>
      <c r="K1208">
        <v>7.8575284216750571E-2</v>
      </c>
      <c r="L1208">
        <v>4.8613834153718123E-2</v>
      </c>
      <c r="N1208">
        <v>5.4149600000000003E-4</v>
      </c>
      <c r="O1208">
        <f t="shared" si="148"/>
        <v>7.8575284216750571E-2</v>
      </c>
      <c r="Q1208">
        <v>5.4149600000000003E-4</v>
      </c>
      <c r="R1208">
        <f t="shared" si="149"/>
        <v>4.8613834153718123E-2</v>
      </c>
      <c r="CH1208">
        <v>5.0126399999999996E-4</v>
      </c>
      <c r="CI1208">
        <v>31.686199999999999</v>
      </c>
      <c r="CJ1208">
        <f t="shared" si="150"/>
        <v>2462.6199357312075</v>
      </c>
      <c r="CL1208">
        <v>5.0126399999999996E-4</v>
      </c>
      <c r="CM1208">
        <v>2.0070000000000001E-2</v>
      </c>
      <c r="CN1208">
        <f t="shared" si="151"/>
        <v>1.559820430033432</v>
      </c>
    </row>
    <row r="1209" spans="4:92" x14ac:dyDescent="0.35">
      <c r="D1209">
        <v>5.4850799999999996E-4</v>
      </c>
      <c r="E1209">
        <v>14.604799999999999</v>
      </c>
      <c r="F1209">
        <v>15.7875</v>
      </c>
      <c r="G1209">
        <v>14.684900000000001</v>
      </c>
      <c r="I1209">
        <v>5.4850799999999996E-4</v>
      </c>
      <c r="J1209">
        <f t="shared" si="147"/>
        <v>2.5921253824725803E-2</v>
      </c>
      <c r="K1209">
        <v>8.3788055599815572E-2</v>
      </c>
      <c r="L1209">
        <v>4.827914904366324E-2</v>
      </c>
      <c r="N1209">
        <v>5.4850799999999996E-4</v>
      </c>
      <c r="O1209">
        <f t="shared" si="148"/>
        <v>8.3788055599815572E-2</v>
      </c>
      <c r="Q1209">
        <v>5.4850799999999996E-4</v>
      </c>
      <c r="R1209">
        <f t="shared" si="149"/>
        <v>4.827914904366324E-2</v>
      </c>
      <c r="CH1209">
        <v>5.0775600000000005E-4</v>
      </c>
      <c r="CI1209">
        <v>31.113</v>
      </c>
      <c r="CJ1209">
        <f t="shared" si="150"/>
        <v>2418.0714020742485</v>
      </c>
      <c r="CL1209">
        <v>5.0775600000000005E-4</v>
      </c>
      <c r="CM1209">
        <v>1.9810000000000001E-2</v>
      </c>
      <c r="CN1209">
        <f t="shared" si="151"/>
        <v>1.539613488737533</v>
      </c>
    </row>
    <row r="1210" spans="4:92" x14ac:dyDescent="0.35">
      <c r="D1210">
        <v>5.5561100000000002E-4</v>
      </c>
      <c r="E1210">
        <v>14.649100000000001</v>
      </c>
      <c r="F1210">
        <v>15.2834</v>
      </c>
      <c r="G1210">
        <v>14.587899999999999</v>
      </c>
      <c r="I1210">
        <v>5.5561100000000002E-4</v>
      </c>
      <c r="J1210">
        <f t="shared" si="147"/>
        <v>2.5999879450851145E-2</v>
      </c>
      <c r="K1210">
        <v>8.1112675784907121E-2</v>
      </c>
      <c r="L1210">
        <v>4.7960244763944941E-2</v>
      </c>
      <c r="N1210">
        <v>5.5561100000000002E-4</v>
      </c>
      <c r="O1210">
        <f t="shared" si="148"/>
        <v>8.1112675784907121E-2</v>
      </c>
      <c r="Q1210">
        <v>5.5561100000000002E-4</v>
      </c>
      <c r="R1210">
        <f t="shared" si="149"/>
        <v>4.7960244763944941E-2</v>
      </c>
      <c r="CH1210">
        <v>5.1433100000000003E-4</v>
      </c>
      <c r="CI1210">
        <v>30.9101</v>
      </c>
      <c r="CJ1210">
        <f t="shared" si="150"/>
        <v>2402.302215962949</v>
      </c>
      <c r="CL1210">
        <v>5.1433100000000003E-4</v>
      </c>
      <c r="CM1210">
        <v>2.3259999999999999E-2</v>
      </c>
      <c r="CN1210">
        <f t="shared" si="151"/>
        <v>1.8077440559331155</v>
      </c>
    </row>
    <row r="1211" spans="4:92" x14ac:dyDescent="0.35">
      <c r="D1211">
        <v>5.6280700000000002E-4</v>
      </c>
      <c r="E1211">
        <v>14.925700000000001</v>
      </c>
      <c r="F1211">
        <v>15.4427</v>
      </c>
      <c r="G1211">
        <v>14.7982</v>
      </c>
      <c r="I1211">
        <v>5.6280700000000002E-4</v>
      </c>
      <c r="J1211">
        <f t="shared" si="147"/>
        <v>2.6490801531805296E-2</v>
      </c>
      <c r="K1211">
        <v>8.1958119158275347E-2</v>
      </c>
      <c r="L1211">
        <v>4.8651642393066165E-2</v>
      </c>
      <c r="N1211">
        <v>5.6280700000000002E-4</v>
      </c>
      <c r="O1211">
        <f t="shared" si="148"/>
        <v>8.1958119158275347E-2</v>
      </c>
      <c r="Q1211">
        <v>5.6280700000000002E-4</v>
      </c>
      <c r="R1211">
        <f t="shared" si="149"/>
        <v>4.8651642393066165E-2</v>
      </c>
      <c r="CH1211">
        <v>5.2099199999999996E-4</v>
      </c>
      <c r="CI1211">
        <v>31.538499999999999</v>
      </c>
      <c r="CJ1211">
        <f t="shared" si="150"/>
        <v>2451.140838695037</v>
      </c>
      <c r="CL1211">
        <v>5.2099199999999996E-4</v>
      </c>
      <c r="CM1211">
        <v>1.7569999999999999E-2</v>
      </c>
      <c r="CN1211">
        <f t="shared" si="151"/>
        <v>1.3655229175728649</v>
      </c>
    </row>
    <row r="1212" spans="4:92" x14ac:dyDescent="0.35">
      <c r="D1212">
        <v>5.7009499999999996E-4</v>
      </c>
      <c r="E1212">
        <v>14.8154</v>
      </c>
      <c r="F1212">
        <v>16.901</v>
      </c>
      <c r="G1212">
        <v>14.749700000000001</v>
      </c>
      <c r="I1212">
        <v>5.7009499999999996E-4</v>
      </c>
      <c r="J1212">
        <f t="shared" si="147"/>
        <v>2.6295036146667033E-2</v>
      </c>
      <c r="K1212">
        <v>8.9697667628977545E-2</v>
      </c>
      <c r="L1212">
        <v>4.8492190253207022E-2</v>
      </c>
      <c r="N1212">
        <v>5.7009499999999996E-4</v>
      </c>
      <c r="O1212">
        <f t="shared" si="148"/>
        <v>8.9697667628977545E-2</v>
      </c>
      <c r="Q1212">
        <v>5.7009499999999996E-4</v>
      </c>
      <c r="R1212">
        <f t="shared" si="149"/>
        <v>4.8492190253207022E-2</v>
      </c>
      <c r="CH1212">
        <v>5.2773900000000005E-4</v>
      </c>
      <c r="CI1212">
        <v>32.006</v>
      </c>
      <c r="CJ1212">
        <f t="shared" si="150"/>
        <v>2487.4744735251629</v>
      </c>
      <c r="CL1212">
        <v>5.2773900000000005E-4</v>
      </c>
      <c r="CM1212">
        <v>1.9550000000000001E-2</v>
      </c>
      <c r="CN1212">
        <f t="shared" si="151"/>
        <v>1.5194065474416341</v>
      </c>
    </row>
    <row r="1213" spans="4:92" x14ac:dyDescent="0.35">
      <c r="D1213">
        <v>5.7747799999999998E-4</v>
      </c>
      <c r="E1213">
        <v>14.5746</v>
      </c>
      <c r="F1213">
        <v>12.729100000000001</v>
      </c>
      <c r="G1213">
        <v>14.5291</v>
      </c>
      <c r="I1213">
        <v>5.7747799999999998E-4</v>
      </c>
      <c r="J1213">
        <f t="shared" si="147"/>
        <v>2.5867653510753229E-2</v>
      </c>
      <c r="K1213">
        <v>6.7556391989587489E-2</v>
      </c>
      <c r="L1213">
        <v>4.7766929592321886E-2</v>
      </c>
      <c r="N1213">
        <v>5.7747799999999998E-4</v>
      </c>
      <c r="O1213">
        <f t="shared" si="148"/>
        <v>6.7556391989587489E-2</v>
      </c>
      <c r="Q1213">
        <v>5.7747799999999998E-4</v>
      </c>
      <c r="R1213">
        <f t="shared" si="149"/>
        <v>4.7766929592321886E-2</v>
      </c>
      <c r="CH1213">
        <v>5.3457299999999999E-4</v>
      </c>
      <c r="CI1213">
        <v>29.9575</v>
      </c>
      <c r="CJ1213">
        <f t="shared" si="150"/>
        <v>2328.2670918149743</v>
      </c>
      <c r="CL1213">
        <v>5.3457299999999999E-4</v>
      </c>
      <c r="CM1213">
        <v>2.2849999999999999E-2</v>
      </c>
      <c r="CN1213">
        <f t="shared" si="151"/>
        <v>1.7758792638895824</v>
      </c>
    </row>
    <row r="1214" spans="4:92" x14ac:dyDescent="0.35">
      <c r="D1214">
        <v>5.8495599999999997E-4</v>
      </c>
      <c r="E1214">
        <v>14.843299999999999</v>
      </c>
      <c r="F1214">
        <v>18.264099999999999</v>
      </c>
      <c r="G1214">
        <v>15.2738</v>
      </c>
      <c r="I1214">
        <v>5.8495599999999997E-4</v>
      </c>
      <c r="J1214">
        <f t="shared" si="147"/>
        <v>2.6344554317522494E-2</v>
      </c>
      <c r="K1214">
        <v>9.6931966826957497E-2</v>
      </c>
      <c r="L1214">
        <v>5.02152596655819E-2</v>
      </c>
      <c r="N1214">
        <v>5.8495599999999997E-4</v>
      </c>
      <c r="O1214">
        <f t="shared" si="148"/>
        <v>9.6931966826957497E-2</v>
      </c>
      <c r="Q1214">
        <v>5.8495599999999997E-4</v>
      </c>
      <c r="R1214">
        <f t="shared" si="149"/>
        <v>5.02152596655819E-2</v>
      </c>
      <c r="CH1214">
        <v>5.4149600000000003E-4</v>
      </c>
      <c r="CI1214">
        <v>31.908999999999999</v>
      </c>
      <c r="CJ1214">
        <f t="shared" si="150"/>
        <v>2479.9357300416932</v>
      </c>
      <c r="CL1214">
        <v>5.4149600000000003E-4</v>
      </c>
      <c r="CM1214">
        <v>2.2710000000000001E-2</v>
      </c>
      <c r="CN1214">
        <f t="shared" si="151"/>
        <v>1.7649986031917908</v>
      </c>
    </row>
    <row r="1215" spans="4:92" x14ac:dyDescent="0.35">
      <c r="D1215">
        <v>5.9253099999999998E-4</v>
      </c>
      <c r="E1215">
        <v>14.698499999999999</v>
      </c>
      <c r="F1215">
        <v>12.0487</v>
      </c>
      <c r="G1215">
        <v>14.1134</v>
      </c>
      <c r="I1215">
        <v>5.9253099999999998E-4</v>
      </c>
      <c r="J1215">
        <f t="shared" si="147"/>
        <v>2.6087556785627481E-2</v>
      </c>
      <c r="K1215">
        <v>6.3945345716896154E-2</v>
      </c>
      <c r="L1215">
        <v>4.6400243931714678E-2</v>
      </c>
      <c r="N1215">
        <v>5.9253099999999998E-4</v>
      </c>
      <c r="O1215">
        <f t="shared" si="148"/>
        <v>6.3945345716896154E-2</v>
      </c>
      <c r="Q1215">
        <v>5.9253099999999998E-4</v>
      </c>
      <c r="R1215">
        <f t="shared" si="149"/>
        <v>4.6400243931714678E-2</v>
      </c>
      <c r="CH1215">
        <v>5.4850799999999996E-4</v>
      </c>
      <c r="CI1215">
        <v>31.506499999999999</v>
      </c>
      <c r="CJ1215">
        <f t="shared" si="150"/>
        <v>2448.6538305355416</v>
      </c>
      <c r="CL1215">
        <v>5.4850799999999996E-4</v>
      </c>
      <c r="CM1215">
        <v>2.129E-2</v>
      </c>
      <c r="CN1215">
        <f t="shared" si="151"/>
        <v>1.6546376161141887</v>
      </c>
    </row>
    <row r="1216" spans="4:92" x14ac:dyDescent="0.35">
      <c r="D1216">
        <v>6.0020500000000003E-4</v>
      </c>
      <c r="E1216">
        <v>14.7098</v>
      </c>
      <c r="F1216">
        <v>15.4854</v>
      </c>
      <c r="G1216">
        <v>14.6988</v>
      </c>
      <c r="I1216">
        <v>6.0020500000000003E-4</v>
      </c>
      <c r="J1216">
        <f t="shared" si="147"/>
        <v>2.610761253224636E-2</v>
      </c>
      <c r="K1216">
        <v>8.2184738317364003E-2</v>
      </c>
      <c r="L1216">
        <v>4.8324847698179581E-2</v>
      </c>
      <c r="N1216">
        <v>6.0020500000000003E-4</v>
      </c>
      <c r="O1216">
        <f t="shared" si="148"/>
        <v>8.2184738317364003E-2</v>
      </c>
      <c r="Q1216">
        <v>6.0020500000000003E-4</v>
      </c>
      <c r="R1216">
        <f t="shared" si="149"/>
        <v>4.8324847698179581E-2</v>
      </c>
      <c r="CH1216">
        <v>5.5561100000000002E-4</v>
      </c>
      <c r="CI1216">
        <v>31.787400000000002</v>
      </c>
      <c r="CJ1216">
        <f t="shared" si="150"/>
        <v>2470.4850990356113</v>
      </c>
      <c r="CL1216">
        <v>5.5561100000000002E-4</v>
      </c>
      <c r="CM1216">
        <v>2.104E-2</v>
      </c>
      <c r="CN1216">
        <f t="shared" si="151"/>
        <v>1.6352078648681319</v>
      </c>
    </row>
    <row r="1217" spans="4:92" x14ac:dyDescent="0.35">
      <c r="D1217">
        <v>6.07977E-4</v>
      </c>
      <c r="E1217">
        <v>14.609</v>
      </c>
      <c r="F1217">
        <v>16.2516</v>
      </c>
      <c r="G1217">
        <v>14.6663</v>
      </c>
      <c r="I1217">
        <v>6.07977E-4</v>
      </c>
      <c r="J1217">
        <f t="shared" si="147"/>
        <v>2.5928708173026629E-2</v>
      </c>
      <c r="K1217">
        <v>8.6251145804336515E-2</v>
      </c>
      <c r="L1217">
        <v>4.8217998326109013E-2</v>
      </c>
      <c r="N1217">
        <v>6.07977E-4</v>
      </c>
      <c r="O1217">
        <f t="shared" si="148"/>
        <v>8.6251145804336515E-2</v>
      </c>
      <c r="Q1217">
        <v>6.07977E-4</v>
      </c>
      <c r="R1217">
        <f t="shared" si="149"/>
        <v>4.8217998326109013E-2</v>
      </c>
      <c r="CH1217">
        <v>5.6280700000000002E-4</v>
      </c>
      <c r="CI1217">
        <v>31.479199999999999</v>
      </c>
      <c r="CJ1217">
        <f t="shared" si="150"/>
        <v>2446.5321016994722</v>
      </c>
      <c r="CL1217">
        <v>5.6280700000000002E-4</v>
      </c>
      <c r="CM1217">
        <v>2.1139999999999999E-2</v>
      </c>
      <c r="CN1217">
        <f t="shared" si="151"/>
        <v>1.6429797653665545</v>
      </c>
    </row>
    <row r="1218" spans="4:92" x14ac:dyDescent="0.35">
      <c r="D1218">
        <v>6.1585100000000005E-4</v>
      </c>
      <c r="E1218">
        <v>15.1214</v>
      </c>
      <c r="F1218">
        <v>13.6996</v>
      </c>
      <c r="G1218">
        <v>14.7842</v>
      </c>
      <c r="I1218">
        <v>6.1585100000000005E-4</v>
      </c>
      <c r="J1218">
        <f t="shared" si="147"/>
        <v>2.683813866572694E-2</v>
      </c>
      <c r="K1218">
        <v>7.2707068661614152E-2</v>
      </c>
      <c r="L1218">
        <v>4.8605614971251154E-2</v>
      </c>
      <c r="N1218">
        <v>6.1585100000000005E-4</v>
      </c>
      <c r="O1218">
        <f t="shared" si="148"/>
        <v>7.2707068661614152E-2</v>
      </c>
      <c r="Q1218">
        <v>6.1585100000000005E-4</v>
      </c>
      <c r="R1218">
        <f t="shared" si="149"/>
        <v>4.8605614971251154E-2</v>
      </c>
      <c r="CH1218">
        <v>5.7009499999999996E-4</v>
      </c>
      <c r="CI1218">
        <v>32.293399999999998</v>
      </c>
      <c r="CJ1218">
        <f t="shared" si="150"/>
        <v>2509.8109155576299</v>
      </c>
      <c r="CL1218">
        <v>5.7009499999999996E-4</v>
      </c>
      <c r="CM1218">
        <v>2.6980000000000001E-2</v>
      </c>
      <c r="CN1218">
        <f t="shared" si="151"/>
        <v>2.096858754474439</v>
      </c>
    </row>
    <row r="1219" spans="4:92" x14ac:dyDescent="0.35">
      <c r="D1219">
        <v>6.2382599999999996E-4</v>
      </c>
      <c r="E1219">
        <v>14.6746</v>
      </c>
      <c r="F1219">
        <v>15.004</v>
      </c>
      <c r="G1219">
        <v>14.615399999999999</v>
      </c>
      <c r="I1219">
        <v>6.2382599999999996E-4</v>
      </c>
      <c r="J1219">
        <f t="shared" si="147"/>
        <v>2.6045137994106137E-2</v>
      </c>
      <c r="K1219">
        <v>7.962983285635046E-2</v>
      </c>
      <c r="L1219">
        <v>4.8050655771081564E-2</v>
      </c>
      <c r="N1219">
        <v>6.2382599999999996E-4</v>
      </c>
      <c r="O1219">
        <f t="shared" si="148"/>
        <v>7.962983285635046E-2</v>
      </c>
      <c r="Q1219">
        <v>6.2382599999999996E-4</v>
      </c>
      <c r="R1219">
        <f t="shared" si="149"/>
        <v>4.8050655771081564E-2</v>
      </c>
      <c r="CH1219">
        <v>5.7747799999999998E-4</v>
      </c>
      <c r="CI1219">
        <v>30.539899999999999</v>
      </c>
      <c r="CJ1219">
        <f t="shared" si="150"/>
        <v>2373.5306403177883</v>
      </c>
      <c r="CL1219">
        <v>5.7747799999999998E-4</v>
      </c>
      <c r="CM1219">
        <v>2.137E-2</v>
      </c>
      <c r="CN1219">
        <f t="shared" si="151"/>
        <v>1.6608551365129267</v>
      </c>
    </row>
    <row r="1220" spans="4:92" x14ac:dyDescent="0.35">
      <c r="D1220">
        <v>6.3190499999999999E-4</v>
      </c>
      <c r="E1220">
        <v>14.8348</v>
      </c>
      <c r="F1220">
        <v>15.937900000000001</v>
      </c>
      <c r="G1220">
        <v>14.7102</v>
      </c>
      <c r="I1220">
        <v>6.3190499999999999E-4</v>
      </c>
      <c r="J1220">
        <f t="shared" ref="J1220:J1283" si="152">E1220/SUM($E$3:$E$2002)/$C$3</f>
        <v>2.6329468136437495E-2</v>
      </c>
      <c r="K1220">
        <v>8.4586264534872571E-2</v>
      </c>
      <c r="L1220">
        <v>4.8362327170228946E-2</v>
      </c>
      <c r="N1220">
        <v>6.3190499999999999E-4</v>
      </c>
      <c r="O1220">
        <f t="shared" ref="O1220:O1283" si="153">F1220/SUM($F$3:$F$2002)/$C$3</f>
        <v>8.4586264534872571E-2</v>
      </c>
      <c r="Q1220">
        <v>6.3190499999999999E-4</v>
      </c>
      <c r="R1220">
        <f t="shared" ref="R1220:R1283" si="154">G1220/SUM($G$3:$G$2002)/$C$3</f>
        <v>4.8362327170228946E-2</v>
      </c>
      <c r="CH1220">
        <v>5.8495599999999997E-4</v>
      </c>
      <c r="CI1220">
        <v>32.527200000000001</v>
      </c>
      <c r="CJ1220">
        <f t="shared" si="150"/>
        <v>2527.9816189229423</v>
      </c>
      <c r="CL1220">
        <v>5.8495599999999997E-4</v>
      </c>
      <c r="CM1220">
        <v>2.0719999999999999E-2</v>
      </c>
      <c r="CN1220">
        <f t="shared" si="151"/>
        <v>1.6103377832731793</v>
      </c>
    </row>
    <row r="1221" spans="4:92" x14ac:dyDescent="0.35">
      <c r="D1221">
        <v>6.4008800000000003E-4</v>
      </c>
      <c r="E1221">
        <v>14.996700000000001</v>
      </c>
      <c r="F1221">
        <v>15.9749</v>
      </c>
      <c r="G1221">
        <v>14.595599999999999</v>
      </c>
      <c r="I1221">
        <v>6.4008800000000003E-4</v>
      </c>
      <c r="J1221">
        <f t="shared" si="152"/>
        <v>2.6616815514985862E-2</v>
      </c>
      <c r="K1221">
        <v>8.4782632424480989E-2</v>
      </c>
      <c r="L1221">
        <v>4.7985559845943195E-2</v>
      </c>
      <c r="N1221">
        <v>6.4008800000000003E-4</v>
      </c>
      <c r="O1221">
        <f t="shared" si="153"/>
        <v>8.4782632424480989E-2</v>
      </c>
      <c r="Q1221">
        <v>6.4008800000000003E-4</v>
      </c>
      <c r="R1221">
        <f t="shared" si="154"/>
        <v>4.7985559845943195E-2</v>
      </c>
      <c r="CH1221">
        <v>5.9253099999999998E-4</v>
      </c>
      <c r="CI1221">
        <v>29.560099999999998</v>
      </c>
      <c r="CJ1221">
        <f t="shared" si="150"/>
        <v>2297.3815592342426</v>
      </c>
      <c r="CL1221">
        <v>5.9253099999999998E-4</v>
      </c>
      <c r="CM1221">
        <v>1.899E-2</v>
      </c>
      <c r="CN1221">
        <f t="shared" si="151"/>
        <v>1.475883904650467</v>
      </c>
    </row>
    <row r="1222" spans="4:92" x14ac:dyDescent="0.35">
      <c r="D1222">
        <v>6.48377E-4</v>
      </c>
      <c r="E1222">
        <v>14.6455</v>
      </c>
      <c r="F1222">
        <v>18.936800000000002</v>
      </c>
      <c r="G1222">
        <v>15.3842</v>
      </c>
      <c r="I1222">
        <v>6.48377E-4</v>
      </c>
      <c r="J1222">
        <f t="shared" si="152"/>
        <v>2.5993490009450441E-2</v>
      </c>
      <c r="K1222">
        <v>0.10050214734964925</v>
      </c>
      <c r="L1222">
        <v>5.0578218763323142E-2</v>
      </c>
      <c r="N1222">
        <v>6.48377E-4</v>
      </c>
      <c r="O1222">
        <f t="shared" si="153"/>
        <v>0.10050214734964925</v>
      </c>
      <c r="Q1222">
        <v>6.48377E-4</v>
      </c>
      <c r="R1222">
        <f t="shared" si="154"/>
        <v>5.0578218763323142E-2</v>
      </c>
      <c r="CH1222">
        <v>6.0020500000000003E-4</v>
      </c>
      <c r="CI1222">
        <v>31.181899999999999</v>
      </c>
      <c r="CJ1222">
        <f t="shared" si="150"/>
        <v>2423.4262415176618</v>
      </c>
      <c r="CL1222">
        <v>6.0020500000000003E-4</v>
      </c>
      <c r="CM1222">
        <v>1.9570000000000001E-2</v>
      </c>
      <c r="CN1222">
        <f t="shared" si="151"/>
        <v>1.5209609275413185</v>
      </c>
    </row>
    <row r="1223" spans="4:92" x14ac:dyDescent="0.35">
      <c r="D1223">
        <v>6.5677400000000005E-4</v>
      </c>
      <c r="E1223">
        <v>14.6967</v>
      </c>
      <c r="F1223">
        <v>13.3977</v>
      </c>
      <c r="G1223">
        <v>14.1456</v>
      </c>
      <c r="I1223">
        <v>6.5677400000000005E-4</v>
      </c>
      <c r="J1223">
        <f t="shared" si="152"/>
        <v>2.6084362064927129E-2</v>
      </c>
      <c r="K1223">
        <v>7.1104812827214509E-2</v>
      </c>
      <c r="L1223">
        <v>4.6506107001889209E-2</v>
      </c>
      <c r="N1223">
        <v>6.5677400000000005E-4</v>
      </c>
      <c r="O1223">
        <f t="shared" si="153"/>
        <v>7.1104812827214509E-2</v>
      </c>
      <c r="Q1223">
        <v>6.5677400000000005E-4</v>
      </c>
      <c r="R1223">
        <f t="shared" si="154"/>
        <v>4.6506107001889209E-2</v>
      </c>
      <c r="CH1223">
        <v>6.07977E-4</v>
      </c>
      <c r="CI1223">
        <v>32.506700000000002</v>
      </c>
      <c r="CJ1223">
        <f t="shared" si="150"/>
        <v>2526.3883793207656</v>
      </c>
      <c r="CL1223">
        <v>6.07977E-4</v>
      </c>
      <c r="CM1223">
        <v>2.103E-2</v>
      </c>
      <c r="CN1223">
        <f t="shared" si="151"/>
        <v>1.6344306748182897</v>
      </c>
    </row>
    <row r="1224" spans="4:92" x14ac:dyDescent="0.35">
      <c r="D1224">
        <v>6.6527899999999996E-4</v>
      </c>
      <c r="E1224">
        <v>14.536300000000001</v>
      </c>
      <c r="F1224">
        <v>15.887</v>
      </c>
      <c r="G1224">
        <v>14.845800000000001</v>
      </c>
      <c r="I1224">
        <v>6.6527899999999996E-4</v>
      </c>
      <c r="J1224">
        <f t="shared" si="152"/>
        <v>2.5799676953629062E-2</v>
      </c>
      <c r="K1224">
        <v>8.4316126005654482E-2</v>
      </c>
      <c r="L1224">
        <v>4.8808135627237209E-2</v>
      </c>
      <c r="N1224">
        <v>6.6527899999999996E-4</v>
      </c>
      <c r="O1224">
        <f t="shared" si="153"/>
        <v>8.4316126005654482E-2</v>
      </c>
      <c r="Q1224">
        <v>6.6527899999999996E-4</v>
      </c>
      <c r="R1224">
        <f t="shared" si="154"/>
        <v>4.8808135627237209E-2</v>
      </c>
      <c r="CH1224">
        <v>6.1585100000000005E-4</v>
      </c>
      <c r="CI1224">
        <v>31.886700000000001</v>
      </c>
      <c r="CJ1224">
        <f t="shared" si="150"/>
        <v>2478.2025962305447</v>
      </c>
      <c r="CL1224">
        <v>6.1585100000000005E-4</v>
      </c>
      <c r="CM1224">
        <v>2.3369999999999998E-2</v>
      </c>
      <c r="CN1224">
        <f t="shared" si="151"/>
        <v>1.8162931464813803</v>
      </c>
    </row>
    <row r="1225" spans="4:92" x14ac:dyDescent="0.35">
      <c r="D1225">
        <v>6.7389399999999997E-4</v>
      </c>
      <c r="E1225">
        <v>14.8523</v>
      </c>
      <c r="F1225">
        <v>16.095300000000002</v>
      </c>
      <c r="G1225">
        <v>14.807399999999999</v>
      </c>
      <c r="I1225">
        <v>6.7389399999999997E-4</v>
      </c>
      <c r="J1225">
        <f t="shared" si="152"/>
        <v>2.6360527921024259E-2</v>
      </c>
      <c r="K1225">
        <v>8.542162415174738E-2</v>
      </c>
      <c r="L1225">
        <v>4.8681888984544605E-2</v>
      </c>
      <c r="N1225">
        <v>6.7389399999999997E-4</v>
      </c>
      <c r="O1225">
        <f t="shared" si="153"/>
        <v>8.542162415174738E-2</v>
      </c>
      <c r="Q1225">
        <v>6.7389399999999997E-4</v>
      </c>
      <c r="R1225">
        <f t="shared" si="154"/>
        <v>4.8681888984544605E-2</v>
      </c>
      <c r="CH1225">
        <v>6.2382599999999996E-4</v>
      </c>
      <c r="CI1225">
        <v>31.1252</v>
      </c>
      <c r="CJ1225">
        <f t="shared" si="150"/>
        <v>2419.0195739350561</v>
      </c>
      <c r="CL1225">
        <v>6.2382599999999996E-4</v>
      </c>
      <c r="CM1225">
        <v>2.3140000000000001E-2</v>
      </c>
      <c r="CN1225">
        <f t="shared" si="151"/>
        <v>1.7984177753350084</v>
      </c>
    </row>
    <row r="1226" spans="4:92" x14ac:dyDescent="0.35">
      <c r="D1226">
        <v>6.8262100000000001E-4</v>
      </c>
      <c r="E1226">
        <v>14.8505</v>
      </c>
      <c r="F1226">
        <v>17.810700000000001</v>
      </c>
      <c r="G1226">
        <v>15.045400000000001</v>
      </c>
      <c r="I1226">
        <v>6.8262100000000001E-4</v>
      </c>
      <c r="J1226">
        <f t="shared" si="152"/>
        <v>2.6357333200323907E-2</v>
      </c>
      <c r="K1226">
        <v>9.4525664093215209E-2</v>
      </c>
      <c r="L1226">
        <v>4.9464355155399826E-2</v>
      </c>
      <c r="N1226">
        <v>6.8262100000000001E-4</v>
      </c>
      <c r="O1226">
        <f t="shared" si="153"/>
        <v>9.4525664093215209E-2</v>
      </c>
      <c r="Q1226">
        <v>6.8262100000000001E-4</v>
      </c>
      <c r="R1226">
        <f t="shared" si="154"/>
        <v>4.9464355155399826E-2</v>
      </c>
      <c r="CH1226">
        <v>6.3190499999999999E-4</v>
      </c>
      <c r="CI1226">
        <v>32.818399999999997</v>
      </c>
      <c r="CJ1226">
        <f t="shared" ref="CJ1226:CJ1289" si="155">CI1226/$CG$9</f>
        <v>2550.6133931743489</v>
      </c>
      <c r="CL1226">
        <v>6.3190499999999999E-4</v>
      </c>
      <c r="CM1226">
        <v>2.1239999999999998E-2</v>
      </c>
      <c r="CN1226">
        <f t="shared" ref="CN1226:CN1289" si="156">CM1226/$CG$9</f>
        <v>1.6507516658649772</v>
      </c>
    </row>
    <row r="1227" spans="4:92" x14ac:dyDescent="0.35">
      <c r="D1227">
        <v>6.9146099999999999E-4</v>
      </c>
      <c r="E1227">
        <v>14.503</v>
      </c>
      <c r="F1227">
        <v>13.962199999999999</v>
      </c>
      <c r="G1227">
        <v>14.572800000000001</v>
      </c>
      <c r="I1227">
        <v>6.9146099999999999E-4</v>
      </c>
      <c r="J1227">
        <f t="shared" si="152"/>
        <v>2.5740574620672543E-2</v>
      </c>
      <c r="K1227">
        <v>7.4100749953808068E-2</v>
      </c>
      <c r="L1227">
        <v>4.7910600901844465E-2</v>
      </c>
      <c r="N1227">
        <v>6.9146099999999999E-4</v>
      </c>
      <c r="O1227">
        <f t="shared" si="153"/>
        <v>7.4100749953808068E-2</v>
      </c>
      <c r="Q1227">
        <v>6.9146099999999999E-4</v>
      </c>
      <c r="R1227">
        <f t="shared" si="154"/>
        <v>4.7910600901844465E-2</v>
      </c>
      <c r="CH1227">
        <v>6.4008800000000003E-4</v>
      </c>
      <c r="CI1227">
        <v>33.140900000000002</v>
      </c>
      <c r="CJ1227">
        <f t="shared" si="155"/>
        <v>2575.6777722817624</v>
      </c>
      <c r="CL1227">
        <v>6.4008800000000003E-4</v>
      </c>
      <c r="CM1227">
        <v>1.711E-2</v>
      </c>
      <c r="CN1227">
        <f t="shared" si="156"/>
        <v>1.3297721752801206</v>
      </c>
    </row>
    <row r="1228" spans="4:92" x14ac:dyDescent="0.35">
      <c r="D1228">
        <v>7.0041600000000004E-4</v>
      </c>
      <c r="E1228">
        <v>14.711499999999999</v>
      </c>
      <c r="F1228">
        <v>15.0701</v>
      </c>
      <c r="G1228">
        <v>14.7355</v>
      </c>
      <c r="I1228">
        <v>7.0041600000000004E-4</v>
      </c>
      <c r="J1228">
        <f t="shared" si="152"/>
        <v>2.6110629768463362E-2</v>
      </c>
      <c r="K1228">
        <v>7.9980641437515806E-2</v>
      </c>
      <c r="L1228">
        <v>4.8445505296794644E-2</v>
      </c>
      <c r="N1228">
        <v>7.0041600000000004E-4</v>
      </c>
      <c r="O1228">
        <f t="shared" si="153"/>
        <v>7.9980641437515806E-2</v>
      </c>
      <c r="Q1228">
        <v>7.0041600000000004E-4</v>
      </c>
      <c r="R1228">
        <f t="shared" si="154"/>
        <v>4.8445505296794644E-2</v>
      </c>
      <c r="CH1228">
        <v>6.48377E-4</v>
      </c>
      <c r="CI1228">
        <v>33.1646</v>
      </c>
      <c r="CJ1228">
        <f t="shared" si="155"/>
        <v>2577.5197126998883</v>
      </c>
      <c r="CL1228">
        <v>6.48377E-4</v>
      </c>
      <c r="CM1228">
        <v>2.3859999999999999E-2</v>
      </c>
      <c r="CN1228">
        <f t="shared" si="156"/>
        <v>1.8543754589236514</v>
      </c>
    </row>
    <row r="1229" spans="4:92" x14ac:dyDescent="0.35">
      <c r="D1229">
        <v>7.0948599999999995E-4</v>
      </c>
      <c r="E1229">
        <v>14.756600000000001</v>
      </c>
      <c r="F1229">
        <v>16.328900000000001</v>
      </c>
      <c r="G1229">
        <v>15.321</v>
      </c>
      <c r="I1229">
        <v>7.0948599999999995E-4</v>
      </c>
      <c r="J1229">
        <f t="shared" si="152"/>
        <v>2.6190675270455526E-2</v>
      </c>
      <c r="K1229">
        <v>8.6661395476410358E-2</v>
      </c>
      <c r="L1229">
        <v>5.037043783055823E-2</v>
      </c>
      <c r="N1229">
        <v>7.0948599999999995E-4</v>
      </c>
      <c r="O1229">
        <f t="shared" si="153"/>
        <v>8.6661395476410358E-2</v>
      </c>
      <c r="Q1229">
        <v>7.0948599999999995E-4</v>
      </c>
      <c r="R1229">
        <f t="shared" si="154"/>
        <v>5.037043783055823E-2</v>
      </c>
      <c r="CH1229">
        <v>6.5677400000000005E-4</v>
      </c>
      <c r="CI1229">
        <v>31.048500000000001</v>
      </c>
      <c r="CJ1229">
        <f t="shared" si="155"/>
        <v>2413.0585262527661</v>
      </c>
      <c r="CL1229">
        <v>6.5677400000000005E-4</v>
      </c>
      <c r="CM1229">
        <v>2.1149999999999999E-2</v>
      </c>
      <c r="CN1229">
        <f t="shared" si="156"/>
        <v>1.6437569554163969</v>
      </c>
    </row>
    <row r="1230" spans="4:92" x14ac:dyDescent="0.35">
      <c r="D1230">
        <v>7.1867399999999998E-4</v>
      </c>
      <c r="E1230">
        <v>14.8185</v>
      </c>
      <c r="F1230">
        <v>16.270800000000001</v>
      </c>
      <c r="G1230">
        <v>14.632</v>
      </c>
      <c r="I1230">
        <v>7.1867399999999998E-4</v>
      </c>
      <c r="J1230">
        <f t="shared" si="152"/>
        <v>2.6300538165650974E-2</v>
      </c>
      <c r="K1230">
        <v>8.6353044817322519E-2</v>
      </c>
      <c r="L1230">
        <v>4.8105231142662228E-2</v>
      </c>
      <c r="N1230">
        <v>7.1867399999999998E-4</v>
      </c>
      <c r="O1230">
        <f t="shared" si="153"/>
        <v>8.6353044817322519E-2</v>
      </c>
      <c r="Q1230">
        <v>7.1867399999999998E-4</v>
      </c>
      <c r="R1230">
        <f t="shared" si="154"/>
        <v>4.8105231142662228E-2</v>
      </c>
      <c r="CH1230">
        <v>6.6527899999999996E-4</v>
      </c>
      <c r="CI1230">
        <v>31.026599999999998</v>
      </c>
      <c r="CJ1230">
        <f t="shared" si="155"/>
        <v>2411.3564800436111</v>
      </c>
      <c r="CL1230">
        <v>6.6527899999999996E-4</v>
      </c>
      <c r="CM1230">
        <v>2.1239999999999998E-2</v>
      </c>
      <c r="CN1230">
        <f t="shared" si="156"/>
        <v>1.6507516658649772</v>
      </c>
    </row>
    <row r="1231" spans="4:92" x14ac:dyDescent="0.35">
      <c r="D1231">
        <v>7.2798100000000005E-4</v>
      </c>
      <c r="E1231">
        <v>14.475099999999999</v>
      </c>
      <c r="F1231">
        <v>16.480599999999999</v>
      </c>
      <c r="G1231">
        <v>14.789</v>
      </c>
      <c r="I1231">
        <v>7.2798100000000005E-4</v>
      </c>
      <c r="J1231">
        <f t="shared" si="152"/>
        <v>2.569105644981708E-2</v>
      </c>
      <c r="K1231">
        <v>8.7466503823804928E-2</v>
      </c>
      <c r="L1231">
        <v>4.8621395801587731E-2</v>
      </c>
      <c r="N1231">
        <v>7.2798100000000005E-4</v>
      </c>
      <c r="O1231">
        <f t="shared" si="153"/>
        <v>8.7466503823804928E-2</v>
      </c>
      <c r="Q1231">
        <v>7.2798100000000005E-4</v>
      </c>
      <c r="R1231">
        <f t="shared" si="154"/>
        <v>4.8621395801587731E-2</v>
      </c>
      <c r="CH1231">
        <v>6.7389399999999997E-4</v>
      </c>
      <c r="CI1231">
        <v>31.501100000000001</v>
      </c>
      <c r="CJ1231">
        <f t="shared" si="155"/>
        <v>2448.2341479086272</v>
      </c>
      <c r="CL1231">
        <v>6.7389399999999997E-4</v>
      </c>
      <c r="CM1231">
        <v>1.8020000000000001E-2</v>
      </c>
      <c r="CN1231">
        <f t="shared" si="156"/>
        <v>1.4004964698157671</v>
      </c>
    </row>
    <row r="1232" spans="4:92" x14ac:dyDescent="0.35">
      <c r="D1232">
        <v>7.3740800000000005E-4</v>
      </c>
      <c r="E1232">
        <v>15.013</v>
      </c>
      <c r="F1232">
        <v>16.350100000000001</v>
      </c>
      <c r="G1232">
        <v>14.9526</v>
      </c>
      <c r="I1232">
        <v>7.3740800000000005E-4</v>
      </c>
      <c r="J1232">
        <f t="shared" si="152"/>
        <v>2.6645745485772383E-2</v>
      </c>
      <c r="K1232">
        <v>8.6773908969915742E-2</v>
      </c>
      <c r="L1232">
        <v>4.915925910222603E-2</v>
      </c>
      <c r="N1232">
        <v>7.3740800000000005E-4</v>
      </c>
      <c r="O1232">
        <f t="shared" si="153"/>
        <v>8.6773908969915742E-2</v>
      </c>
      <c r="Q1232">
        <v>7.3740800000000005E-4</v>
      </c>
      <c r="R1232">
        <f t="shared" si="154"/>
        <v>4.915925910222603E-2</v>
      </c>
      <c r="CH1232">
        <v>6.8262100000000001E-4</v>
      </c>
      <c r="CI1232">
        <v>31.982399999999998</v>
      </c>
      <c r="CJ1232">
        <f t="shared" si="155"/>
        <v>2485.6403050075351</v>
      </c>
      <c r="CL1232">
        <v>6.8262100000000001E-4</v>
      </c>
      <c r="CM1232">
        <v>2.0330000000000001E-2</v>
      </c>
      <c r="CN1232">
        <f t="shared" si="156"/>
        <v>1.5800273713293309</v>
      </c>
    </row>
    <row r="1233" spans="4:92" x14ac:dyDescent="0.35">
      <c r="D1233">
        <v>7.4695800000000004E-4</v>
      </c>
      <c r="E1233">
        <v>14.990399999999999</v>
      </c>
      <c r="F1233">
        <v>16.813600000000001</v>
      </c>
      <c r="G1233">
        <v>15.050700000000001</v>
      </c>
      <c r="I1233">
        <v>7.4695800000000004E-4</v>
      </c>
      <c r="J1233">
        <f t="shared" si="152"/>
        <v>2.6605633992534627E-2</v>
      </c>
      <c r="K1233">
        <v>8.9233814830280866E-2</v>
      </c>
      <c r="L1233">
        <v>4.9481779822229795E-2</v>
      </c>
      <c r="N1233">
        <v>7.4695800000000004E-4</v>
      </c>
      <c r="O1233">
        <f t="shared" si="153"/>
        <v>8.9233814830280866E-2</v>
      </c>
      <c r="Q1233">
        <v>7.4695800000000004E-4</v>
      </c>
      <c r="R1233">
        <f t="shared" si="154"/>
        <v>4.9481779822229795E-2</v>
      </c>
      <c r="CH1233">
        <v>6.9146099999999999E-4</v>
      </c>
      <c r="CI1233">
        <v>30.569600000000001</v>
      </c>
      <c r="CJ1233">
        <f t="shared" si="155"/>
        <v>2375.83889476582</v>
      </c>
      <c r="CL1233">
        <v>6.9146099999999999E-4</v>
      </c>
      <c r="CM1233">
        <v>2.427E-2</v>
      </c>
      <c r="CN1233">
        <f t="shared" si="156"/>
        <v>1.8862402509671845</v>
      </c>
    </row>
    <row r="1234" spans="4:92" x14ac:dyDescent="0.35">
      <c r="D1234">
        <v>7.5663100000000001E-4</v>
      </c>
      <c r="E1234">
        <v>14.675700000000001</v>
      </c>
      <c r="F1234">
        <v>16.485199999999999</v>
      </c>
      <c r="G1234">
        <v>14.8733</v>
      </c>
      <c r="I1234">
        <v>7.5663100000000001E-4</v>
      </c>
      <c r="J1234">
        <f t="shared" si="152"/>
        <v>2.6047090323423023E-2</v>
      </c>
      <c r="K1234">
        <v>8.7490917128999493E-2</v>
      </c>
      <c r="L1234">
        <v>4.8898546634373846E-2</v>
      </c>
      <c r="N1234">
        <v>7.5663100000000001E-4</v>
      </c>
      <c r="O1234">
        <f t="shared" si="153"/>
        <v>8.7490917128999493E-2</v>
      </c>
      <c r="Q1234">
        <v>7.5663100000000001E-4</v>
      </c>
      <c r="R1234">
        <f t="shared" si="154"/>
        <v>4.8898546634373846E-2</v>
      </c>
      <c r="CH1234">
        <v>7.0041600000000004E-4</v>
      </c>
      <c r="CI1234">
        <v>32.803199999999997</v>
      </c>
      <c r="CJ1234">
        <f t="shared" si="155"/>
        <v>2549.4320642985886</v>
      </c>
      <c r="CL1234">
        <v>7.0041600000000004E-4</v>
      </c>
      <c r="CM1234">
        <v>1.8169999999999999E-2</v>
      </c>
      <c r="CN1234">
        <f t="shared" si="156"/>
        <v>1.4121543205634008</v>
      </c>
    </row>
    <row r="1235" spans="4:92" x14ac:dyDescent="0.35">
      <c r="D1235">
        <v>7.6643000000000002E-4</v>
      </c>
      <c r="E1235">
        <v>14.564</v>
      </c>
      <c r="F1235">
        <v>16.9514</v>
      </c>
      <c r="G1235">
        <v>15.0177</v>
      </c>
      <c r="I1235">
        <v>7.6643000000000002E-4</v>
      </c>
      <c r="J1235">
        <f t="shared" si="152"/>
        <v>2.5848840155517819E-2</v>
      </c>
      <c r="K1235">
        <v>8.9965152538065779E-2</v>
      </c>
      <c r="L1235">
        <v>4.9373286613665836E-2</v>
      </c>
      <c r="N1235">
        <v>7.6643000000000002E-4</v>
      </c>
      <c r="O1235">
        <f t="shared" si="153"/>
        <v>8.9965152538065779E-2</v>
      </c>
      <c r="Q1235">
        <v>7.6643000000000002E-4</v>
      </c>
      <c r="R1235">
        <f t="shared" si="154"/>
        <v>4.9373286613665836E-2</v>
      </c>
      <c r="CH1235">
        <v>7.0948599999999995E-4</v>
      </c>
      <c r="CI1235">
        <v>30.9542</v>
      </c>
      <c r="CJ1235">
        <f t="shared" si="155"/>
        <v>2405.7296240827532</v>
      </c>
      <c r="CL1235">
        <v>7.0948599999999995E-4</v>
      </c>
      <c r="CM1235">
        <v>1.9029999999999998E-2</v>
      </c>
      <c r="CN1235">
        <f t="shared" si="156"/>
        <v>1.4789926648498359</v>
      </c>
    </row>
    <row r="1236" spans="4:92" x14ac:dyDescent="0.35">
      <c r="D1236">
        <v>7.7635499999999995E-4</v>
      </c>
      <c r="E1236">
        <v>14.621</v>
      </c>
      <c r="F1236">
        <v>16.9053</v>
      </c>
      <c r="G1236">
        <v>14.708</v>
      </c>
      <c r="I1236">
        <v>7.7635499999999995E-4</v>
      </c>
      <c r="J1236">
        <f t="shared" si="152"/>
        <v>2.5950006311028978E-2</v>
      </c>
      <c r="K1236">
        <v>8.9720488762094194E-2</v>
      </c>
      <c r="L1236">
        <v>4.8355094289658014E-2</v>
      </c>
      <c r="N1236">
        <v>7.7635499999999995E-4</v>
      </c>
      <c r="O1236">
        <f t="shared" si="153"/>
        <v>8.9720488762094194E-2</v>
      </c>
      <c r="Q1236">
        <v>7.7635499999999995E-4</v>
      </c>
      <c r="R1236">
        <f t="shared" si="154"/>
        <v>4.8355094289658014E-2</v>
      </c>
      <c r="CH1236">
        <v>7.1867399999999998E-4</v>
      </c>
      <c r="CI1236">
        <v>31.9451</v>
      </c>
      <c r="CJ1236">
        <f t="shared" si="155"/>
        <v>2482.7413861216237</v>
      </c>
      <c r="CL1236">
        <v>7.1867399999999998E-4</v>
      </c>
      <c r="CM1236">
        <v>1.865E-2</v>
      </c>
      <c r="CN1236">
        <f t="shared" si="156"/>
        <v>1.4494594429558298</v>
      </c>
    </row>
    <row r="1237" spans="4:92" x14ac:dyDescent="0.35">
      <c r="D1237">
        <v>7.8640899999999996E-4</v>
      </c>
      <c r="E1237">
        <v>14.513999999999999</v>
      </c>
      <c r="F1237">
        <v>16.019600000000001</v>
      </c>
      <c r="G1237">
        <v>14.9064</v>
      </c>
      <c r="I1237">
        <v>7.8640899999999996E-4</v>
      </c>
      <c r="J1237">
        <f t="shared" si="152"/>
        <v>2.5760097913841363E-2</v>
      </c>
      <c r="K1237">
        <v>8.5019866064089039E-2</v>
      </c>
      <c r="L1237">
        <v>4.9007368610236482E-2</v>
      </c>
      <c r="N1237">
        <v>7.8640899999999996E-4</v>
      </c>
      <c r="O1237">
        <f t="shared" si="153"/>
        <v>8.5019866064089039E-2</v>
      </c>
      <c r="Q1237">
        <v>7.8640899999999996E-4</v>
      </c>
      <c r="R1237">
        <f t="shared" si="154"/>
        <v>4.9007368610236482E-2</v>
      </c>
      <c r="CH1237">
        <v>7.2798100000000005E-4</v>
      </c>
      <c r="CI1237">
        <v>32.1203</v>
      </c>
      <c r="CJ1237">
        <f t="shared" si="155"/>
        <v>2496.3577557948602</v>
      </c>
      <c r="CL1237">
        <v>7.2798100000000005E-4</v>
      </c>
      <c r="CM1237">
        <v>2.0469999999999999E-2</v>
      </c>
      <c r="CN1237">
        <f t="shared" si="156"/>
        <v>1.5909080320271225</v>
      </c>
    </row>
    <row r="1238" spans="4:92" x14ac:dyDescent="0.35">
      <c r="D1238">
        <v>7.9659299999999995E-4</v>
      </c>
      <c r="E1238">
        <v>15.131600000000001</v>
      </c>
      <c r="F1238">
        <v>17.117899999999999</v>
      </c>
      <c r="G1238">
        <v>14.7744</v>
      </c>
      <c r="I1238">
        <v>7.9659299999999995E-4</v>
      </c>
      <c r="J1238">
        <f t="shared" si="152"/>
        <v>2.6856242083028937E-2</v>
      </c>
      <c r="K1238">
        <v>9.0848808041303741E-2</v>
      </c>
      <c r="L1238">
        <v>4.8573395775980646E-2</v>
      </c>
      <c r="N1238">
        <v>7.9659299999999995E-4</v>
      </c>
      <c r="O1238">
        <f t="shared" si="153"/>
        <v>9.0848808041303741E-2</v>
      </c>
      <c r="Q1238">
        <v>7.9659299999999995E-4</v>
      </c>
      <c r="R1238">
        <f t="shared" si="154"/>
        <v>4.8573395775980646E-2</v>
      </c>
      <c r="CH1238">
        <v>7.3740800000000005E-4</v>
      </c>
      <c r="CI1238">
        <v>32.008299999999998</v>
      </c>
      <c r="CJ1238">
        <f t="shared" si="155"/>
        <v>2487.6532272366267</v>
      </c>
      <c r="CL1238">
        <v>7.3740800000000005E-4</v>
      </c>
      <c r="CM1238">
        <v>2.392E-2</v>
      </c>
      <c r="CN1238">
        <f t="shared" si="156"/>
        <v>1.8590385992227052</v>
      </c>
    </row>
    <row r="1239" spans="4:92" x14ac:dyDescent="0.35">
      <c r="D1239">
        <v>8.0690899999999997E-4</v>
      </c>
      <c r="E1239">
        <v>14.9115</v>
      </c>
      <c r="F1239">
        <v>18.525700000000001</v>
      </c>
      <c r="G1239">
        <v>14.904400000000001</v>
      </c>
      <c r="I1239">
        <v>8.0690899999999997E-4</v>
      </c>
      <c r="J1239">
        <f t="shared" si="152"/>
        <v>2.6465598735169179E-2</v>
      </c>
      <c r="K1239">
        <v>9.8320340878891743E-2</v>
      </c>
      <c r="L1239">
        <v>4.9000793264262911E-2</v>
      </c>
      <c r="N1239">
        <v>8.0690899999999997E-4</v>
      </c>
      <c r="O1239">
        <f t="shared" si="153"/>
        <v>9.8320340878891743E-2</v>
      </c>
      <c r="Q1239">
        <v>8.0690899999999997E-4</v>
      </c>
      <c r="R1239">
        <f t="shared" si="154"/>
        <v>4.9000793264262911E-2</v>
      </c>
      <c r="CH1239">
        <v>7.4695800000000004E-4</v>
      </c>
      <c r="CI1239">
        <v>32.65</v>
      </c>
      <c r="CJ1239">
        <f t="shared" si="155"/>
        <v>2537.5255127350051</v>
      </c>
      <c r="CL1239">
        <v>7.4695800000000004E-4</v>
      </c>
      <c r="CM1239">
        <v>1.9709999999999998E-2</v>
      </c>
      <c r="CN1239">
        <f t="shared" si="156"/>
        <v>1.5318415882391101</v>
      </c>
    </row>
    <row r="1240" spans="4:92" x14ac:dyDescent="0.35">
      <c r="D1240">
        <v>8.1735800000000002E-4</v>
      </c>
      <c r="E1240">
        <v>14.686199999999999</v>
      </c>
      <c r="F1240">
        <v>14.6729</v>
      </c>
      <c r="G1240">
        <v>14.3665</v>
      </c>
      <c r="I1240">
        <v>8.1735800000000002E-4</v>
      </c>
      <c r="J1240">
        <f t="shared" si="152"/>
        <v>2.6065726194175073E-2</v>
      </c>
      <c r="K1240">
        <v>7.7872605606367953E-2</v>
      </c>
      <c r="L1240">
        <v>4.7232353964670376E-2</v>
      </c>
      <c r="N1240">
        <v>8.1735800000000002E-4</v>
      </c>
      <c r="O1240">
        <f t="shared" si="153"/>
        <v>7.7872605606367953E-2</v>
      </c>
      <c r="Q1240">
        <v>8.1735800000000002E-4</v>
      </c>
      <c r="R1240">
        <f t="shared" si="154"/>
        <v>4.7232353964670376E-2</v>
      </c>
      <c r="CH1240">
        <v>7.5663100000000001E-4</v>
      </c>
      <c r="CI1240">
        <v>31.688099999999999</v>
      </c>
      <c r="CJ1240">
        <f t="shared" si="155"/>
        <v>2462.7676018406773</v>
      </c>
      <c r="CL1240">
        <v>7.5663100000000001E-4</v>
      </c>
      <c r="CM1240">
        <v>1.8929999999999999E-2</v>
      </c>
      <c r="CN1240">
        <f t="shared" si="156"/>
        <v>1.4712207643514132</v>
      </c>
    </row>
    <row r="1241" spans="4:92" x14ac:dyDescent="0.35">
      <c r="D1241">
        <v>8.2794300000000004E-4</v>
      </c>
      <c r="E1241">
        <v>14.9373</v>
      </c>
      <c r="F1241">
        <v>17.2514</v>
      </c>
      <c r="G1241">
        <v>14.7425</v>
      </c>
      <c r="I1241">
        <v>8.2794300000000004E-4</v>
      </c>
      <c r="J1241">
        <f t="shared" si="152"/>
        <v>2.6511389731874231E-2</v>
      </c>
      <c r="K1241">
        <v>9.1557324615972019E-2</v>
      </c>
      <c r="L1241">
        <v>4.8468519007702153E-2</v>
      </c>
      <c r="N1241">
        <v>8.2794300000000004E-4</v>
      </c>
      <c r="O1241">
        <f t="shared" si="153"/>
        <v>9.1557324615972019E-2</v>
      </c>
      <c r="Q1241">
        <v>8.2794300000000004E-4</v>
      </c>
      <c r="R1241">
        <f t="shared" si="154"/>
        <v>4.8468519007702153E-2</v>
      </c>
      <c r="CH1241">
        <v>7.6643000000000002E-4</v>
      </c>
      <c r="CI1241">
        <v>32.066800000000001</v>
      </c>
      <c r="CJ1241">
        <f t="shared" si="155"/>
        <v>2492.1997890282041</v>
      </c>
      <c r="CL1241">
        <v>7.6643000000000002E-4</v>
      </c>
      <c r="CM1241">
        <v>2.0879999999999999E-2</v>
      </c>
      <c r="CN1241">
        <f t="shared" si="156"/>
        <v>1.6227728240706556</v>
      </c>
    </row>
    <row r="1242" spans="4:92" x14ac:dyDescent="0.35">
      <c r="D1242">
        <v>8.3866500000000005E-4</v>
      </c>
      <c r="E1242">
        <v>14.988099999999999</v>
      </c>
      <c r="F1242">
        <v>20.526399999999999</v>
      </c>
      <c r="G1242">
        <v>15.503500000000001</v>
      </c>
      <c r="I1242">
        <v>8.3866500000000005E-4</v>
      </c>
      <c r="J1242">
        <f t="shared" si="152"/>
        <v>2.660155184941751E-2</v>
      </c>
      <c r="K1242">
        <v>0.10893853646644841</v>
      </c>
      <c r="L1242">
        <v>5.0970438150646794E-2</v>
      </c>
      <c r="N1242">
        <v>8.3866500000000005E-4</v>
      </c>
      <c r="O1242">
        <f t="shared" si="153"/>
        <v>0.10893853646644841</v>
      </c>
      <c r="Q1242">
        <v>8.3866500000000005E-4</v>
      </c>
      <c r="R1242">
        <f t="shared" si="154"/>
        <v>5.0970438150646794E-2</v>
      </c>
      <c r="CH1242">
        <v>7.7635499999999995E-4</v>
      </c>
      <c r="CI1242">
        <v>30.6617</v>
      </c>
      <c r="CJ1242">
        <f t="shared" si="155"/>
        <v>2382.9968151248668</v>
      </c>
      <c r="CL1242">
        <v>7.7635499999999995E-4</v>
      </c>
      <c r="CM1242">
        <v>1.8919999999999999E-2</v>
      </c>
      <c r="CN1242">
        <f t="shared" si="156"/>
        <v>1.4704435743015711</v>
      </c>
    </row>
    <row r="1243" spans="4:92" x14ac:dyDescent="0.35">
      <c r="D1243">
        <v>8.4952599999999997E-4</v>
      </c>
      <c r="E1243">
        <v>14.863300000000001</v>
      </c>
      <c r="F1243">
        <v>12.1508</v>
      </c>
      <c r="G1243">
        <v>14.559100000000001</v>
      </c>
      <c r="I1243">
        <v>8.4952599999999997E-4</v>
      </c>
      <c r="J1243">
        <f t="shared" si="152"/>
        <v>2.6380051214193082E-2</v>
      </c>
      <c r="K1243">
        <v>6.4487214947410235E-2</v>
      </c>
      <c r="L1243">
        <v>4.7865559781925485E-2</v>
      </c>
      <c r="N1243">
        <v>8.4952599999999997E-4</v>
      </c>
      <c r="O1243">
        <f t="shared" si="153"/>
        <v>6.4487214947410235E-2</v>
      </c>
      <c r="Q1243">
        <v>8.4952599999999997E-4</v>
      </c>
      <c r="R1243">
        <f t="shared" si="154"/>
        <v>4.7865559781925485E-2</v>
      </c>
      <c r="CH1243">
        <v>7.8640899999999996E-4</v>
      </c>
      <c r="CI1243">
        <v>32.395899999999997</v>
      </c>
      <c r="CJ1243">
        <f t="shared" si="155"/>
        <v>2517.777113568513</v>
      </c>
      <c r="CL1243">
        <v>7.8640899999999996E-4</v>
      </c>
      <c r="CM1243">
        <v>2.0320000000000001E-2</v>
      </c>
      <c r="CN1243">
        <f t="shared" si="156"/>
        <v>1.5792501812794888</v>
      </c>
    </row>
    <row r="1244" spans="4:92" x14ac:dyDescent="0.35">
      <c r="D1244">
        <v>8.6052700000000004E-4</v>
      </c>
      <c r="E1244">
        <v>14.5829</v>
      </c>
      <c r="F1244">
        <v>16.424299999999999</v>
      </c>
      <c r="G1244">
        <v>14.882300000000001</v>
      </c>
      <c r="I1244">
        <v>8.6052700000000004E-4</v>
      </c>
      <c r="J1244">
        <f t="shared" si="152"/>
        <v>2.5882384722871517E-2</v>
      </c>
      <c r="K1244">
        <v>8.716770619718453E-2</v>
      </c>
      <c r="L1244">
        <v>4.8928135691254926E-2</v>
      </c>
      <c r="N1244">
        <v>8.6052700000000004E-4</v>
      </c>
      <c r="O1244">
        <f t="shared" si="153"/>
        <v>8.716770619718453E-2</v>
      </c>
      <c r="Q1244">
        <v>8.6052700000000004E-4</v>
      </c>
      <c r="R1244">
        <f t="shared" si="154"/>
        <v>4.8928135691254926E-2</v>
      </c>
      <c r="CH1244">
        <v>7.9659299999999995E-4</v>
      </c>
      <c r="CI1244">
        <v>32.918900000000001</v>
      </c>
      <c r="CJ1244">
        <f t="shared" si="155"/>
        <v>2558.4241531752637</v>
      </c>
      <c r="CL1244">
        <v>7.9659299999999995E-4</v>
      </c>
      <c r="CM1244">
        <v>2.1600000000000001E-2</v>
      </c>
      <c r="CN1244">
        <f t="shared" si="156"/>
        <v>1.6787305076592991</v>
      </c>
    </row>
    <row r="1245" spans="4:92" x14ac:dyDescent="0.35">
      <c r="D1245">
        <v>8.7167099999999997E-4</v>
      </c>
      <c r="E1245">
        <v>14.7614</v>
      </c>
      <c r="F1245">
        <v>17.381799999999998</v>
      </c>
      <c r="G1245">
        <v>14.8904</v>
      </c>
      <c r="I1245">
        <v>8.7167099999999997E-4</v>
      </c>
      <c r="J1245">
        <f t="shared" si="152"/>
        <v>2.6199194525656461E-2</v>
      </c>
      <c r="K1245">
        <v>9.2249388745835256E-2</v>
      </c>
      <c r="L1245">
        <v>4.89547658424479E-2</v>
      </c>
      <c r="N1245">
        <v>8.7167099999999997E-4</v>
      </c>
      <c r="O1245">
        <f t="shared" si="153"/>
        <v>9.2249388745835256E-2</v>
      </c>
      <c r="Q1245">
        <v>8.7167099999999997E-4</v>
      </c>
      <c r="R1245">
        <f t="shared" si="154"/>
        <v>4.89547658424479E-2</v>
      </c>
      <c r="CH1245">
        <v>8.0690899999999997E-4</v>
      </c>
      <c r="CI1245">
        <v>32.705800000000004</v>
      </c>
      <c r="CJ1245">
        <f t="shared" si="155"/>
        <v>2541.8622332131254</v>
      </c>
      <c r="CL1245">
        <v>8.0690899999999997E-4</v>
      </c>
      <c r="CM1245">
        <v>2.0879999999999999E-2</v>
      </c>
      <c r="CN1245">
        <f t="shared" si="156"/>
        <v>1.6227728240706556</v>
      </c>
    </row>
    <row r="1246" spans="4:92" x14ac:dyDescent="0.35">
      <c r="D1246">
        <v>8.82959E-4</v>
      </c>
      <c r="E1246">
        <v>14.875999999999999</v>
      </c>
      <c r="F1246">
        <v>17.255500000000001</v>
      </c>
      <c r="G1246">
        <v>14.8178</v>
      </c>
      <c r="I1246">
        <v>8.82959E-4</v>
      </c>
      <c r="J1246">
        <f t="shared" si="152"/>
        <v>2.6402591743578899E-2</v>
      </c>
      <c r="K1246">
        <v>9.1579084301036756E-2</v>
      </c>
      <c r="L1246">
        <v>4.8716080783607188E-2</v>
      </c>
      <c r="N1246">
        <v>8.82959E-4</v>
      </c>
      <c r="O1246">
        <f t="shared" si="153"/>
        <v>9.1579084301036756E-2</v>
      </c>
      <c r="Q1246">
        <v>8.82959E-4</v>
      </c>
      <c r="R1246">
        <f t="shared" si="154"/>
        <v>4.8716080783607188E-2</v>
      </c>
      <c r="CH1246">
        <v>8.1735800000000002E-4</v>
      </c>
      <c r="CI1246">
        <v>31.533300000000001</v>
      </c>
      <c r="CJ1246">
        <f t="shared" si="155"/>
        <v>2450.7366998691191</v>
      </c>
      <c r="CL1246">
        <v>8.1735800000000002E-4</v>
      </c>
      <c r="CM1246">
        <v>1.8859999999999998E-2</v>
      </c>
      <c r="CN1246">
        <f t="shared" si="156"/>
        <v>1.4657804340025173</v>
      </c>
    </row>
    <row r="1247" spans="4:92" x14ac:dyDescent="0.35">
      <c r="D1247">
        <v>8.9439399999999996E-4</v>
      </c>
      <c r="E1247">
        <v>14.8498</v>
      </c>
      <c r="F1247">
        <v>16.823</v>
      </c>
      <c r="G1247">
        <v>14.6645</v>
      </c>
      <c r="I1247">
        <v>8.9439399999999996E-4</v>
      </c>
      <c r="J1247">
        <f t="shared" si="152"/>
        <v>2.6356090808940434E-2</v>
      </c>
      <c r="K1247">
        <v>8.9283702888721922E-2</v>
      </c>
      <c r="L1247">
        <v>4.8212080514732795E-2</v>
      </c>
      <c r="N1247">
        <v>8.9439399999999996E-4</v>
      </c>
      <c r="O1247">
        <f t="shared" si="153"/>
        <v>8.9283702888721922E-2</v>
      </c>
      <c r="Q1247">
        <v>8.9439399999999996E-4</v>
      </c>
      <c r="R1247">
        <f t="shared" si="154"/>
        <v>4.8212080514732795E-2</v>
      </c>
      <c r="CH1247">
        <v>8.2794300000000004E-4</v>
      </c>
      <c r="CI1247">
        <v>31.9757</v>
      </c>
      <c r="CJ1247">
        <f t="shared" si="155"/>
        <v>2485.1195876741408</v>
      </c>
      <c r="CL1247">
        <v>8.2794300000000004E-4</v>
      </c>
      <c r="CM1247">
        <v>2.1510000000000001E-2</v>
      </c>
      <c r="CN1247">
        <f t="shared" si="156"/>
        <v>1.6717357972107187</v>
      </c>
    </row>
    <row r="1248" spans="4:92" x14ac:dyDescent="0.35">
      <c r="D1248">
        <v>9.0597599999999996E-4</v>
      </c>
      <c r="E1248">
        <v>14.4907</v>
      </c>
      <c r="F1248">
        <v>16.853999999999999</v>
      </c>
      <c r="G1248">
        <v>15.077999999999999</v>
      </c>
      <c r="I1248">
        <v>9.0597599999999996E-4</v>
      </c>
      <c r="J1248">
        <f t="shared" si="152"/>
        <v>2.5718744029220138E-2</v>
      </c>
      <c r="K1248">
        <v>8.9448227336772226E-2</v>
      </c>
      <c r="L1248">
        <v>4.9571533294769064E-2</v>
      </c>
      <c r="N1248">
        <v>9.0597599999999996E-4</v>
      </c>
      <c r="O1248">
        <f t="shared" si="153"/>
        <v>8.9448227336772226E-2</v>
      </c>
      <c r="Q1248">
        <v>9.0597599999999996E-4</v>
      </c>
      <c r="R1248">
        <f t="shared" si="154"/>
        <v>4.9571533294769064E-2</v>
      </c>
      <c r="CH1248">
        <v>8.3866500000000005E-4</v>
      </c>
      <c r="CI1248">
        <v>33.665900000000001</v>
      </c>
      <c r="CJ1248">
        <f t="shared" si="155"/>
        <v>2616.4802498984814</v>
      </c>
      <c r="CL1248">
        <v>8.3866500000000005E-4</v>
      </c>
      <c r="CM1248">
        <v>1.9460000000000002E-2</v>
      </c>
      <c r="CN1248">
        <f t="shared" si="156"/>
        <v>1.5124118369930537</v>
      </c>
    </row>
    <row r="1249" spans="4:92" x14ac:dyDescent="0.35">
      <c r="D1249">
        <v>9.1770899999999995E-4</v>
      </c>
      <c r="E1249">
        <v>15.0069</v>
      </c>
      <c r="F1249">
        <v>18.895</v>
      </c>
      <c r="G1249">
        <v>15.147600000000001</v>
      </c>
      <c r="I1249">
        <v>9.1770899999999995E-4</v>
      </c>
      <c r="J1249">
        <f t="shared" si="152"/>
        <v>2.6634918932287859E-2</v>
      </c>
      <c r="K1249">
        <v>0.1002803047067943</v>
      </c>
      <c r="L1249">
        <v>4.9800355334649424E-2</v>
      </c>
      <c r="N1249">
        <v>9.1770899999999995E-4</v>
      </c>
      <c r="O1249">
        <f t="shared" si="153"/>
        <v>0.1002803047067943</v>
      </c>
      <c r="Q1249">
        <v>9.1770899999999995E-4</v>
      </c>
      <c r="R1249">
        <f t="shared" si="154"/>
        <v>4.9800355334649424E-2</v>
      </c>
      <c r="CH1249">
        <v>8.4952599999999997E-4</v>
      </c>
      <c r="CI1249">
        <v>31.580200000000001</v>
      </c>
      <c r="CJ1249">
        <f t="shared" si="155"/>
        <v>2454.3817212028794</v>
      </c>
      <c r="CL1249">
        <v>8.4952599999999997E-4</v>
      </c>
      <c r="CM1249">
        <v>2.0559999999999998E-2</v>
      </c>
      <c r="CN1249">
        <f t="shared" si="156"/>
        <v>1.5979027424757029</v>
      </c>
    </row>
    <row r="1250" spans="4:92" x14ac:dyDescent="0.35">
      <c r="D1250">
        <v>9.2959300000000004E-4</v>
      </c>
      <c r="E1250">
        <v>14.949299999999999</v>
      </c>
      <c r="F1250">
        <v>16.0792</v>
      </c>
      <c r="G1250">
        <v>14.530900000000001</v>
      </c>
      <c r="I1250">
        <v>9.2959300000000004E-4</v>
      </c>
      <c r="J1250">
        <f t="shared" si="152"/>
        <v>2.653268786987658E-2</v>
      </c>
      <c r="K1250">
        <v>8.5336177583566389E-2</v>
      </c>
      <c r="L1250">
        <v>4.7772847403698103E-2</v>
      </c>
      <c r="N1250">
        <v>9.2959300000000004E-4</v>
      </c>
      <c r="O1250">
        <f t="shared" si="153"/>
        <v>8.5336177583566389E-2</v>
      </c>
      <c r="Q1250">
        <v>9.2959300000000004E-4</v>
      </c>
      <c r="R1250">
        <f t="shared" si="154"/>
        <v>4.7772847403698103E-2</v>
      </c>
      <c r="CH1250">
        <v>8.6052700000000004E-4</v>
      </c>
      <c r="CI1250">
        <v>32.245100000000001</v>
      </c>
      <c r="CJ1250">
        <f t="shared" si="155"/>
        <v>2506.0570876168917</v>
      </c>
      <c r="CL1250">
        <v>8.6052700000000004E-4</v>
      </c>
      <c r="CM1250">
        <v>2.0760000000000001E-2</v>
      </c>
      <c r="CN1250">
        <f t="shared" si="156"/>
        <v>1.6134465434725485</v>
      </c>
    </row>
    <row r="1251" spans="4:92" x14ac:dyDescent="0.35">
      <c r="D1251">
        <v>9.4163099999999996E-4</v>
      </c>
      <c r="E1251">
        <v>14.886699999999999</v>
      </c>
      <c r="F1251">
        <v>20.676100000000002</v>
      </c>
      <c r="G1251">
        <v>15.2499</v>
      </c>
      <c r="I1251">
        <v>9.4163099999999996E-4</v>
      </c>
      <c r="J1251">
        <f t="shared" si="152"/>
        <v>2.6421582583297659E-2</v>
      </c>
      <c r="K1251">
        <v>0.10973303033332363</v>
      </c>
      <c r="L1251">
        <v>5.0136684281197698E-2</v>
      </c>
      <c r="N1251">
        <v>9.4163099999999996E-4</v>
      </c>
      <c r="O1251">
        <f t="shared" si="153"/>
        <v>0.10973303033332363</v>
      </c>
      <c r="Q1251">
        <v>9.4163099999999996E-4</v>
      </c>
      <c r="R1251">
        <f t="shared" si="154"/>
        <v>5.0136684281197698E-2</v>
      </c>
      <c r="CH1251">
        <v>8.7167099999999997E-4</v>
      </c>
      <c r="CI1251">
        <v>31.685099999999998</v>
      </c>
      <c r="CJ1251">
        <f t="shared" si="155"/>
        <v>2462.5344448257247</v>
      </c>
      <c r="CL1251">
        <v>8.7167099999999997E-4</v>
      </c>
      <c r="CM1251">
        <v>2.256E-2</v>
      </c>
      <c r="CN1251">
        <f t="shared" si="156"/>
        <v>1.7533407524441567</v>
      </c>
    </row>
    <row r="1252" spans="4:92" x14ac:dyDescent="0.35">
      <c r="D1252">
        <v>9.5382599999999996E-4</v>
      </c>
      <c r="E1252">
        <v>14.4169</v>
      </c>
      <c r="F1252">
        <v>14.3643</v>
      </c>
      <c r="G1252">
        <v>14.501200000000001</v>
      </c>
      <c r="I1252">
        <v>9.5382599999999996E-4</v>
      </c>
      <c r="J1252">
        <f t="shared" si="152"/>
        <v>2.5587760480505688E-2</v>
      </c>
      <c r="K1252">
        <v>7.6234791262228402E-2</v>
      </c>
      <c r="L1252">
        <v>4.7675203515990541E-2</v>
      </c>
      <c r="N1252">
        <v>9.5382599999999996E-4</v>
      </c>
      <c r="O1252">
        <f t="shared" si="153"/>
        <v>7.6234791262228402E-2</v>
      </c>
      <c r="Q1252">
        <v>9.5382599999999996E-4</v>
      </c>
      <c r="R1252">
        <f t="shared" si="154"/>
        <v>4.7675203515990541E-2</v>
      </c>
      <c r="CH1252">
        <v>8.82959E-4</v>
      </c>
      <c r="CI1252">
        <v>32.1601</v>
      </c>
      <c r="CJ1252">
        <f t="shared" si="155"/>
        <v>2499.4509721932322</v>
      </c>
      <c r="CL1252">
        <v>8.82959E-4</v>
      </c>
      <c r="CM1252">
        <v>2.1520000000000001E-2</v>
      </c>
      <c r="CN1252">
        <f t="shared" si="156"/>
        <v>1.6725129872605609</v>
      </c>
    </row>
    <row r="1253" spans="4:92" x14ac:dyDescent="0.35">
      <c r="D1253">
        <v>9.6617800000000005E-4</v>
      </c>
      <c r="E1253">
        <v>14.902699999999999</v>
      </c>
      <c r="F1253">
        <v>18.2943</v>
      </c>
      <c r="G1253">
        <v>15.007300000000001</v>
      </c>
      <c r="I1253">
        <v>9.6617800000000005E-4</v>
      </c>
      <c r="J1253">
        <f t="shared" si="152"/>
        <v>2.6449980100634124E-2</v>
      </c>
      <c r="K1253">
        <v>9.7092245482800058E-2</v>
      </c>
      <c r="L1253">
        <v>4.9339094814603267E-2</v>
      </c>
      <c r="N1253">
        <v>9.6617800000000005E-4</v>
      </c>
      <c r="O1253">
        <f t="shared" si="153"/>
        <v>9.7092245482800058E-2</v>
      </c>
      <c r="Q1253">
        <v>9.6617800000000005E-4</v>
      </c>
      <c r="R1253">
        <f t="shared" si="154"/>
        <v>4.9339094814603267E-2</v>
      </c>
      <c r="CH1253">
        <v>8.9439399999999996E-4</v>
      </c>
      <c r="CI1253">
        <v>32.180900000000001</v>
      </c>
      <c r="CJ1253">
        <f t="shared" si="155"/>
        <v>2501.0675274969044</v>
      </c>
      <c r="CL1253">
        <v>8.9439399999999996E-4</v>
      </c>
      <c r="CM1253">
        <v>1.9269999999999999E-2</v>
      </c>
      <c r="CN1253">
        <f t="shared" si="156"/>
        <v>1.4976452260460504</v>
      </c>
    </row>
    <row r="1254" spans="4:92" x14ac:dyDescent="0.35">
      <c r="D1254">
        <v>9.7868999999999994E-4</v>
      </c>
      <c r="E1254">
        <v>14.8058</v>
      </c>
      <c r="F1254">
        <v>22.0535</v>
      </c>
      <c r="G1254">
        <v>15.5213</v>
      </c>
      <c r="I1254">
        <v>9.7868999999999994E-4</v>
      </c>
      <c r="J1254">
        <f t="shared" si="152"/>
        <v>2.6277997636265156E-2</v>
      </c>
      <c r="K1254">
        <v>0.11704322306701712</v>
      </c>
      <c r="L1254">
        <v>5.1028958729811592E-2</v>
      </c>
      <c r="N1254">
        <v>9.7868999999999994E-4</v>
      </c>
      <c r="O1254">
        <f t="shared" si="153"/>
        <v>0.11704322306701712</v>
      </c>
      <c r="Q1254">
        <v>9.7868999999999994E-4</v>
      </c>
      <c r="R1254">
        <f t="shared" si="154"/>
        <v>5.1028958729811592E-2</v>
      </c>
      <c r="CH1254">
        <v>9.0597599999999996E-4</v>
      </c>
      <c r="CI1254">
        <v>31.776399999999999</v>
      </c>
      <c r="CJ1254">
        <f t="shared" si="155"/>
        <v>2469.6301899807845</v>
      </c>
      <c r="CL1254">
        <v>9.0597599999999996E-4</v>
      </c>
      <c r="CM1254">
        <v>1.8589999999999999E-2</v>
      </c>
      <c r="CN1254">
        <f t="shared" si="156"/>
        <v>1.4447963026567763</v>
      </c>
    </row>
    <row r="1255" spans="4:92" x14ac:dyDescent="0.35">
      <c r="D1255">
        <v>9.91364E-4</v>
      </c>
      <c r="E1255">
        <v>14.5924</v>
      </c>
      <c r="F1255">
        <v>13.716100000000001</v>
      </c>
      <c r="G1255">
        <v>14.3323</v>
      </c>
      <c r="I1255">
        <v>9.91364E-4</v>
      </c>
      <c r="J1255">
        <f t="shared" si="152"/>
        <v>2.5899245748790045E-2</v>
      </c>
      <c r="K1255">
        <v>7.2794638125898994E-2</v>
      </c>
      <c r="L1255">
        <v>4.7119915548522268E-2</v>
      </c>
      <c r="N1255">
        <v>9.91364E-4</v>
      </c>
      <c r="O1255">
        <f t="shared" si="153"/>
        <v>7.2794638125898994E-2</v>
      </c>
      <c r="Q1255">
        <v>9.91364E-4</v>
      </c>
      <c r="R1255">
        <f t="shared" si="154"/>
        <v>4.7119915548522268E-2</v>
      </c>
      <c r="CH1255">
        <v>9.1770899999999995E-4</v>
      </c>
      <c r="CI1255">
        <v>33.279200000000003</v>
      </c>
      <c r="CJ1255">
        <f t="shared" si="155"/>
        <v>2586.426310671081</v>
      </c>
      <c r="CL1255">
        <v>9.1770899999999995E-4</v>
      </c>
      <c r="CM1255">
        <v>2.1270000000000001E-2</v>
      </c>
      <c r="CN1255">
        <f t="shared" si="156"/>
        <v>1.6530832360145042</v>
      </c>
    </row>
    <row r="1256" spans="4:92" x14ac:dyDescent="0.35">
      <c r="D1256">
        <v>1.0042E-3</v>
      </c>
      <c r="E1256">
        <v>14.638299999999999</v>
      </c>
      <c r="F1256">
        <v>17.6279</v>
      </c>
      <c r="G1256">
        <v>15.1633</v>
      </c>
      <c r="I1256">
        <v>1.0042E-3</v>
      </c>
      <c r="J1256">
        <f t="shared" si="152"/>
        <v>2.5980711126649028E-2</v>
      </c>
      <c r="K1256">
        <v>9.3555500573744357E-2</v>
      </c>
      <c r="L1256">
        <v>4.9851971800541975E-2</v>
      </c>
      <c r="N1256">
        <v>1.0042E-3</v>
      </c>
      <c r="O1256">
        <f t="shared" si="153"/>
        <v>9.3555500573744357E-2</v>
      </c>
      <c r="Q1256">
        <v>1.0042E-3</v>
      </c>
      <c r="R1256">
        <f t="shared" si="154"/>
        <v>4.9851971800541975E-2</v>
      </c>
      <c r="CH1256">
        <v>9.2959300000000004E-4</v>
      </c>
      <c r="CI1256">
        <v>32.007899999999999</v>
      </c>
      <c r="CJ1256">
        <f t="shared" si="155"/>
        <v>2487.6221396346332</v>
      </c>
      <c r="CL1256">
        <v>9.2959300000000004E-4</v>
      </c>
      <c r="CM1256">
        <v>2.1489999999999999E-2</v>
      </c>
      <c r="CN1256">
        <f t="shared" si="156"/>
        <v>1.6701814171110339</v>
      </c>
    </row>
    <row r="1257" spans="4:92" x14ac:dyDescent="0.35">
      <c r="D1257">
        <v>1.0172099999999999E-3</v>
      </c>
      <c r="E1257">
        <v>14.7403</v>
      </c>
      <c r="F1257">
        <v>17.2409</v>
      </c>
      <c r="G1257">
        <v>14.7102</v>
      </c>
      <c r="I1257">
        <v>1.0172099999999999E-3</v>
      </c>
      <c r="J1257">
        <f t="shared" si="152"/>
        <v>2.6161745299668998E-2</v>
      </c>
      <c r="K1257">
        <v>9.1501598593245304E-2</v>
      </c>
      <c r="L1257">
        <v>4.8362327170228946E-2</v>
      </c>
      <c r="N1257">
        <v>1.0172099999999999E-3</v>
      </c>
      <c r="O1257">
        <f t="shared" si="153"/>
        <v>9.1501598593245304E-2</v>
      </c>
      <c r="Q1257">
        <v>1.0172099999999999E-3</v>
      </c>
      <c r="R1257">
        <f t="shared" si="154"/>
        <v>4.8362327170228946E-2</v>
      </c>
      <c r="CH1257">
        <v>9.4163099999999996E-4</v>
      </c>
      <c r="CI1257">
        <v>33.3416</v>
      </c>
      <c r="CJ1257">
        <f t="shared" si="155"/>
        <v>2591.2759765820965</v>
      </c>
      <c r="CL1257">
        <v>9.4163099999999996E-4</v>
      </c>
      <c r="CM1257">
        <v>1.831E-2</v>
      </c>
      <c r="CN1257">
        <f t="shared" si="156"/>
        <v>1.4230349812611929</v>
      </c>
    </row>
    <row r="1258" spans="4:92" x14ac:dyDescent="0.35">
      <c r="D1258">
        <v>1.03038E-3</v>
      </c>
      <c r="E1258">
        <v>15.138299999999999</v>
      </c>
      <c r="F1258">
        <v>18.427900000000001</v>
      </c>
      <c r="G1258">
        <v>14.942</v>
      </c>
      <c r="I1258">
        <v>1.03038E-3</v>
      </c>
      <c r="J1258">
        <f t="shared" si="152"/>
        <v>2.686813354341358E-2</v>
      </c>
      <c r="K1258">
        <v>9.7801292781494298E-2</v>
      </c>
      <c r="L1258">
        <v>4.9124409768566094E-2</v>
      </c>
      <c r="N1258">
        <v>1.03038E-3</v>
      </c>
      <c r="O1258">
        <f t="shared" si="153"/>
        <v>9.7801292781494298E-2</v>
      </c>
      <c r="Q1258">
        <v>1.03038E-3</v>
      </c>
      <c r="R1258">
        <f t="shared" si="154"/>
        <v>4.9124409768566094E-2</v>
      </c>
      <c r="CH1258">
        <v>9.5382599999999996E-4</v>
      </c>
      <c r="CI1258">
        <v>31.6892</v>
      </c>
      <c r="CJ1258">
        <f t="shared" si="155"/>
        <v>2462.8530927461602</v>
      </c>
      <c r="CL1258">
        <v>9.5382599999999996E-4</v>
      </c>
      <c r="CM1258">
        <v>1.9560000000000001E-2</v>
      </c>
      <c r="CN1258">
        <f t="shared" si="156"/>
        <v>1.5201837374914764</v>
      </c>
    </row>
    <row r="1259" spans="4:92" x14ac:dyDescent="0.35">
      <c r="D1259">
        <v>1.0437199999999999E-3</v>
      </c>
      <c r="E1259">
        <v>14.7972</v>
      </c>
      <c r="F1259">
        <v>17.234200000000001</v>
      </c>
      <c r="G1259">
        <v>14.7043</v>
      </c>
      <c r="I1259">
        <v>1.0437199999999999E-3</v>
      </c>
      <c r="J1259">
        <f t="shared" si="152"/>
        <v>2.6262733970696804E-2</v>
      </c>
      <c r="K1259">
        <v>9.1466040083505409E-2</v>
      </c>
      <c r="L1259">
        <v>4.8342929899606903E-2</v>
      </c>
      <c r="N1259">
        <v>1.0437199999999999E-3</v>
      </c>
      <c r="O1259">
        <f t="shared" si="153"/>
        <v>9.1466040083505409E-2</v>
      </c>
      <c r="Q1259">
        <v>1.0437199999999999E-3</v>
      </c>
      <c r="R1259">
        <f t="shared" si="154"/>
        <v>4.8342929899606903E-2</v>
      </c>
      <c r="CH1259">
        <v>9.6617800000000005E-4</v>
      </c>
      <c r="CI1259">
        <v>31.729900000000001</v>
      </c>
      <c r="CJ1259">
        <f t="shared" si="155"/>
        <v>2466.0162562490182</v>
      </c>
      <c r="CL1259">
        <v>9.6617800000000005E-4</v>
      </c>
      <c r="CM1259">
        <v>2.0619999999999999E-2</v>
      </c>
      <c r="CN1259">
        <f t="shared" si="156"/>
        <v>1.6025658827747566</v>
      </c>
    </row>
    <row r="1260" spans="4:92" x14ac:dyDescent="0.35">
      <c r="D1260">
        <v>1.0572400000000001E-3</v>
      </c>
      <c r="E1260">
        <v>14.5951</v>
      </c>
      <c r="F1260">
        <v>17.311599999999999</v>
      </c>
      <c r="G1260">
        <v>14.8794</v>
      </c>
      <c r="I1260">
        <v>1.0572400000000001E-3</v>
      </c>
      <c r="J1260">
        <f t="shared" si="152"/>
        <v>2.5904037829840576E-2</v>
      </c>
      <c r="K1260">
        <v>9.1876820479605201E-2</v>
      </c>
      <c r="L1260">
        <v>4.8918601439593243E-2</v>
      </c>
      <c r="N1260">
        <v>1.0572400000000001E-3</v>
      </c>
      <c r="O1260">
        <f t="shared" si="153"/>
        <v>9.1876820479605201E-2</v>
      </c>
      <c r="Q1260">
        <v>1.0572400000000001E-3</v>
      </c>
      <c r="R1260">
        <f t="shared" si="154"/>
        <v>4.8918601439593243E-2</v>
      </c>
      <c r="CH1260">
        <v>9.7868999999999994E-4</v>
      </c>
      <c r="CI1260">
        <v>34.145899999999997</v>
      </c>
      <c r="CJ1260">
        <f t="shared" si="155"/>
        <v>2653.7853722909099</v>
      </c>
      <c r="CL1260">
        <v>9.7868999999999994E-4</v>
      </c>
      <c r="CM1260">
        <v>2.3699999999999999E-2</v>
      </c>
      <c r="CN1260">
        <f t="shared" si="156"/>
        <v>1.8419404181261751</v>
      </c>
    </row>
    <row r="1261" spans="4:92" x14ac:dyDescent="0.35">
      <c r="D1261">
        <v>1.0709300000000001E-3</v>
      </c>
      <c r="E1261">
        <v>14.5799</v>
      </c>
      <c r="F1261">
        <v>18.1142</v>
      </c>
      <c r="G1261">
        <v>14.9679</v>
      </c>
      <c r="I1261">
        <v>1.0709300000000001E-3</v>
      </c>
      <c r="J1261">
        <f t="shared" si="152"/>
        <v>2.587706018837093E-2</v>
      </c>
      <c r="K1261">
        <v>9.6136411512030354E-2</v>
      </c>
      <c r="L1261">
        <v>4.9209560498923867E-2</v>
      </c>
      <c r="N1261">
        <v>1.0709300000000001E-3</v>
      </c>
      <c r="O1261">
        <f t="shared" si="153"/>
        <v>9.6136411512030354E-2</v>
      </c>
      <c r="Q1261">
        <v>1.0709300000000001E-3</v>
      </c>
      <c r="R1261">
        <f t="shared" si="154"/>
        <v>4.9209560498923867E-2</v>
      </c>
      <c r="CH1261">
        <v>9.91364E-4</v>
      </c>
      <c r="CI1261">
        <v>31.41</v>
      </c>
      <c r="CJ1261">
        <f t="shared" si="155"/>
        <v>2441.1539465545638</v>
      </c>
      <c r="CL1261">
        <v>9.91364E-4</v>
      </c>
      <c r="CM1261">
        <v>2.0879999999999999E-2</v>
      </c>
      <c r="CN1261">
        <f t="shared" si="156"/>
        <v>1.6227728240706556</v>
      </c>
    </row>
    <row r="1262" spans="4:92" x14ac:dyDescent="0.35">
      <c r="D1262">
        <v>1.0847999999999999E-3</v>
      </c>
      <c r="E1262">
        <v>14.7532</v>
      </c>
      <c r="F1262">
        <v>18.442</v>
      </c>
      <c r="G1262">
        <v>14.9216</v>
      </c>
      <c r="I1262">
        <v>1.0847999999999999E-3</v>
      </c>
      <c r="J1262">
        <f t="shared" si="152"/>
        <v>2.6184640798021522E-2</v>
      </c>
      <c r="K1262">
        <v>9.7876124869155895E-2</v>
      </c>
      <c r="L1262">
        <v>4.9057341239635642E-2</v>
      </c>
      <c r="N1262">
        <v>1.0847999999999999E-3</v>
      </c>
      <c r="O1262">
        <f t="shared" si="153"/>
        <v>9.7876124869155895E-2</v>
      </c>
      <c r="Q1262">
        <v>1.0847999999999999E-3</v>
      </c>
      <c r="R1262">
        <f t="shared" si="154"/>
        <v>4.9057341239635642E-2</v>
      </c>
      <c r="CH1262">
        <v>1.0042E-3</v>
      </c>
      <c r="CI1262">
        <v>32.296599999999998</v>
      </c>
      <c r="CJ1262">
        <f t="shared" si="155"/>
        <v>2510.059616373579</v>
      </c>
      <c r="CL1262">
        <v>1.0042E-3</v>
      </c>
      <c r="CM1262">
        <v>2.409E-2</v>
      </c>
      <c r="CN1262">
        <f t="shared" si="156"/>
        <v>1.8722508300700238</v>
      </c>
    </row>
    <row r="1263" spans="4:92" x14ac:dyDescent="0.35">
      <c r="D1263">
        <v>1.09885E-3</v>
      </c>
      <c r="E1263">
        <v>14.469900000000001</v>
      </c>
      <c r="F1263">
        <v>16.879000000000001</v>
      </c>
      <c r="G1263">
        <v>14.932499999999999</v>
      </c>
      <c r="I1263">
        <v>1.09885E-3</v>
      </c>
      <c r="J1263">
        <f t="shared" si="152"/>
        <v>2.5681827256682735E-2</v>
      </c>
      <c r="K1263">
        <v>8.9580908343264418E-2</v>
      </c>
      <c r="L1263">
        <v>4.9093176875191616E-2</v>
      </c>
      <c r="N1263">
        <v>1.09885E-3</v>
      </c>
      <c r="O1263">
        <f t="shared" si="153"/>
        <v>8.9580908343264418E-2</v>
      </c>
      <c r="Q1263">
        <v>1.09885E-3</v>
      </c>
      <c r="R1263">
        <f t="shared" si="154"/>
        <v>4.9093176875191616E-2</v>
      </c>
      <c r="CH1263">
        <v>1.0172099999999999E-3</v>
      </c>
      <c r="CI1263">
        <v>31.736899999999999</v>
      </c>
      <c r="CJ1263">
        <f t="shared" si="155"/>
        <v>2466.5602892839074</v>
      </c>
      <c r="CL1263">
        <v>1.0172099999999999E-3</v>
      </c>
      <c r="CM1263">
        <v>2.0570000000000001E-2</v>
      </c>
      <c r="CN1263">
        <f t="shared" si="156"/>
        <v>1.5986799325255454</v>
      </c>
    </row>
    <row r="1264" spans="4:92" x14ac:dyDescent="0.35">
      <c r="D1264">
        <v>1.11308E-3</v>
      </c>
      <c r="E1264">
        <v>14.899900000000001</v>
      </c>
      <c r="F1264">
        <v>19.751300000000001</v>
      </c>
      <c r="G1264">
        <v>15.2804</v>
      </c>
      <c r="I1264">
        <v>1.11308E-3</v>
      </c>
      <c r="J1264">
        <f t="shared" si="152"/>
        <v>2.6445010535100243E-2</v>
      </c>
      <c r="K1264">
        <v>0.10482489454116468</v>
      </c>
      <c r="L1264">
        <v>5.0236958307294688E-2</v>
      </c>
      <c r="N1264">
        <v>1.11308E-3</v>
      </c>
      <c r="O1264">
        <f t="shared" si="153"/>
        <v>0.10482489454116468</v>
      </c>
      <c r="Q1264">
        <v>1.11308E-3</v>
      </c>
      <c r="R1264">
        <f t="shared" si="154"/>
        <v>5.0236958307294688E-2</v>
      </c>
      <c r="CH1264">
        <v>1.03038E-3</v>
      </c>
      <c r="CI1264">
        <v>32.914400000000001</v>
      </c>
      <c r="CJ1264">
        <f t="shared" si="155"/>
        <v>2558.0744176528347</v>
      </c>
      <c r="CL1264">
        <v>1.03038E-3</v>
      </c>
      <c r="CM1264">
        <v>1.83E-2</v>
      </c>
      <c r="CN1264">
        <f t="shared" si="156"/>
        <v>1.4222577912113505</v>
      </c>
    </row>
    <row r="1265" spans="4:92" x14ac:dyDescent="0.35">
      <c r="D1265">
        <v>1.1274900000000001E-3</v>
      </c>
      <c r="E1265">
        <v>14.9634</v>
      </c>
      <c r="F1265">
        <v>18.044899999999998</v>
      </c>
      <c r="G1265">
        <v>15.046200000000001</v>
      </c>
      <c r="I1265">
        <v>1.1274900000000001E-3</v>
      </c>
      <c r="J1265">
        <f t="shared" si="152"/>
        <v>2.6557713182029343E-2</v>
      </c>
      <c r="K1265">
        <v>9.5768619762033991E-2</v>
      </c>
      <c r="L1265">
        <v>4.9466985293789262E-2</v>
      </c>
      <c r="N1265">
        <v>1.1274900000000001E-3</v>
      </c>
      <c r="O1265">
        <f t="shared" si="153"/>
        <v>9.5768619762033991E-2</v>
      </c>
      <c r="Q1265">
        <v>1.1274900000000001E-3</v>
      </c>
      <c r="R1265">
        <f t="shared" si="154"/>
        <v>4.9466985293789262E-2</v>
      </c>
      <c r="CH1265">
        <v>1.0437199999999999E-3</v>
      </c>
      <c r="CI1265">
        <v>31.834099999999999</v>
      </c>
      <c r="CJ1265">
        <f t="shared" si="155"/>
        <v>2474.1145765683746</v>
      </c>
      <c r="CL1265">
        <v>1.0437199999999999E-3</v>
      </c>
      <c r="CM1265">
        <v>2.095E-2</v>
      </c>
      <c r="CN1265">
        <f t="shared" si="156"/>
        <v>1.6282131544195515</v>
      </c>
    </row>
    <row r="1266" spans="4:92" x14ac:dyDescent="0.35">
      <c r="D1266">
        <v>1.1420899999999999E-3</v>
      </c>
      <c r="E1266">
        <v>14.678900000000001</v>
      </c>
      <c r="F1266">
        <v>18.308199999999999</v>
      </c>
      <c r="G1266">
        <v>15.007199999999999</v>
      </c>
      <c r="I1266">
        <v>1.1420899999999999E-3</v>
      </c>
      <c r="J1266">
        <f t="shared" si="152"/>
        <v>2.6052769826890313E-2</v>
      </c>
      <c r="K1266">
        <v>9.7166016122409701E-2</v>
      </c>
      <c r="L1266">
        <v>4.9338766047304576E-2</v>
      </c>
      <c r="N1266">
        <v>1.1420899999999999E-3</v>
      </c>
      <c r="O1266">
        <f t="shared" si="153"/>
        <v>9.7166016122409701E-2</v>
      </c>
      <c r="Q1266">
        <v>1.1420899999999999E-3</v>
      </c>
      <c r="R1266">
        <f t="shared" si="154"/>
        <v>4.9338766047304576E-2</v>
      </c>
      <c r="CH1266">
        <v>1.0572400000000001E-3</v>
      </c>
      <c r="CI1266">
        <v>32.868400000000001</v>
      </c>
      <c r="CJ1266">
        <f t="shared" si="155"/>
        <v>2554.4993434235603</v>
      </c>
      <c r="CL1266">
        <v>1.0572400000000001E-3</v>
      </c>
      <c r="CM1266">
        <v>2.2409999999999999E-2</v>
      </c>
      <c r="CN1266">
        <f t="shared" si="156"/>
        <v>1.7416829016965225</v>
      </c>
    </row>
    <row r="1267" spans="4:92" x14ac:dyDescent="0.35">
      <c r="D1267">
        <v>1.1568800000000001E-3</v>
      </c>
      <c r="E1267">
        <v>14.835800000000001</v>
      </c>
      <c r="F1267">
        <v>18.5761</v>
      </c>
      <c r="G1267">
        <v>15.107200000000001</v>
      </c>
      <c r="I1267">
        <v>1.1568800000000001E-3</v>
      </c>
      <c r="J1267">
        <f t="shared" si="152"/>
        <v>2.6331242981271027E-2</v>
      </c>
      <c r="K1267">
        <v>9.8587825787979991E-2</v>
      </c>
      <c r="L1267">
        <v>4.9667533345983242E-2</v>
      </c>
      <c r="N1267">
        <v>1.1568800000000001E-3</v>
      </c>
      <c r="O1267">
        <f t="shared" si="153"/>
        <v>9.8587825787979991E-2</v>
      </c>
      <c r="Q1267">
        <v>1.1568800000000001E-3</v>
      </c>
      <c r="R1267">
        <f t="shared" si="154"/>
        <v>4.9667533345983242E-2</v>
      </c>
      <c r="CH1267">
        <v>1.0709300000000001E-3</v>
      </c>
      <c r="CI1267">
        <v>33.305399999999999</v>
      </c>
      <c r="CJ1267">
        <f t="shared" si="155"/>
        <v>2588.4625486016671</v>
      </c>
      <c r="CL1267">
        <v>1.0709300000000001E-3</v>
      </c>
      <c r="CM1267">
        <v>2.0889999999999999E-2</v>
      </c>
      <c r="CN1267">
        <f t="shared" si="156"/>
        <v>1.6235500141204979</v>
      </c>
    </row>
    <row r="1268" spans="4:92" x14ac:dyDescent="0.35">
      <c r="D1268">
        <v>1.17187E-3</v>
      </c>
      <c r="E1268">
        <v>14.938499999999999</v>
      </c>
      <c r="F1268">
        <v>17.620899999999999</v>
      </c>
      <c r="G1268">
        <v>15.1861</v>
      </c>
      <c r="I1268">
        <v>1.17187E-3</v>
      </c>
      <c r="J1268">
        <f t="shared" si="152"/>
        <v>2.6513519545674463E-2</v>
      </c>
      <c r="K1268">
        <v>9.3518349891926519E-2</v>
      </c>
      <c r="L1268">
        <v>4.9926930744640705E-2</v>
      </c>
      <c r="N1268">
        <v>1.17187E-3</v>
      </c>
      <c r="O1268">
        <f t="shared" si="153"/>
        <v>9.3518349891926519E-2</v>
      </c>
      <c r="Q1268">
        <v>1.17187E-3</v>
      </c>
      <c r="R1268">
        <f t="shared" si="154"/>
        <v>4.9926930744640705E-2</v>
      </c>
      <c r="CH1268">
        <v>1.0847999999999999E-3</v>
      </c>
      <c r="CI1268">
        <v>32.396099999999997</v>
      </c>
      <c r="CJ1268">
        <f t="shared" si="155"/>
        <v>2517.7926573695099</v>
      </c>
      <c r="CL1268">
        <v>1.0847999999999999E-3</v>
      </c>
      <c r="CM1268">
        <v>2.0330000000000001E-2</v>
      </c>
      <c r="CN1268">
        <f t="shared" si="156"/>
        <v>1.5800273713293309</v>
      </c>
    </row>
    <row r="1269" spans="4:92" x14ac:dyDescent="0.35">
      <c r="D1269">
        <v>1.1870400000000001E-3</v>
      </c>
      <c r="E1269">
        <v>14.641299999999999</v>
      </c>
      <c r="F1269">
        <v>17.2056</v>
      </c>
      <c r="G1269">
        <v>15.0017</v>
      </c>
      <c r="I1269">
        <v>1.1870400000000001E-3</v>
      </c>
      <c r="J1269">
        <f t="shared" si="152"/>
        <v>2.5986035661149619E-2</v>
      </c>
      <c r="K1269">
        <v>9.131425301207835E-2</v>
      </c>
      <c r="L1269">
        <v>4.9320683845877247E-2</v>
      </c>
      <c r="N1269">
        <v>1.1870400000000001E-3</v>
      </c>
      <c r="O1269">
        <f t="shared" si="153"/>
        <v>9.131425301207835E-2</v>
      </c>
      <c r="Q1269">
        <v>1.1870400000000001E-3</v>
      </c>
      <c r="R1269">
        <f t="shared" si="154"/>
        <v>4.9320683845877247E-2</v>
      </c>
      <c r="CH1269">
        <v>1.09885E-3</v>
      </c>
      <c r="CI1269">
        <v>32.404299999999999</v>
      </c>
      <c r="CJ1269">
        <f t="shared" si="155"/>
        <v>2518.4299532103805</v>
      </c>
      <c r="CL1269">
        <v>1.09885E-3</v>
      </c>
      <c r="CM1269">
        <v>1.934E-2</v>
      </c>
      <c r="CN1269">
        <f t="shared" si="156"/>
        <v>1.5030855563949463</v>
      </c>
    </row>
    <row r="1270" spans="4:92" x14ac:dyDescent="0.35">
      <c r="D1270">
        <v>1.2024099999999999E-3</v>
      </c>
      <c r="E1270">
        <v>14.8485</v>
      </c>
      <c r="F1270">
        <v>18.376899999999999</v>
      </c>
      <c r="G1270">
        <v>15.107900000000001</v>
      </c>
      <c r="I1270">
        <v>1.2024099999999999E-3</v>
      </c>
      <c r="J1270">
        <f t="shared" si="152"/>
        <v>2.6353783510656845E-2</v>
      </c>
      <c r="K1270">
        <v>9.7530623528250246E-2</v>
      </c>
      <c r="L1270">
        <v>4.9669834717074E-2</v>
      </c>
      <c r="N1270">
        <v>1.2024099999999999E-3</v>
      </c>
      <c r="O1270">
        <f t="shared" si="153"/>
        <v>9.7530623528250246E-2</v>
      </c>
      <c r="Q1270">
        <v>1.2024099999999999E-3</v>
      </c>
      <c r="R1270">
        <f t="shared" si="154"/>
        <v>4.9669834717074E-2</v>
      </c>
      <c r="CH1270">
        <v>1.11308E-3</v>
      </c>
      <c r="CI1270">
        <v>33.695900000000002</v>
      </c>
      <c r="CJ1270">
        <f t="shared" si="155"/>
        <v>2618.811820048008</v>
      </c>
      <c r="CL1270">
        <v>1.11308E-3</v>
      </c>
      <c r="CM1270">
        <v>1.9810000000000001E-2</v>
      </c>
      <c r="CN1270">
        <f t="shared" si="156"/>
        <v>1.539613488737533</v>
      </c>
    </row>
    <row r="1271" spans="4:92" x14ac:dyDescent="0.35">
      <c r="D1271">
        <v>1.21798E-3</v>
      </c>
      <c r="E1271">
        <v>15.2437</v>
      </c>
      <c r="F1271">
        <v>20.2301</v>
      </c>
      <c r="G1271">
        <v>15.1074</v>
      </c>
      <c r="I1271">
        <v>1.21798E-3</v>
      </c>
      <c r="J1271">
        <f t="shared" si="152"/>
        <v>2.705520218886755E-2</v>
      </c>
      <c r="K1271">
        <v>0.10736600117750301</v>
      </c>
      <c r="L1271">
        <v>4.9668190880580602E-2</v>
      </c>
      <c r="N1271">
        <v>1.21798E-3</v>
      </c>
      <c r="O1271">
        <f t="shared" si="153"/>
        <v>0.10736600117750301</v>
      </c>
      <c r="Q1271">
        <v>1.21798E-3</v>
      </c>
      <c r="R1271">
        <f t="shared" si="154"/>
        <v>4.9668190880580602E-2</v>
      </c>
      <c r="CH1271">
        <v>1.1274900000000001E-3</v>
      </c>
      <c r="CI1271">
        <v>32.377099999999999</v>
      </c>
      <c r="CJ1271">
        <f t="shared" si="155"/>
        <v>2516.3159962748095</v>
      </c>
      <c r="CL1271">
        <v>1.1274900000000001E-3</v>
      </c>
      <c r="CM1271">
        <v>1.883E-2</v>
      </c>
      <c r="CN1271">
        <f t="shared" si="156"/>
        <v>1.4634488638529908</v>
      </c>
    </row>
    <row r="1272" spans="4:92" x14ac:dyDescent="0.35">
      <c r="D1272">
        <v>1.23376E-3</v>
      </c>
      <c r="E1272">
        <v>15.1168</v>
      </c>
      <c r="F1272">
        <v>17.707000000000001</v>
      </c>
      <c r="G1272">
        <v>14.5593</v>
      </c>
      <c r="I1272">
        <v>1.23376E-3</v>
      </c>
      <c r="J1272">
        <f t="shared" si="152"/>
        <v>2.6829974379492704E-2</v>
      </c>
      <c r="K1272">
        <v>9.3975303278285641E-2</v>
      </c>
      <c r="L1272">
        <v>4.7866217316522838E-2</v>
      </c>
      <c r="N1272">
        <v>1.23376E-3</v>
      </c>
      <c r="O1272">
        <f t="shared" si="153"/>
        <v>9.3975303278285641E-2</v>
      </c>
      <c r="Q1272">
        <v>1.23376E-3</v>
      </c>
      <c r="R1272">
        <f t="shared" si="154"/>
        <v>4.7866217316522838E-2</v>
      </c>
      <c r="CH1272">
        <v>1.1420899999999999E-3</v>
      </c>
      <c r="CI1272">
        <v>32.861499999999999</v>
      </c>
      <c r="CJ1272">
        <f t="shared" si="155"/>
        <v>2553.9630822891691</v>
      </c>
      <c r="CL1272">
        <v>1.1420899999999999E-3</v>
      </c>
      <c r="CM1272">
        <v>2.198E-2</v>
      </c>
      <c r="CN1272">
        <f t="shared" si="156"/>
        <v>1.7082637295533052</v>
      </c>
    </row>
    <row r="1273" spans="4:92" x14ac:dyDescent="0.35">
      <c r="D1273">
        <v>1.2497400000000001E-3</v>
      </c>
      <c r="E1273">
        <v>14.5601</v>
      </c>
      <c r="F1273">
        <v>19.6053</v>
      </c>
      <c r="G1273">
        <v>15.053000000000001</v>
      </c>
      <c r="I1273">
        <v>1.2497400000000001E-3</v>
      </c>
      <c r="J1273">
        <f t="shared" si="152"/>
        <v>2.5841918260667056E-2</v>
      </c>
      <c r="K1273">
        <v>0.10405003746325031</v>
      </c>
      <c r="L1273">
        <v>4.948934147009941E-2</v>
      </c>
      <c r="N1273">
        <v>1.2497400000000001E-3</v>
      </c>
      <c r="O1273">
        <f t="shared" si="153"/>
        <v>0.10405003746325031</v>
      </c>
      <c r="Q1273">
        <v>1.2497400000000001E-3</v>
      </c>
      <c r="R1273">
        <f t="shared" si="154"/>
        <v>4.948934147009941E-2</v>
      </c>
      <c r="CH1273">
        <v>1.1568800000000001E-3</v>
      </c>
      <c r="CI1273">
        <v>32.945900000000002</v>
      </c>
      <c r="CJ1273">
        <f t="shared" si="155"/>
        <v>2560.5225663098381</v>
      </c>
      <c r="CL1273">
        <v>1.1568800000000001E-3</v>
      </c>
      <c r="CM1273">
        <v>2.1319999999999999E-2</v>
      </c>
      <c r="CN1273">
        <f t="shared" si="156"/>
        <v>1.6569691862637153</v>
      </c>
    </row>
    <row r="1274" spans="4:92" x14ac:dyDescent="0.35">
      <c r="D1274">
        <v>1.26592E-3</v>
      </c>
      <c r="E1274">
        <v>14.8034</v>
      </c>
      <c r="F1274">
        <v>16.966999999999999</v>
      </c>
      <c r="G1274">
        <v>14.9503</v>
      </c>
      <c r="I1274">
        <v>1.26592E-3</v>
      </c>
      <c r="J1274">
        <f t="shared" si="152"/>
        <v>2.6273738008664685E-2</v>
      </c>
      <c r="K1274">
        <v>9.0047945486116901E-2</v>
      </c>
      <c r="L1274">
        <v>4.9151697454356422E-2</v>
      </c>
      <c r="N1274">
        <v>1.26592E-3</v>
      </c>
      <c r="O1274">
        <f t="shared" si="153"/>
        <v>9.0047945486116901E-2</v>
      </c>
      <c r="Q1274">
        <v>1.26592E-3</v>
      </c>
      <c r="R1274">
        <f t="shared" si="154"/>
        <v>4.9151697454356422E-2</v>
      </c>
      <c r="CH1274">
        <v>1.17187E-3</v>
      </c>
      <c r="CI1274">
        <v>32.458199999999998</v>
      </c>
      <c r="CJ1274">
        <f t="shared" si="155"/>
        <v>2522.6190075790305</v>
      </c>
      <c r="CL1274">
        <v>1.17187E-3</v>
      </c>
      <c r="CM1274">
        <v>1.7100000000000001E-2</v>
      </c>
      <c r="CN1274">
        <f t="shared" si="156"/>
        <v>1.3289949852302785</v>
      </c>
    </row>
    <row r="1275" spans="4:92" x14ac:dyDescent="0.35">
      <c r="D1275">
        <v>1.28231E-3</v>
      </c>
      <c r="E1275">
        <v>14.7729</v>
      </c>
      <c r="F1275">
        <v>19.595400000000001</v>
      </c>
      <c r="G1275">
        <v>14.964399999999999</v>
      </c>
      <c r="I1275">
        <v>1.28231E-3</v>
      </c>
      <c r="J1275">
        <f t="shared" si="152"/>
        <v>2.6219605241242047E-2</v>
      </c>
      <c r="K1275">
        <v>0.10399749578467941</v>
      </c>
      <c r="L1275">
        <v>4.9198053643470109E-2</v>
      </c>
      <c r="N1275">
        <v>1.28231E-3</v>
      </c>
      <c r="O1275">
        <f t="shared" si="153"/>
        <v>0.10399749578467941</v>
      </c>
      <c r="Q1275">
        <v>1.28231E-3</v>
      </c>
      <c r="R1275">
        <f t="shared" si="154"/>
        <v>4.9198053643470109E-2</v>
      </c>
      <c r="CH1275">
        <v>1.1870400000000001E-3</v>
      </c>
      <c r="CI1275">
        <v>32.485199999999999</v>
      </c>
      <c r="CJ1275">
        <f t="shared" si="155"/>
        <v>2524.7174207136045</v>
      </c>
      <c r="CL1275">
        <v>1.1870400000000001E-3</v>
      </c>
      <c r="CM1275">
        <v>2.1360000000000001E-2</v>
      </c>
      <c r="CN1275">
        <f t="shared" si="156"/>
        <v>1.6600779464630846</v>
      </c>
    </row>
    <row r="1276" spans="4:92" x14ac:dyDescent="0.35">
      <c r="D1276">
        <v>1.2989200000000001E-3</v>
      </c>
      <c r="E1276">
        <v>14.9643</v>
      </c>
      <c r="F1276">
        <v>19.356999999999999</v>
      </c>
      <c r="G1276">
        <v>15.081200000000001</v>
      </c>
      <c r="I1276">
        <v>1.2989200000000001E-3</v>
      </c>
      <c r="J1276">
        <f t="shared" si="152"/>
        <v>2.6559310542379515E-2</v>
      </c>
      <c r="K1276">
        <v>0.1027322497067699</v>
      </c>
      <c r="L1276">
        <v>4.9582053848326799E-2</v>
      </c>
      <c r="N1276">
        <v>1.2989200000000001E-3</v>
      </c>
      <c r="O1276">
        <f t="shared" si="153"/>
        <v>0.1027322497067699</v>
      </c>
      <c r="Q1276">
        <v>1.2989200000000001E-3</v>
      </c>
      <c r="R1276">
        <f t="shared" si="154"/>
        <v>4.9582053848326799E-2</v>
      </c>
      <c r="CH1276">
        <v>1.2024099999999999E-3</v>
      </c>
      <c r="CI1276">
        <v>32.442100000000003</v>
      </c>
      <c r="CJ1276">
        <f t="shared" si="155"/>
        <v>2521.3677315987848</v>
      </c>
      <c r="CL1276">
        <v>1.2024099999999999E-3</v>
      </c>
      <c r="CM1276">
        <v>2.2370000000000001E-2</v>
      </c>
      <c r="CN1276">
        <f t="shared" si="156"/>
        <v>1.7385741414971536</v>
      </c>
    </row>
    <row r="1277" spans="4:92" x14ac:dyDescent="0.35">
      <c r="D1277">
        <v>1.3157399999999999E-3</v>
      </c>
      <c r="E1277">
        <v>14.9415</v>
      </c>
      <c r="F1277">
        <v>19.3093</v>
      </c>
      <c r="G1277">
        <v>14.998699999999999</v>
      </c>
      <c r="I1277">
        <v>1.3157399999999999E-3</v>
      </c>
      <c r="J1277">
        <f t="shared" si="152"/>
        <v>2.6518844080175054E-2</v>
      </c>
      <c r="K1277">
        <v>0.10247909434638283</v>
      </c>
      <c r="L1277">
        <v>4.9310820826916887E-2</v>
      </c>
      <c r="N1277">
        <v>1.3157399999999999E-3</v>
      </c>
      <c r="O1277">
        <f t="shared" si="153"/>
        <v>0.10247909434638283</v>
      </c>
      <c r="Q1277">
        <v>1.3157399999999999E-3</v>
      </c>
      <c r="R1277">
        <f t="shared" si="154"/>
        <v>4.9310820826916887E-2</v>
      </c>
      <c r="CH1277">
        <v>1.21798E-3</v>
      </c>
      <c r="CI1277">
        <v>33.627699999999997</v>
      </c>
      <c r="CJ1277">
        <f t="shared" si="155"/>
        <v>2613.5113839080836</v>
      </c>
      <c r="CL1277">
        <v>1.21798E-3</v>
      </c>
      <c r="CM1277">
        <v>2.1350000000000001E-2</v>
      </c>
      <c r="CN1277">
        <f t="shared" si="156"/>
        <v>1.6593007564132423</v>
      </c>
    </row>
    <row r="1278" spans="4:92" x14ac:dyDescent="0.35">
      <c r="D1278">
        <v>1.33278E-3</v>
      </c>
      <c r="E1278">
        <v>14.728</v>
      </c>
      <c r="F1278">
        <v>19.337199999999999</v>
      </c>
      <c r="G1278">
        <v>15.3104</v>
      </c>
      <c r="I1278">
        <v>1.33278E-3</v>
      </c>
      <c r="J1278">
        <f t="shared" si="152"/>
        <v>2.613991470821659E-2</v>
      </c>
      <c r="K1278">
        <v>0.10262716634962811</v>
      </c>
      <c r="L1278">
        <v>5.0335588496898294E-2</v>
      </c>
      <c r="N1278">
        <v>1.33278E-3</v>
      </c>
      <c r="O1278">
        <f t="shared" si="153"/>
        <v>0.10262716634962811</v>
      </c>
      <c r="Q1278">
        <v>1.33278E-3</v>
      </c>
      <c r="R1278">
        <f t="shared" si="154"/>
        <v>5.0335588496898294E-2</v>
      </c>
      <c r="CH1278">
        <v>1.23376E-3</v>
      </c>
      <c r="CI1278">
        <v>32.361499999999999</v>
      </c>
      <c r="CJ1278">
        <f t="shared" si="155"/>
        <v>2515.1035797970558</v>
      </c>
      <c r="CL1278">
        <v>1.23376E-3</v>
      </c>
      <c r="CM1278">
        <v>2.0920000000000001E-2</v>
      </c>
      <c r="CN1278">
        <f t="shared" si="156"/>
        <v>1.6258815842700247</v>
      </c>
    </row>
    <row r="1279" spans="4:92" x14ac:dyDescent="0.35">
      <c r="D1279">
        <v>1.3500400000000001E-3</v>
      </c>
      <c r="E1279">
        <v>15.0128</v>
      </c>
      <c r="F1279">
        <v>18.953800000000001</v>
      </c>
      <c r="G1279">
        <v>14.9962</v>
      </c>
      <c r="I1279">
        <v>1.3500400000000001E-3</v>
      </c>
      <c r="J1279">
        <f t="shared" si="152"/>
        <v>2.664539051680568E-2</v>
      </c>
      <c r="K1279">
        <v>0.10059237043406394</v>
      </c>
      <c r="L1279">
        <v>4.9302601644449918E-2</v>
      </c>
      <c r="N1279">
        <v>1.3500400000000001E-3</v>
      </c>
      <c r="O1279">
        <f t="shared" si="153"/>
        <v>0.10059237043406394</v>
      </c>
      <c r="Q1279">
        <v>1.3500400000000001E-3</v>
      </c>
      <c r="R1279">
        <f t="shared" si="154"/>
        <v>4.9302601644449918E-2</v>
      </c>
      <c r="CH1279">
        <v>1.2497400000000001E-3</v>
      </c>
      <c r="CI1279">
        <v>31.5093</v>
      </c>
      <c r="CJ1279">
        <f t="shared" si="155"/>
        <v>2448.8714437494978</v>
      </c>
      <c r="CL1279">
        <v>1.2497400000000001E-3</v>
      </c>
      <c r="CM1279">
        <v>2.283E-2</v>
      </c>
      <c r="CN1279">
        <f t="shared" si="156"/>
        <v>1.7743248837898979</v>
      </c>
    </row>
    <row r="1280" spans="4:92" x14ac:dyDescent="0.35">
      <c r="D1280">
        <v>1.3675200000000001E-3</v>
      </c>
      <c r="E1280">
        <v>14.919499999999999</v>
      </c>
      <c r="F1280">
        <v>21.306999999999999</v>
      </c>
      <c r="G1280">
        <v>15.317399999999999</v>
      </c>
      <c r="I1280">
        <v>1.3675200000000001E-3</v>
      </c>
      <c r="J1280">
        <f t="shared" si="152"/>
        <v>2.6479797493837411E-2</v>
      </c>
      <c r="K1280">
        <v>0.11308136821316042</v>
      </c>
      <c r="L1280">
        <v>5.0358602207805789E-2</v>
      </c>
      <c r="N1280">
        <v>1.3675200000000001E-3</v>
      </c>
      <c r="O1280">
        <f t="shared" si="153"/>
        <v>0.11308136821316042</v>
      </c>
      <c r="Q1280">
        <v>1.3675200000000001E-3</v>
      </c>
      <c r="R1280">
        <f t="shared" si="154"/>
        <v>5.0358602207805789E-2</v>
      </c>
      <c r="CH1280">
        <v>1.26592E-3</v>
      </c>
      <c r="CI1280">
        <v>31.2363</v>
      </c>
      <c r="CJ1280">
        <f t="shared" si="155"/>
        <v>2427.6541553888037</v>
      </c>
      <c r="CL1280">
        <v>1.26592E-3</v>
      </c>
      <c r="CM1280">
        <v>2.188E-2</v>
      </c>
      <c r="CN1280">
        <f t="shared" si="156"/>
        <v>1.7004918290548825</v>
      </c>
    </row>
    <row r="1281" spans="4:92" x14ac:dyDescent="0.35">
      <c r="D1281">
        <v>1.3852300000000001E-3</v>
      </c>
      <c r="E1281">
        <v>14.6111</v>
      </c>
      <c r="F1281">
        <v>18.456700000000001</v>
      </c>
      <c r="G1281">
        <v>14.901400000000001</v>
      </c>
      <c r="I1281">
        <v>1.3852300000000001E-3</v>
      </c>
      <c r="J1281">
        <f t="shared" si="152"/>
        <v>2.5932435347177037E-2</v>
      </c>
      <c r="K1281">
        <v>9.7954141300973324E-2</v>
      </c>
      <c r="L1281">
        <v>4.8990930245302551E-2</v>
      </c>
      <c r="N1281">
        <v>1.3852300000000001E-3</v>
      </c>
      <c r="O1281">
        <f t="shared" si="153"/>
        <v>9.7954141300973324E-2</v>
      </c>
      <c r="Q1281">
        <v>1.3852300000000001E-3</v>
      </c>
      <c r="R1281">
        <f t="shared" si="154"/>
        <v>4.8990930245302551E-2</v>
      </c>
      <c r="CH1281">
        <v>1.28231E-3</v>
      </c>
      <c r="CI1281">
        <v>32.264400000000002</v>
      </c>
      <c r="CJ1281">
        <f t="shared" si="155"/>
        <v>2507.5570644130876</v>
      </c>
      <c r="CL1281">
        <v>1.28231E-3</v>
      </c>
      <c r="CM1281">
        <v>1.907E-2</v>
      </c>
      <c r="CN1281">
        <f t="shared" si="156"/>
        <v>1.4821014250492051</v>
      </c>
    </row>
    <row r="1282" spans="4:92" x14ac:dyDescent="0.35">
      <c r="D1282">
        <v>1.40317E-3</v>
      </c>
      <c r="E1282">
        <v>14.758699999999999</v>
      </c>
      <c r="F1282">
        <v>17.542300000000001</v>
      </c>
      <c r="G1282">
        <v>14.6379</v>
      </c>
      <c r="I1282">
        <v>1.40317E-3</v>
      </c>
      <c r="J1282">
        <f t="shared" si="152"/>
        <v>2.6194402444605931E-2</v>
      </c>
      <c r="K1282">
        <v>9.3101200807515119E-2</v>
      </c>
      <c r="L1282">
        <v>4.8124628413284271E-2</v>
      </c>
      <c r="N1282">
        <v>1.40317E-3</v>
      </c>
      <c r="O1282">
        <f t="shared" si="153"/>
        <v>9.3101200807515119E-2</v>
      </c>
      <c r="Q1282">
        <v>1.40317E-3</v>
      </c>
      <c r="R1282">
        <f t="shared" si="154"/>
        <v>4.8124628413284271E-2</v>
      </c>
      <c r="CH1282">
        <v>1.2989200000000001E-3</v>
      </c>
      <c r="CI1282">
        <v>32.540500000000002</v>
      </c>
      <c r="CJ1282">
        <f t="shared" si="155"/>
        <v>2529.0152816892323</v>
      </c>
      <c r="CL1282">
        <v>1.2989200000000001E-3</v>
      </c>
      <c r="CM1282">
        <v>1.8319999999999999E-2</v>
      </c>
      <c r="CN1282">
        <f t="shared" si="156"/>
        <v>1.423812171311035</v>
      </c>
    </row>
    <row r="1283" spans="4:92" x14ac:dyDescent="0.35">
      <c r="D1283">
        <v>1.4213400000000001E-3</v>
      </c>
      <c r="E1283">
        <v>14.878299999999999</v>
      </c>
      <c r="F1283">
        <v>19.023900000000001</v>
      </c>
      <c r="G1283">
        <v>15.183999999999999</v>
      </c>
      <c r="I1283">
        <v>1.4213400000000001E-3</v>
      </c>
      <c r="J1283">
        <f t="shared" si="152"/>
        <v>2.6406673886696014E-2</v>
      </c>
      <c r="K1283">
        <v>0.10096440797626802</v>
      </c>
      <c r="L1283">
        <v>4.9920026631368457E-2</v>
      </c>
      <c r="N1283">
        <v>1.4213400000000001E-3</v>
      </c>
      <c r="O1283">
        <f t="shared" si="153"/>
        <v>0.10096440797626802</v>
      </c>
      <c r="Q1283">
        <v>1.4213400000000001E-3</v>
      </c>
      <c r="R1283">
        <f t="shared" si="154"/>
        <v>4.9920026631368457E-2</v>
      </c>
      <c r="CH1283">
        <v>1.3157399999999999E-3</v>
      </c>
      <c r="CI1283">
        <v>32.622100000000003</v>
      </c>
      <c r="CJ1283">
        <f t="shared" si="155"/>
        <v>2535.3571524959457</v>
      </c>
      <c r="CL1283">
        <v>1.3157399999999999E-3</v>
      </c>
      <c r="CM1283">
        <v>2.1610000000000001E-2</v>
      </c>
      <c r="CN1283">
        <f t="shared" si="156"/>
        <v>1.6795076977091412</v>
      </c>
    </row>
    <row r="1284" spans="4:92" x14ac:dyDescent="0.35">
      <c r="D1284">
        <v>1.4397500000000001E-3</v>
      </c>
      <c r="E1284">
        <v>14.900600000000001</v>
      </c>
      <c r="F1284">
        <v>19.8066</v>
      </c>
      <c r="G1284">
        <v>15.054</v>
      </c>
      <c r="I1284">
        <v>1.4397500000000001E-3</v>
      </c>
      <c r="J1284">
        <f t="shared" ref="J1284:J1347" si="157">E1284/SUM($E$3:$E$2002)/$C$3</f>
        <v>2.6446252926483716E-2</v>
      </c>
      <c r="K1284">
        <v>0.10511838492752539</v>
      </c>
      <c r="L1284">
        <v>4.9492629143086199E-2</v>
      </c>
      <c r="N1284">
        <v>1.4397500000000001E-3</v>
      </c>
      <c r="O1284">
        <f t="shared" ref="O1284:O1347" si="158">F1284/SUM($F$3:$F$2002)/$C$3</f>
        <v>0.10511838492752539</v>
      </c>
      <c r="Q1284">
        <v>1.4397500000000001E-3</v>
      </c>
      <c r="R1284">
        <f t="shared" ref="R1284:R1347" si="159">G1284/SUM($G$3:$G$2002)/$C$3</f>
        <v>4.9492629143086199E-2</v>
      </c>
      <c r="CH1284">
        <v>1.33278E-3</v>
      </c>
      <c r="CI1284">
        <v>32.609499999999997</v>
      </c>
      <c r="CJ1284">
        <f t="shared" si="155"/>
        <v>2534.3778930331437</v>
      </c>
      <c r="CL1284">
        <v>1.33278E-3</v>
      </c>
      <c r="CM1284">
        <v>2.3709999999999998E-2</v>
      </c>
      <c r="CN1284">
        <f t="shared" si="156"/>
        <v>1.8427176081760175</v>
      </c>
    </row>
    <row r="1285" spans="4:92" x14ac:dyDescent="0.35">
      <c r="D1285">
        <v>1.4583899999999999E-3</v>
      </c>
      <c r="E1285">
        <v>14.827500000000001</v>
      </c>
      <c r="F1285">
        <v>18.889800000000001</v>
      </c>
      <c r="G1285">
        <v>14.6493</v>
      </c>
      <c r="I1285">
        <v>1.4583899999999999E-3</v>
      </c>
      <c r="J1285">
        <f t="shared" si="157"/>
        <v>2.6316511769152739E-2</v>
      </c>
      <c r="K1285">
        <v>0.10025270705744393</v>
      </c>
      <c r="L1285">
        <v>4.8162107885333635E-2</v>
      </c>
      <c r="N1285">
        <v>1.4583899999999999E-3</v>
      </c>
      <c r="O1285">
        <f t="shared" si="158"/>
        <v>0.10025270705744393</v>
      </c>
      <c r="Q1285">
        <v>1.4583899999999999E-3</v>
      </c>
      <c r="R1285">
        <f t="shared" si="159"/>
        <v>4.8162107885333635E-2</v>
      </c>
      <c r="CH1285">
        <v>1.3500400000000001E-3</v>
      </c>
      <c r="CI1285">
        <v>31.9664</v>
      </c>
      <c r="CJ1285">
        <f t="shared" si="155"/>
        <v>2484.3968009277878</v>
      </c>
      <c r="CL1285">
        <v>1.3500400000000001E-3</v>
      </c>
      <c r="CM1285">
        <v>2.154E-2</v>
      </c>
      <c r="CN1285">
        <f t="shared" si="156"/>
        <v>1.6740673673602453</v>
      </c>
    </row>
    <row r="1286" spans="4:92" x14ac:dyDescent="0.35">
      <c r="D1286">
        <v>1.4772800000000001E-3</v>
      </c>
      <c r="E1286">
        <v>14.891999999999999</v>
      </c>
      <c r="F1286">
        <v>19.712599999999998</v>
      </c>
      <c r="G1286">
        <v>14.936400000000001</v>
      </c>
      <c r="I1286">
        <v>1.4772800000000001E-3</v>
      </c>
      <c r="J1286">
        <f t="shared" si="157"/>
        <v>2.6430989260915361E-2</v>
      </c>
      <c r="K1286">
        <v>0.10461950434311476</v>
      </c>
      <c r="L1286">
        <v>4.9105998799840088E-2</v>
      </c>
      <c r="N1286">
        <v>1.4772800000000001E-3</v>
      </c>
      <c r="O1286">
        <f t="shared" si="158"/>
        <v>0.10461950434311476</v>
      </c>
      <c r="Q1286">
        <v>1.4772800000000001E-3</v>
      </c>
      <c r="R1286">
        <f t="shared" si="159"/>
        <v>4.9105998799840088E-2</v>
      </c>
      <c r="CH1286">
        <v>1.3675200000000001E-3</v>
      </c>
      <c r="CI1286">
        <v>33.696300000000001</v>
      </c>
      <c r="CJ1286">
        <f t="shared" si="155"/>
        <v>2618.8429076500015</v>
      </c>
      <c r="CL1286">
        <v>1.3675200000000001E-3</v>
      </c>
      <c r="CM1286">
        <v>1.9400000000000001E-2</v>
      </c>
      <c r="CN1286">
        <f t="shared" si="156"/>
        <v>1.5077486966940001</v>
      </c>
    </row>
    <row r="1287" spans="4:92" x14ac:dyDescent="0.35">
      <c r="D1287">
        <v>1.4964100000000001E-3</v>
      </c>
      <c r="E1287">
        <v>15.128</v>
      </c>
      <c r="F1287">
        <v>21.900400000000001</v>
      </c>
      <c r="G1287">
        <v>15.438000000000001</v>
      </c>
      <c r="I1287">
        <v>1.4964100000000001E-3</v>
      </c>
      <c r="J1287">
        <f t="shared" si="157"/>
        <v>2.684985264162823E-2</v>
      </c>
      <c r="K1287">
        <v>0.11623068458325897</v>
      </c>
      <c r="L1287">
        <v>5.0755095570012267E-2</v>
      </c>
      <c r="N1287">
        <v>1.4964100000000001E-3</v>
      </c>
      <c r="O1287">
        <f t="shared" si="158"/>
        <v>0.11623068458325897</v>
      </c>
      <c r="Q1287">
        <v>1.4964100000000001E-3</v>
      </c>
      <c r="R1287">
        <f t="shared" si="159"/>
        <v>5.0755095570012267E-2</v>
      </c>
      <c r="CH1287">
        <v>1.3852300000000001E-3</v>
      </c>
      <c r="CI1287">
        <v>32.603900000000003</v>
      </c>
      <c r="CJ1287">
        <f t="shared" si="155"/>
        <v>2533.9426666052327</v>
      </c>
      <c r="CL1287">
        <v>1.3852300000000001E-3</v>
      </c>
      <c r="CM1287">
        <v>2.0740000000000001E-2</v>
      </c>
      <c r="CN1287">
        <f t="shared" si="156"/>
        <v>1.611892163372864</v>
      </c>
    </row>
    <row r="1288" spans="4:92" x14ac:dyDescent="0.35">
      <c r="D1288">
        <v>1.5157899999999999E-3</v>
      </c>
      <c r="E1288">
        <v>14.6181</v>
      </c>
      <c r="F1288">
        <v>17.403300000000002</v>
      </c>
      <c r="G1288">
        <v>14.5992</v>
      </c>
      <c r="I1288">
        <v>1.5157899999999999E-3</v>
      </c>
      <c r="J1288">
        <f t="shared" si="157"/>
        <v>2.5944859261011744E-2</v>
      </c>
      <c r="K1288">
        <v>9.2363494411418542E-2</v>
      </c>
      <c r="L1288">
        <v>4.7997395468695622E-2</v>
      </c>
      <c r="N1288">
        <v>1.5157899999999999E-3</v>
      </c>
      <c r="O1288">
        <f t="shared" si="158"/>
        <v>9.2363494411418542E-2</v>
      </c>
      <c r="Q1288">
        <v>1.5157899999999999E-3</v>
      </c>
      <c r="R1288">
        <f t="shared" si="159"/>
        <v>4.7997395468695622E-2</v>
      </c>
      <c r="CH1288">
        <v>1.40317E-3</v>
      </c>
      <c r="CI1288">
        <v>32.165599999999998</v>
      </c>
      <c r="CJ1288">
        <f t="shared" si="155"/>
        <v>2499.8784267206456</v>
      </c>
      <c r="CL1288">
        <v>1.40317E-3</v>
      </c>
      <c r="CM1288">
        <v>2.5510000000000001E-2</v>
      </c>
      <c r="CN1288">
        <f t="shared" si="156"/>
        <v>1.9826118171476259</v>
      </c>
    </row>
    <row r="1289" spans="4:92" x14ac:dyDescent="0.35">
      <c r="D1289">
        <v>1.53542E-3</v>
      </c>
      <c r="E1289">
        <v>14.990600000000001</v>
      </c>
      <c r="F1289">
        <v>18.813400000000001</v>
      </c>
      <c r="G1289">
        <v>15.026300000000001</v>
      </c>
      <c r="I1289">
        <v>1.53542E-3</v>
      </c>
      <c r="J1289">
        <f t="shared" si="157"/>
        <v>2.6605988961501334E-2</v>
      </c>
      <c r="K1289">
        <v>9.9847233901603827E-2</v>
      </c>
      <c r="L1289">
        <v>4.9401560601352201E-2</v>
      </c>
      <c r="N1289">
        <v>1.53542E-3</v>
      </c>
      <c r="O1289">
        <f t="shared" si="158"/>
        <v>9.9847233901603827E-2</v>
      </c>
      <c r="Q1289">
        <v>1.53542E-3</v>
      </c>
      <c r="R1289">
        <f t="shared" si="159"/>
        <v>4.9401560601352201E-2</v>
      </c>
      <c r="CH1289">
        <v>1.4213400000000001E-3</v>
      </c>
      <c r="CI1289">
        <v>32.956800000000001</v>
      </c>
      <c r="CJ1289">
        <f t="shared" si="155"/>
        <v>2561.3697034641659</v>
      </c>
      <c r="CL1289">
        <v>1.4213400000000001E-3</v>
      </c>
      <c r="CM1289">
        <v>1.865E-2</v>
      </c>
      <c r="CN1289">
        <f t="shared" si="156"/>
        <v>1.4494594429558298</v>
      </c>
    </row>
    <row r="1290" spans="4:92" x14ac:dyDescent="0.35">
      <c r="D1290">
        <v>1.5552999999999999E-3</v>
      </c>
      <c r="E1290">
        <v>14.8027</v>
      </c>
      <c r="F1290">
        <v>19.623200000000001</v>
      </c>
      <c r="G1290">
        <v>15.075900000000001</v>
      </c>
      <c r="I1290">
        <v>1.5552999999999999E-3</v>
      </c>
      <c r="J1290">
        <f t="shared" si="157"/>
        <v>2.6272495617281212E-2</v>
      </c>
      <c r="K1290">
        <v>0.10414503706389872</v>
      </c>
      <c r="L1290">
        <v>4.956462918149683E-2</v>
      </c>
      <c r="N1290">
        <v>1.5552999999999999E-3</v>
      </c>
      <c r="O1290">
        <f t="shared" si="158"/>
        <v>0.10414503706389872</v>
      </c>
      <c r="Q1290">
        <v>1.5552999999999999E-3</v>
      </c>
      <c r="R1290">
        <f t="shared" si="159"/>
        <v>4.956462918149683E-2</v>
      </c>
      <c r="CH1290">
        <v>1.4397500000000001E-3</v>
      </c>
      <c r="CI1290">
        <v>33.002699999999997</v>
      </c>
      <c r="CJ1290">
        <f t="shared" ref="CJ1290:CJ1353" si="160">CI1290/$CG$9</f>
        <v>2564.9370057929418</v>
      </c>
      <c r="CL1290">
        <v>1.4397500000000001E-3</v>
      </c>
      <c r="CM1290">
        <v>3.4479999999999997E-2</v>
      </c>
      <c r="CN1290">
        <f t="shared" ref="CN1290:CN1353" si="161">CM1290/$CG$9</f>
        <v>2.6797512918561401</v>
      </c>
    </row>
    <row r="1291" spans="4:92" x14ac:dyDescent="0.35">
      <c r="D1291">
        <v>1.57544E-3</v>
      </c>
      <c r="E1291">
        <v>14.867599999999999</v>
      </c>
      <c r="F1291">
        <v>23.945499999999999</v>
      </c>
      <c r="G1291">
        <v>15.7644</v>
      </c>
      <c r="I1291">
        <v>1.57544E-3</v>
      </c>
      <c r="J1291">
        <f t="shared" si="157"/>
        <v>2.6387683046977251E-2</v>
      </c>
      <c r="K1291">
        <v>0.12708452163834574</v>
      </c>
      <c r="L1291">
        <v>5.1828192032899435E-2</v>
      </c>
      <c r="N1291">
        <v>1.57544E-3</v>
      </c>
      <c r="O1291">
        <f t="shared" si="158"/>
        <v>0.12708452163834574</v>
      </c>
      <c r="Q1291">
        <v>1.57544E-3</v>
      </c>
      <c r="R1291">
        <f t="shared" si="159"/>
        <v>5.1828192032899435E-2</v>
      </c>
      <c r="CH1291">
        <v>1.4583899999999999E-3</v>
      </c>
      <c r="CI1291">
        <v>33.259500000000003</v>
      </c>
      <c r="CJ1291">
        <f t="shared" si="160"/>
        <v>2584.8952462728917</v>
      </c>
      <c r="CL1291">
        <v>1.4583899999999999E-3</v>
      </c>
      <c r="CM1291">
        <v>1.866E-2</v>
      </c>
      <c r="CN1291">
        <f t="shared" si="161"/>
        <v>1.4502366330056722</v>
      </c>
    </row>
    <row r="1292" spans="4:92" x14ac:dyDescent="0.35">
      <c r="D1292">
        <v>1.59585E-3</v>
      </c>
      <c r="E1292">
        <v>14.663600000000001</v>
      </c>
      <c r="F1292">
        <v>17.107199999999999</v>
      </c>
      <c r="G1292">
        <v>15.101699999999999</v>
      </c>
      <c r="I1292">
        <v>1.59585E-3</v>
      </c>
      <c r="J1292">
        <f t="shared" si="157"/>
        <v>2.6025614700937318E-2</v>
      </c>
      <c r="K1292">
        <v>9.0792020570525087E-2</v>
      </c>
      <c r="L1292">
        <v>4.9649451144555913E-2</v>
      </c>
      <c r="N1292">
        <v>1.59585E-3</v>
      </c>
      <c r="O1292">
        <f t="shared" si="158"/>
        <v>9.0792020570525087E-2</v>
      </c>
      <c r="Q1292">
        <v>1.59585E-3</v>
      </c>
      <c r="R1292">
        <f t="shared" si="159"/>
        <v>4.9649451144555913E-2</v>
      </c>
      <c r="CH1292">
        <v>1.4772800000000001E-3</v>
      </c>
      <c r="CI1292">
        <v>33.155000000000001</v>
      </c>
      <c r="CJ1292">
        <f t="shared" si="160"/>
        <v>2576.7736102520398</v>
      </c>
      <c r="CL1292">
        <v>1.4772800000000001E-3</v>
      </c>
      <c r="CM1292">
        <v>2.1700000000000001E-2</v>
      </c>
      <c r="CN1292">
        <f t="shared" si="161"/>
        <v>1.6865024081577218</v>
      </c>
    </row>
    <row r="1293" spans="4:92" x14ac:dyDescent="0.35">
      <c r="D1293">
        <v>1.61651E-3</v>
      </c>
      <c r="E1293">
        <v>14.8287</v>
      </c>
      <c r="F1293">
        <v>19.4116</v>
      </c>
      <c r="G1293">
        <v>14.8902</v>
      </c>
      <c r="I1293">
        <v>1.61651E-3</v>
      </c>
      <c r="J1293">
        <f t="shared" si="157"/>
        <v>2.6318641582952971E-2</v>
      </c>
      <c r="K1293">
        <v>0.10302202502494885</v>
      </c>
      <c r="L1293">
        <v>4.895410830785054E-2</v>
      </c>
      <c r="N1293">
        <v>1.61651E-3</v>
      </c>
      <c r="O1293">
        <f t="shared" si="158"/>
        <v>0.10302202502494885</v>
      </c>
      <c r="Q1293">
        <v>1.61651E-3</v>
      </c>
      <c r="R1293">
        <f t="shared" si="159"/>
        <v>4.895410830785054E-2</v>
      </c>
      <c r="CH1293">
        <v>1.4964100000000001E-3</v>
      </c>
      <c r="CI1293">
        <v>33.197200000000002</v>
      </c>
      <c r="CJ1293">
        <f t="shared" si="160"/>
        <v>2580.0533522623741</v>
      </c>
      <c r="CL1293">
        <v>1.4964100000000001E-3</v>
      </c>
      <c r="CM1293">
        <v>2.1950000000000001E-2</v>
      </c>
      <c r="CN1293">
        <f t="shared" si="161"/>
        <v>1.7059321594037784</v>
      </c>
    </row>
    <row r="1294" spans="4:92" x14ac:dyDescent="0.35">
      <c r="D1294">
        <v>1.6374499999999999E-3</v>
      </c>
      <c r="E1294">
        <v>14.8545</v>
      </c>
      <c r="F1294">
        <v>21.589600000000001</v>
      </c>
      <c r="G1294">
        <v>15.165699999999999</v>
      </c>
      <c r="I1294">
        <v>1.6374499999999999E-3</v>
      </c>
      <c r="J1294">
        <f t="shared" si="157"/>
        <v>2.6364432579658023E-2</v>
      </c>
      <c r="K1294">
        <v>0.11458119431054811</v>
      </c>
      <c r="L1294">
        <v>4.985986221571026E-2</v>
      </c>
      <c r="N1294">
        <v>1.6374499999999999E-3</v>
      </c>
      <c r="O1294">
        <f t="shared" si="158"/>
        <v>0.11458119431054811</v>
      </c>
      <c r="Q1294">
        <v>1.6374499999999999E-3</v>
      </c>
      <c r="R1294">
        <f t="shared" si="159"/>
        <v>4.985986221571026E-2</v>
      </c>
      <c r="CH1294">
        <v>1.5157899999999999E-3</v>
      </c>
      <c r="CI1294">
        <v>32.180999999999997</v>
      </c>
      <c r="CJ1294">
        <f t="shared" si="160"/>
        <v>2501.0752993974024</v>
      </c>
      <c r="CL1294">
        <v>1.5157899999999999E-3</v>
      </c>
      <c r="CM1294">
        <v>2.0150000000000001E-2</v>
      </c>
      <c r="CN1294">
        <f t="shared" si="161"/>
        <v>1.5660379504321702</v>
      </c>
    </row>
    <row r="1295" spans="4:92" x14ac:dyDescent="0.35">
      <c r="D1295">
        <v>1.65865E-3</v>
      </c>
      <c r="E1295">
        <v>15.0358</v>
      </c>
      <c r="F1295">
        <v>18.277699999999999</v>
      </c>
      <c r="G1295">
        <v>14.7712</v>
      </c>
      <c r="I1295">
        <v>1.65865E-3</v>
      </c>
      <c r="J1295">
        <f t="shared" si="157"/>
        <v>2.6686211947976848E-2</v>
      </c>
      <c r="K1295">
        <v>9.7004145294489239E-2</v>
      </c>
      <c r="L1295">
        <v>4.8562875222422933E-2</v>
      </c>
      <c r="N1295">
        <v>1.65865E-3</v>
      </c>
      <c r="O1295">
        <f t="shared" si="158"/>
        <v>9.7004145294489239E-2</v>
      </c>
      <c r="Q1295">
        <v>1.65865E-3</v>
      </c>
      <c r="R1295">
        <f t="shared" si="159"/>
        <v>4.8562875222422933E-2</v>
      </c>
      <c r="CH1295">
        <v>1.53542E-3</v>
      </c>
      <c r="CI1295">
        <v>34.063099999999999</v>
      </c>
      <c r="CJ1295">
        <f t="shared" si="160"/>
        <v>2647.3502386782161</v>
      </c>
      <c r="CL1295">
        <v>1.53542E-3</v>
      </c>
      <c r="CM1295">
        <v>2.019E-2</v>
      </c>
      <c r="CN1295">
        <f t="shared" si="161"/>
        <v>1.5691467106315391</v>
      </c>
    </row>
    <row r="1296" spans="4:92" x14ac:dyDescent="0.35">
      <c r="D1296">
        <v>1.6801299999999999E-3</v>
      </c>
      <c r="E1296">
        <v>14.9549</v>
      </c>
      <c r="F1296">
        <v>19.7179</v>
      </c>
      <c r="G1296">
        <v>15.030099999999999</v>
      </c>
      <c r="I1296">
        <v>1.6801299999999999E-3</v>
      </c>
      <c r="J1296">
        <f t="shared" si="157"/>
        <v>2.6542627000944344E-2</v>
      </c>
      <c r="K1296">
        <v>0.10464763271649112</v>
      </c>
      <c r="L1296">
        <v>4.941405375870199E-2</v>
      </c>
      <c r="N1296">
        <v>1.6801299999999999E-3</v>
      </c>
      <c r="O1296">
        <f t="shared" si="158"/>
        <v>0.10464763271649112</v>
      </c>
      <c r="Q1296">
        <v>1.6801299999999999E-3</v>
      </c>
      <c r="R1296">
        <f t="shared" si="159"/>
        <v>4.941405375870199E-2</v>
      </c>
      <c r="CH1296">
        <v>1.5552999999999999E-3</v>
      </c>
      <c r="CI1296">
        <v>32.543399999999998</v>
      </c>
      <c r="CJ1296">
        <f t="shared" si="160"/>
        <v>2529.2406668036865</v>
      </c>
      <c r="CL1296">
        <v>1.5552999999999999E-3</v>
      </c>
      <c r="CM1296">
        <v>1.9740000000000001E-2</v>
      </c>
      <c r="CN1296">
        <f t="shared" si="161"/>
        <v>1.5341731583886371</v>
      </c>
    </row>
    <row r="1297" spans="4:92" x14ac:dyDescent="0.35">
      <c r="D1297">
        <v>1.70189E-3</v>
      </c>
      <c r="E1297">
        <v>14.962300000000001</v>
      </c>
      <c r="F1297">
        <v>18.929400000000001</v>
      </c>
      <c r="G1297">
        <v>15.1326</v>
      </c>
      <c r="I1297">
        <v>1.70189E-3</v>
      </c>
      <c r="J1297">
        <f t="shared" si="157"/>
        <v>2.6555760852712461E-2</v>
      </c>
      <c r="K1297">
        <v>0.10046287377172756</v>
      </c>
      <c r="L1297">
        <v>4.9751040239847624E-2</v>
      </c>
      <c r="N1297">
        <v>1.70189E-3</v>
      </c>
      <c r="O1297">
        <f t="shared" si="158"/>
        <v>0.10046287377172756</v>
      </c>
      <c r="Q1297">
        <v>1.70189E-3</v>
      </c>
      <c r="R1297">
        <f t="shared" si="159"/>
        <v>4.9751040239847624E-2</v>
      </c>
      <c r="CH1297">
        <v>1.57544E-3</v>
      </c>
      <c r="CI1297">
        <v>34.494500000000002</v>
      </c>
      <c r="CJ1297">
        <f t="shared" si="160"/>
        <v>2680.8782174284115</v>
      </c>
      <c r="CL1297">
        <v>1.57544E-3</v>
      </c>
      <c r="CM1297">
        <v>1.8620000000000001E-2</v>
      </c>
      <c r="CN1297">
        <f t="shared" si="161"/>
        <v>1.4471278728063033</v>
      </c>
    </row>
    <row r="1298" spans="4:92" x14ac:dyDescent="0.35">
      <c r="D1298">
        <v>1.72393E-3</v>
      </c>
      <c r="E1298">
        <v>14.8142</v>
      </c>
      <c r="F1298">
        <v>21.0396</v>
      </c>
      <c r="G1298">
        <v>15.045</v>
      </c>
      <c r="I1298">
        <v>1.72393E-3</v>
      </c>
      <c r="J1298">
        <f t="shared" si="157"/>
        <v>2.6292906332866801E-2</v>
      </c>
      <c r="K1298">
        <v>0.11166221216772002</v>
      </c>
      <c r="L1298">
        <v>4.9463040086205112E-2</v>
      </c>
      <c r="N1298">
        <v>1.72393E-3</v>
      </c>
      <c r="O1298">
        <f t="shared" si="158"/>
        <v>0.11166221216772002</v>
      </c>
      <c r="Q1298">
        <v>1.72393E-3</v>
      </c>
      <c r="R1298">
        <f t="shared" si="159"/>
        <v>4.9463040086205112E-2</v>
      </c>
      <c r="CH1298">
        <v>1.59585E-3</v>
      </c>
      <c r="CI1298">
        <v>32.232300000000002</v>
      </c>
      <c r="CJ1298">
        <f t="shared" si="160"/>
        <v>2505.0622843530937</v>
      </c>
      <c r="CL1298">
        <v>1.59585E-3</v>
      </c>
      <c r="CM1298">
        <v>2.3910000000000001E-2</v>
      </c>
      <c r="CN1298">
        <f t="shared" si="161"/>
        <v>1.8582614091728629</v>
      </c>
    </row>
    <row r="1299" spans="4:92" x14ac:dyDescent="0.35">
      <c r="D1299">
        <v>1.74625E-3</v>
      </c>
      <c r="E1299">
        <v>15.1586</v>
      </c>
      <c r="F1299">
        <v>21.073899999999998</v>
      </c>
      <c r="G1299">
        <v>15.4032</v>
      </c>
      <c r="I1299">
        <v>1.74625E-3</v>
      </c>
      <c r="J1299">
        <f t="shared" si="157"/>
        <v>2.6904162893534221E-2</v>
      </c>
      <c r="K1299">
        <v>0.11184425050862729</v>
      </c>
      <c r="L1299">
        <v>5.064068455007209E-2</v>
      </c>
      <c r="N1299">
        <v>1.74625E-3</v>
      </c>
      <c r="O1299">
        <f t="shared" si="158"/>
        <v>0.11184425050862729</v>
      </c>
      <c r="Q1299">
        <v>1.74625E-3</v>
      </c>
      <c r="R1299">
        <f t="shared" si="159"/>
        <v>5.064068455007209E-2</v>
      </c>
      <c r="CH1299">
        <v>1.61651E-3</v>
      </c>
      <c r="CI1299">
        <v>32.926400000000001</v>
      </c>
      <c r="CJ1299">
        <f t="shared" si="160"/>
        <v>2559.0070457126453</v>
      </c>
      <c r="CL1299">
        <v>1.61651E-3</v>
      </c>
      <c r="CM1299">
        <v>2.0289999999999999E-2</v>
      </c>
      <c r="CN1299">
        <f t="shared" si="161"/>
        <v>1.5769186111299618</v>
      </c>
    </row>
    <row r="1300" spans="4:92" x14ac:dyDescent="0.35">
      <c r="D1300">
        <v>1.7688700000000001E-3</v>
      </c>
      <c r="E1300">
        <v>14.976800000000001</v>
      </c>
      <c r="F1300">
        <v>19.079499999999999</v>
      </c>
      <c r="G1300">
        <v>14.9184</v>
      </c>
      <c r="I1300">
        <v>1.7688700000000001E-3</v>
      </c>
      <c r="J1300">
        <f t="shared" si="157"/>
        <v>2.658149610279863E-2</v>
      </c>
      <c r="K1300">
        <v>0.10125949053470665</v>
      </c>
      <c r="L1300">
        <v>4.9046820686077922E-2</v>
      </c>
      <c r="N1300">
        <v>1.7688700000000001E-3</v>
      </c>
      <c r="O1300">
        <f t="shared" si="158"/>
        <v>0.10125949053470665</v>
      </c>
      <c r="Q1300">
        <v>1.7688700000000001E-3</v>
      </c>
      <c r="R1300">
        <f t="shared" si="159"/>
        <v>4.9046820686077922E-2</v>
      </c>
      <c r="CH1300">
        <v>1.6374499999999999E-3</v>
      </c>
      <c r="CI1300">
        <v>32.998600000000003</v>
      </c>
      <c r="CJ1300">
        <f t="shared" si="160"/>
        <v>2564.6183578725067</v>
      </c>
      <c r="CL1300">
        <v>1.6374499999999999E-3</v>
      </c>
      <c r="CM1300">
        <v>1.772E-2</v>
      </c>
      <c r="CN1300">
        <f t="shared" si="161"/>
        <v>1.3771807683204988</v>
      </c>
    </row>
    <row r="1301" spans="4:92" x14ac:dyDescent="0.35">
      <c r="D1301">
        <v>1.79177E-3</v>
      </c>
      <c r="E1301">
        <v>14.8813</v>
      </c>
      <c r="F1301">
        <v>19.4161</v>
      </c>
      <c r="G1301">
        <v>15.171900000000001</v>
      </c>
      <c r="I1301">
        <v>1.79177E-3</v>
      </c>
      <c r="J1301">
        <f t="shared" si="157"/>
        <v>2.6411998421196601E-2</v>
      </c>
      <c r="K1301">
        <v>0.10304590760611744</v>
      </c>
      <c r="L1301">
        <v>4.988024578822834E-2</v>
      </c>
      <c r="N1301">
        <v>1.79177E-3</v>
      </c>
      <c r="O1301">
        <f t="shared" si="158"/>
        <v>0.10304590760611744</v>
      </c>
      <c r="Q1301">
        <v>1.79177E-3</v>
      </c>
      <c r="R1301">
        <f t="shared" si="159"/>
        <v>4.988024578822834E-2</v>
      </c>
      <c r="CH1301">
        <v>1.65865E-3</v>
      </c>
      <c r="CI1301">
        <v>31.2697</v>
      </c>
      <c r="CJ1301">
        <f t="shared" si="160"/>
        <v>2430.249970155277</v>
      </c>
      <c r="CL1301">
        <v>1.65865E-3</v>
      </c>
      <c r="CM1301">
        <v>2.1850000000000001E-2</v>
      </c>
      <c r="CN1301">
        <f t="shared" si="161"/>
        <v>1.6981602589053557</v>
      </c>
    </row>
    <row r="1302" spans="4:92" x14ac:dyDescent="0.35">
      <c r="D1302">
        <v>1.8149799999999999E-3</v>
      </c>
      <c r="E1302">
        <v>14.886900000000001</v>
      </c>
      <c r="F1302">
        <v>20.141999999999999</v>
      </c>
      <c r="G1302">
        <v>15.0678</v>
      </c>
      <c r="I1302">
        <v>1.8149799999999999E-3</v>
      </c>
      <c r="J1302">
        <f t="shared" si="157"/>
        <v>2.6421937552264366E-2</v>
      </c>
      <c r="K1302">
        <v>0.10689843331062454</v>
      </c>
      <c r="L1302">
        <v>4.9537999030303849E-2</v>
      </c>
      <c r="N1302">
        <v>1.8149799999999999E-3</v>
      </c>
      <c r="O1302">
        <f t="shared" si="158"/>
        <v>0.10689843331062454</v>
      </c>
      <c r="Q1302">
        <v>1.8149799999999999E-3</v>
      </c>
      <c r="R1302">
        <f t="shared" si="159"/>
        <v>4.9537999030303849E-2</v>
      </c>
      <c r="CH1302">
        <v>1.6801299999999999E-3</v>
      </c>
      <c r="CI1302">
        <v>32.398299999999999</v>
      </c>
      <c r="CJ1302">
        <f t="shared" si="160"/>
        <v>2517.9636391804752</v>
      </c>
      <c r="CL1302">
        <v>1.6801299999999999E-3</v>
      </c>
      <c r="CM1302">
        <v>2.1129999999999999E-2</v>
      </c>
      <c r="CN1302">
        <f t="shared" si="161"/>
        <v>1.6422025753167124</v>
      </c>
    </row>
    <row r="1303" spans="4:92" x14ac:dyDescent="0.35">
      <c r="D1303">
        <v>1.83848E-3</v>
      </c>
      <c r="E1303">
        <v>14.8017</v>
      </c>
      <c r="F1303">
        <v>20.886199999999999</v>
      </c>
      <c r="G1303">
        <v>15.2212</v>
      </c>
      <c r="I1303">
        <v>1.83848E-3</v>
      </c>
      <c r="J1303">
        <f t="shared" si="157"/>
        <v>2.6270720772447687E-2</v>
      </c>
      <c r="K1303">
        <v>0.11084808151188394</v>
      </c>
      <c r="L1303">
        <v>5.0042328066476918E-2</v>
      </c>
      <c r="N1303">
        <v>1.83848E-3</v>
      </c>
      <c r="O1303">
        <f t="shared" si="158"/>
        <v>0.11084808151188394</v>
      </c>
      <c r="Q1303">
        <v>1.83848E-3</v>
      </c>
      <c r="R1303">
        <f t="shared" si="159"/>
        <v>5.0042328066476918E-2</v>
      </c>
      <c r="CH1303">
        <v>1.70189E-3</v>
      </c>
      <c r="CI1303">
        <v>32.550899999999999</v>
      </c>
      <c r="CJ1303">
        <f t="shared" si="160"/>
        <v>2529.8235593410682</v>
      </c>
      <c r="CL1303">
        <v>1.70189E-3</v>
      </c>
      <c r="CM1303">
        <v>1.9220000000000001E-2</v>
      </c>
      <c r="CN1303">
        <f t="shared" si="161"/>
        <v>1.4937592757968392</v>
      </c>
    </row>
    <row r="1304" spans="4:92" x14ac:dyDescent="0.35">
      <c r="D1304">
        <v>1.86229E-3</v>
      </c>
      <c r="E1304">
        <v>14.602600000000001</v>
      </c>
      <c r="F1304">
        <v>20.444700000000001</v>
      </c>
      <c r="G1304">
        <v>15.028499999999999</v>
      </c>
      <c r="I1304">
        <v>1.86229E-3</v>
      </c>
      <c r="J1304">
        <f t="shared" si="157"/>
        <v>2.5917349166092042E-2</v>
      </c>
      <c r="K1304">
        <v>0.10850493493723196</v>
      </c>
      <c r="L1304">
        <v>4.9408793481923133E-2</v>
      </c>
      <c r="N1304">
        <v>1.86229E-3</v>
      </c>
      <c r="O1304">
        <f t="shared" si="158"/>
        <v>0.10850493493723196</v>
      </c>
      <c r="Q1304">
        <v>1.86229E-3</v>
      </c>
      <c r="R1304">
        <f t="shared" si="159"/>
        <v>4.9408793481923133E-2</v>
      </c>
      <c r="CH1304">
        <v>1.72393E-3</v>
      </c>
      <c r="CI1304">
        <v>33.563899999999997</v>
      </c>
      <c r="CJ1304">
        <f t="shared" si="160"/>
        <v>2608.5529113900898</v>
      </c>
      <c r="CL1304">
        <v>1.72393E-3</v>
      </c>
      <c r="CM1304">
        <v>1.915E-2</v>
      </c>
      <c r="CN1304">
        <f t="shared" si="161"/>
        <v>1.4883189454479433</v>
      </c>
    </row>
    <row r="1305" spans="4:92" x14ac:dyDescent="0.35">
      <c r="D1305">
        <v>1.88641E-3</v>
      </c>
      <c r="E1305">
        <v>14.9346</v>
      </c>
      <c r="F1305">
        <v>20.2852</v>
      </c>
      <c r="G1305">
        <v>14.996700000000001</v>
      </c>
      <c r="I1305">
        <v>1.88641E-3</v>
      </c>
      <c r="J1305">
        <f t="shared" si="157"/>
        <v>2.65065976508237E-2</v>
      </c>
      <c r="K1305">
        <v>0.10765843011581179</v>
      </c>
      <c r="L1305">
        <v>4.9304245480943316E-2</v>
      </c>
      <c r="N1305">
        <v>1.88641E-3</v>
      </c>
      <c r="O1305">
        <f t="shared" si="158"/>
        <v>0.10765843011581179</v>
      </c>
      <c r="Q1305">
        <v>1.88641E-3</v>
      </c>
      <c r="R1305">
        <f t="shared" si="159"/>
        <v>4.9304245480943316E-2</v>
      </c>
      <c r="CH1305">
        <v>1.74625E-3</v>
      </c>
      <c r="CI1305">
        <v>33.094299999999997</v>
      </c>
      <c r="CJ1305">
        <f t="shared" si="160"/>
        <v>2572.0560666494971</v>
      </c>
      <c r="CL1305">
        <v>1.74625E-3</v>
      </c>
      <c r="CM1305">
        <v>2.1899999999999999E-2</v>
      </c>
      <c r="CN1305">
        <f t="shared" si="161"/>
        <v>1.7020462091545669</v>
      </c>
    </row>
    <row r="1306" spans="4:92" x14ac:dyDescent="0.35">
      <c r="D1306">
        <v>1.91084E-3</v>
      </c>
      <c r="E1306">
        <v>14.742000000000001</v>
      </c>
      <c r="F1306">
        <v>19.693899999999999</v>
      </c>
      <c r="G1306">
        <v>15.152699999999999</v>
      </c>
      <c r="I1306">
        <v>1.91084E-3</v>
      </c>
      <c r="J1306">
        <f t="shared" si="157"/>
        <v>2.6164762535886E-2</v>
      </c>
      <c r="K1306">
        <v>0.10452025895025861</v>
      </c>
      <c r="L1306">
        <v>4.9817122466882031E-2</v>
      </c>
      <c r="N1306">
        <v>1.91084E-3</v>
      </c>
      <c r="O1306">
        <f t="shared" si="158"/>
        <v>0.10452025895025861</v>
      </c>
      <c r="Q1306">
        <v>1.91084E-3</v>
      </c>
      <c r="R1306">
        <f t="shared" si="159"/>
        <v>4.9817122466882031E-2</v>
      </c>
      <c r="CH1306">
        <v>1.7688700000000001E-3</v>
      </c>
      <c r="CI1306">
        <v>31.764299999999999</v>
      </c>
      <c r="CJ1306">
        <f t="shared" si="160"/>
        <v>2468.6897900204754</v>
      </c>
      <c r="CL1306">
        <v>1.7688700000000001E-3</v>
      </c>
      <c r="CM1306">
        <v>2.172E-2</v>
      </c>
      <c r="CN1306">
        <f t="shared" si="161"/>
        <v>1.6880567882574062</v>
      </c>
    </row>
    <row r="1307" spans="4:92" x14ac:dyDescent="0.35">
      <c r="D1307">
        <v>1.9355799999999999E-3</v>
      </c>
      <c r="E1307">
        <v>15.2201</v>
      </c>
      <c r="F1307">
        <v>27.028199999999998</v>
      </c>
      <c r="G1307">
        <v>15.683999999999999</v>
      </c>
      <c r="I1307">
        <v>1.9355799999999999E-3</v>
      </c>
      <c r="J1307">
        <f t="shared" si="157"/>
        <v>2.7013315850796263E-2</v>
      </c>
      <c r="K1307">
        <v>0.14344515118688425</v>
      </c>
      <c r="L1307">
        <v>5.1563863124761779E-2</v>
      </c>
      <c r="N1307">
        <v>1.9355799999999999E-3</v>
      </c>
      <c r="O1307">
        <f t="shared" si="158"/>
        <v>0.14344515118688425</v>
      </c>
      <c r="Q1307">
        <v>1.9355799999999999E-3</v>
      </c>
      <c r="R1307">
        <f t="shared" si="159"/>
        <v>5.1563863124761779E-2</v>
      </c>
      <c r="CH1307">
        <v>1.79177E-3</v>
      </c>
      <c r="CI1307">
        <v>34.018300000000004</v>
      </c>
      <c r="CJ1307">
        <f t="shared" si="160"/>
        <v>2643.8684272549231</v>
      </c>
      <c r="CL1307">
        <v>1.79177E-3</v>
      </c>
      <c r="CM1307">
        <v>1.8870000000000001E-2</v>
      </c>
      <c r="CN1307">
        <f t="shared" si="161"/>
        <v>1.4665576240523599</v>
      </c>
    </row>
    <row r="1308" spans="4:92" x14ac:dyDescent="0.35">
      <c r="D1308">
        <v>1.96065E-3</v>
      </c>
      <c r="E1308">
        <v>14.538</v>
      </c>
      <c r="F1308">
        <v>15.572800000000001</v>
      </c>
      <c r="G1308">
        <v>14.496700000000001</v>
      </c>
      <c r="I1308">
        <v>1.96065E-3</v>
      </c>
      <c r="J1308">
        <f t="shared" si="157"/>
        <v>2.580269418984606E-2</v>
      </c>
      <c r="K1308">
        <v>8.2648591116060668E-2</v>
      </c>
      <c r="L1308">
        <v>4.7660408987549994E-2</v>
      </c>
      <c r="N1308">
        <v>1.96065E-3</v>
      </c>
      <c r="O1308">
        <f t="shared" si="158"/>
        <v>8.2648591116060668E-2</v>
      </c>
      <c r="Q1308">
        <v>1.96065E-3</v>
      </c>
      <c r="R1308">
        <f t="shared" si="159"/>
        <v>4.7660408987549994E-2</v>
      </c>
      <c r="CH1308">
        <v>1.8149799999999999E-3</v>
      </c>
      <c r="CI1308">
        <v>32.967300000000002</v>
      </c>
      <c r="CJ1308">
        <f t="shared" si="160"/>
        <v>2562.1857530165003</v>
      </c>
      <c r="CL1308">
        <v>1.8149799999999999E-3</v>
      </c>
      <c r="CM1308">
        <v>2.0219999999999998E-2</v>
      </c>
      <c r="CN1308">
        <f t="shared" si="161"/>
        <v>1.5714782807810659</v>
      </c>
    </row>
    <row r="1309" spans="4:92" x14ac:dyDescent="0.35">
      <c r="D1309">
        <v>1.9860400000000001E-3</v>
      </c>
      <c r="E1309">
        <v>15.010300000000001</v>
      </c>
      <c r="F1309">
        <v>21.4664</v>
      </c>
      <c r="G1309">
        <v>15.141</v>
      </c>
      <c r="I1309">
        <v>1.9860400000000001E-3</v>
      </c>
      <c r="J1309">
        <f t="shared" si="157"/>
        <v>2.6640953404721855E-2</v>
      </c>
      <c r="K1309">
        <v>0.11392734231055461</v>
      </c>
      <c r="L1309">
        <v>4.9778656692936636E-2</v>
      </c>
      <c r="N1309">
        <v>1.9860400000000001E-3</v>
      </c>
      <c r="O1309">
        <f t="shared" si="158"/>
        <v>0.11392734231055461</v>
      </c>
      <c r="Q1309">
        <v>1.9860400000000001E-3</v>
      </c>
      <c r="R1309">
        <f t="shared" si="159"/>
        <v>4.9778656692936636E-2</v>
      </c>
      <c r="CH1309">
        <v>1.83848E-3</v>
      </c>
      <c r="CI1309">
        <v>32.753799999999998</v>
      </c>
      <c r="CJ1309">
        <f t="shared" si="160"/>
        <v>2545.5927454523676</v>
      </c>
      <c r="CL1309">
        <v>1.83848E-3</v>
      </c>
      <c r="CM1309">
        <v>2.1930000000000002E-2</v>
      </c>
      <c r="CN1309">
        <f t="shared" si="161"/>
        <v>1.704377779304094</v>
      </c>
    </row>
    <row r="1310" spans="4:92" x14ac:dyDescent="0.35">
      <c r="D1310">
        <v>2.01176E-3</v>
      </c>
      <c r="E1310">
        <v>14.802</v>
      </c>
      <c r="F1310">
        <v>19.212800000000001</v>
      </c>
      <c r="G1310">
        <v>14.7615</v>
      </c>
      <c r="I1310">
        <v>2.01176E-3</v>
      </c>
      <c r="J1310">
        <f t="shared" si="157"/>
        <v>2.6271253225897743E-2</v>
      </c>
      <c r="K1310">
        <v>0.10196694566132299</v>
      </c>
      <c r="L1310">
        <v>4.8530984794451101E-2</v>
      </c>
      <c r="N1310">
        <v>2.01176E-3</v>
      </c>
      <c r="O1310">
        <f t="shared" si="158"/>
        <v>0.10196694566132299</v>
      </c>
      <c r="Q1310">
        <v>2.01176E-3</v>
      </c>
      <c r="R1310">
        <f t="shared" si="159"/>
        <v>4.8530984794451101E-2</v>
      </c>
      <c r="CH1310">
        <v>1.86229E-3</v>
      </c>
      <c r="CI1310">
        <v>32.487099999999998</v>
      </c>
      <c r="CJ1310">
        <f t="shared" si="160"/>
        <v>2524.8650868230743</v>
      </c>
      <c r="CL1310">
        <v>1.86229E-3</v>
      </c>
      <c r="CM1310">
        <v>1.8360000000000001E-2</v>
      </c>
      <c r="CN1310">
        <f t="shared" si="161"/>
        <v>1.4269209315104041</v>
      </c>
    </row>
    <row r="1311" spans="4:92" x14ac:dyDescent="0.35">
      <c r="D1311">
        <v>2.0378100000000001E-3</v>
      </c>
      <c r="E1311">
        <v>14.8767</v>
      </c>
      <c r="F1311">
        <v>20.8828</v>
      </c>
      <c r="G1311">
        <v>15.1159</v>
      </c>
      <c r="I1311">
        <v>2.0378100000000001E-3</v>
      </c>
      <c r="J1311">
        <f t="shared" si="157"/>
        <v>2.6403834134962365E-2</v>
      </c>
      <c r="K1311">
        <v>0.11083003689500101</v>
      </c>
      <c r="L1311">
        <v>4.9696136100968284E-2</v>
      </c>
      <c r="N1311">
        <v>2.0378100000000001E-3</v>
      </c>
      <c r="O1311">
        <f t="shared" si="158"/>
        <v>0.11083003689500101</v>
      </c>
      <c r="Q1311">
        <v>2.0378100000000001E-3</v>
      </c>
      <c r="R1311">
        <f t="shared" si="159"/>
        <v>4.9696136100968284E-2</v>
      </c>
      <c r="CH1311">
        <v>1.88641E-3</v>
      </c>
      <c r="CI1311">
        <v>31.7332</v>
      </c>
      <c r="CJ1311">
        <f t="shared" si="160"/>
        <v>2466.2727289654658</v>
      </c>
      <c r="CL1311">
        <v>1.88641E-3</v>
      </c>
      <c r="CM1311">
        <v>2.1239999999999998E-2</v>
      </c>
      <c r="CN1311">
        <f t="shared" si="161"/>
        <v>1.6507516658649772</v>
      </c>
    </row>
    <row r="1312" spans="4:92" x14ac:dyDescent="0.35">
      <c r="D1312">
        <v>2.0642E-3</v>
      </c>
      <c r="E1312">
        <v>15.0991</v>
      </c>
      <c r="F1312">
        <v>20.572099999999999</v>
      </c>
      <c r="G1312">
        <v>15.1569</v>
      </c>
      <c r="I1312">
        <v>2.0642E-3</v>
      </c>
      <c r="J1312">
        <f t="shared" si="157"/>
        <v>2.6798559625939238E-2</v>
      </c>
      <c r="K1312">
        <v>0.10918107734631613</v>
      </c>
      <c r="L1312">
        <v>4.9830930693426541E-2</v>
      </c>
      <c r="N1312">
        <v>2.0642E-3</v>
      </c>
      <c r="O1312">
        <f t="shared" si="158"/>
        <v>0.10918107734631613</v>
      </c>
      <c r="Q1312">
        <v>2.0642E-3</v>
      </c>
      <c r="R1312">
        <f t="shared" si="159"/>
        <v>4.9830930693426541E-2</v>
      </c>
      <c r="CH1312">
        <v>1.91084E-3</v>
      </c>
      <c r="CI1312">
        <v>33.039200000000001</v>
      </c>
      <c r="CJ1312">
        <f t="shared" si="160"/>
        <v>2567.7737494748662</v>
      </c>
      <c r="CL1312">
        <v>1.91084E-3</v>
      </c>
      <c r="CM1312">
        <v>2.026E-2</v>
      </c>
      <c r="CN1312">
        <f t="shared" si="161"/>
        <v>1.574587040980435</v>
      </c>
    </row>
    <row r="1313" spans="4:92" x14ac:dyDescent="0.35">
      <c r="D1313">
        <v>2.09093E-3</v>
      </c>
      <c r="E1313">
        <v>14.986000000000001</v>
      </c>
      <c r="F1313">
        <v>20.665800000000001</v>
      </c>
      <c r="G1313">
        <v>15.1555</v>
      </c>
      <c r="I1313">
        <v>2.09093E-3</v>
      </c>
      <c r="J1313">
        <f t="shared" si="157"/>
        <v>2.6597824675267098E-2</v>
      </c>
      <c r="K1313">
        <v>0.10967836575864884</v>
      </c>
      <c r="L1313">
        <v>4.9826327951245038E-2</v>
      </c>
      <c r="N1313">
        <v>2.09093E-3</v>
      </c>
      <c r="O1313">
        <f t="shared" si="158"/>
        <v>0.10967836575864884</v>
      </c>
      <c r="Q1313">
        <v>2.09093E-3</v>
      </c>
      <c r="R1313">
        <f t="shared" si="159"/>
        <v>4.9826327951245038E-2</v>
      </c>
      <c r="CH1313">
        <v>1.9355799999999999E-3</v>
      </c>
      <c r="CI1313">
        <v>34.1905</v>
      </c>
      <c r="CJ1313">
        <f t="shared" si="160"/>
        <v>2657.2516399132064</v>
      </c>
      <c r="CL1313">
        <v>1.9355799999999999E-3</v>
      </c>
      <c r="CM1313">
        <v>2.002E-2</v>
      </c>
      <c r="CN1313">
        <f t="shared" si="161"/>
        <v>1.5559344797842205</v>
      </c>
    </row>
    <row r="1314" spans="4:92" x14ac:dyDescent="0.35">
      <c r="D1314">
        <v>2.11801E-3</v>
      </c>
      <c r="E1314">
        <v>14.9636</v>
      </c>
      <c r="F1314">
        <v>23.677399999999999</v>
      </c>
      <c r="G1314">
        <v>15.335699999999999</v>
      </c>
      <c r="I1314">
        <v>2.11801E-3</v>
      </c>
      <c r="J1314">
        <f t="shared" si="157"/>
        <v>2.6558068150996046E-2</v>
      </c>
      <c r="K1314">
        <v>0.12566165052472356</v>
      </c>
      <c r="L1314">
        <v>5.0418766623463993E-2</v>
      </c>
      <c r="N1314">
        <v>2.11801E-3</v>
      </c>
      <c r="O1314">
        <f t="shared" si="158"/>
        <v>0.12566165052472356</v>
      </c>
      <c r="Q1314">
        <v>2.11801E-3</v>
      </c>
      <c r="R1314">
        <f t="shared" si="159"/>
        <v>5.0418766623463993E-2</v>
      </c>
      <c r="CH1314">
        <v>1.96065E-3</v>
      </c>
      <c r="CI1314">
        <v>31.8812</v>
      </c>
      <c r="CJ1314">
        <f t="shared" si="160"/>
        <v>2477.7751417031313</v>
      </c>
      <c r="CL1314">
        <v>1.96065E-3</v>
      </c>
      <c r="CM1314">
        <v>2.1919999999999999E-2</v>
      </c>
      <c r="CN1314">
        <f t="shared" si="161"/>
        <v>1.7036005892542514</v>
      </c>
    </row>
    <row r="1315" spans="4:92" x14ac:dyDescent="0.35">
      <c r="D1315">
        <v>2.1454400000000002E-3</v>
      </c>
      <c r="E1315">
        <v>15.1053</v>
      </c>
      <c r="F1315">
        <v>20.4635</v>
      </c>
      <c r="G1315">
        <v>15.022500000000001</v>
      </c>
      <c r="I1315">
        <v>2.1454400000000002E-3</v>
      </c>
      <c r="J1315">
        <f t="shared" si="157"/>
        <v>2.6809563663907118E-2</v>
      </c>
      <c r="K1315">
        <v>0.10860471105411408</v>
      </c>
      <c r="L1315">
        <v>4.9389067444002413E-2</v>
      </c>
      <c r="N1315">
        <v>2.1454400000000002E-3</v>
      </c>
      <c r="O1315">
        <f t="shared" si="158"/>
        <v>0.10860471105411408</v>
      </c>
      <c r="Q1315">
        <v>2.1454400000000002E-3</v>
      </c>
      <c r="R1315">
        <f t="shared" si="159"/>
        <v>4.9389067444002413E-2</v>
      </c>
      <c r="CH1315">
        <v>1.9860400000000001E-3</v>
      </c>
      <c r="CI1315">
        <v>32.807000000000002</v>
      </c>
      <c r="CJ1315">
        <f t="shared" si="160"/>
        <v>2549.7273965175291</v>
      </c>
      <c r="CL1315">
        <v>1.9860400000000001E-3</v>
      </c>
      <c r="CM1315">
        <v>2.162E-2</v>
      </c>
      <c r="CN1315">
        <f t="shared" si="161"/>
        <v>1.6802848877589835</v>
      </c>
    </row>
    <row r="1316" spans="4:92" x14ac:dyDescent="0.35">
      <c r="D1316">
        <v>2.17322E-3</v>
      </c>
      <c r="E1316">
        <v>14.729799999999999</v>
      </c>
      <c r="F1316">
        <v>19.470700000000001</v>
      </c>
      <c r="G1316">
        <v>15.061199999999999</v>
      </c>
      <c r="I1316">
        <v>2.17322E-3</v>
      </c>
      <c r="J1316">
        <f t="shared" si="157"/>
        <v>2.6143109428916941E-2</v>
      </c>
      <c r="K1316">
        <v>0.10333568292429639</v>
      </c>
      <c r="L1316">
        <v>4.9516300388591054E-2</v>
      </c>
      <c r="N1316">
        <v>2.17322E-3</v>
      </c>
      <c r="O1316">
        <f t="shared" si="158"/>
        <v>0.10333568292429639</v>
      </c>
      <c r="Q1316">
        <v>2.17322E-3</v>
      </c>
      <c r="R1316">
        <f t="shared" si="159"/>
        <v>4.9516300388591054E-2</v>
      </c>
      <c r="CH1316">
        <v>2.01176E-3</v>
      </c>
      <c r="CI1316">
        <v>33.110999999999997</v>
      </c>
      <c r="CJ1316">
        <f t="shared" si="160"/>
        <v>2573.3539740327333</v>
      </c>
      <c r="CL1316">
        <v>2.01176E-3</v>
      </c>
      <c r="CM1316">
        <v>1.822E-2</v>
      </c>
      <c r="CN1316">
        <f t="shared" si="161"/>
        <v>1.4160402708126123</v>
      </c>
    </row>
    <row r="1317" spans="4:92" x14ac:dyDescent="0.35">
      <c r="D1317">
        <v>2.2013599999999999E-3</v>
      </c>
      <c r="E1317">
        <v>14.803900000000001</v>
      </c>
      <c r="F1317">
        <v>19.9528</v>
      </c>
      <c r="G1317">
        <v>15.010400000000001</v>
      </c>
      <c r="I1317">
        <v>2.2013599999999999E-3</v>
      </c>
      <c r="J1317">
        <f t="shared" si="157"/>
        <v>2.6274625431081448E-2</v>
      </c>
      <c r="K1317">
        <v>0.10589430345349168</v>
      </c>
      <c r="L1317">
        <v>4.9349286600862297E-2</v>
      </c>
      <c r="N1317">
        <v>2.2013599999999999E-3</v>
      </c>
      <c r="O1317">
        <f t="shared" si="158"/>
        <v>0.10589430345349168</v>
      </c>
      <c r="Q1317">
        <v>2.2013599999999999E-3</v>
      </c>
      <c r="R1317">
        <f t="shared" si="159"/>
        <v>4.9349286600862297E-2</v>
      </c>
      <c r="CH1317">
        <v>2.0378100000000001E-3</v>
      </c>
      <c r="CI1317">
        <v>33.115400000000001</v>
      </c>
      <c r="CJ1317">
        <f t="shared" si="160"/>
        <v>2573.6959376546642</v>
      </c>
      <c r="CL1317">
        <v>2.0378100000000001E-3</v>
      </c>
      <c r="CM1317">
        <v>1.9199999999999998E-2</v>
      </c>
      <c r="CN1317">
        <f t="shared" si="161"/>
        <v>1.4922048956971545</v>
      </c>
    </row>
    <row r="1318" spans="4:92" x14ac:dyDescent="0.35">
      <c r="D1318">
        <v>2.2298700000000001E-3</v>
      </c>
      <c r="E1318">
        <v>15.0282</v>
      </c>
      <c r="F1318">
        <v>24.564399999999999</v>
      </c>
      <c r="G1318">
        <v>15.7943</v>
      </c>
      <c r="I1318">
        <v>2.2298700000000001E-3</v>
      </c>
      <c r="J1318">
        <f t="shared" si="157"/>
        <v>2.6672723127242025E-2</v>
      </c>
      <c r="K1318">
        <v>0.13036917263506631</v>
      </c>
      <c r="L1318">
        <v>5.1926493455204344E-2</v>
      </c>
      <c r="N1318">
        <v>2.2298700000000001E-3</v>
      </c>
      <c r="O1318">
        <f t="shared" si="158"/>
        <v>0.13036917263506631</v>
      </c>
      <c r="Q1318">
        <v>2.2298700000000001E-3</v>
      </c>
      <c r="R1318">
        <f t="shared" si="159"/>
        <v>5.1926493455204344E-2</v>
      </c>
      <c r="CH1318">
        <v>2.0642E-3</v>
      </c>
      <c r="CI1318">
        <v>32.340000000000003</v>
      </c>
      <c r="CJ1318">
        <f t="shared" si="160"/>
        <v>2513.4326211898951</v>
      </c>
      <c r="CL1318">
        <v>2.0642E-3</v>
      </c>
      <c r="CM1318">
        <v>1.934E-2</v>
      </c>
      <c r="CN1318">
        <f t="shared" si="161"/>
        <v>1.5030855563949463</v>
      </c>
    </row>
    <row r="1319" spans="4:92" x14ac:dyDescent="0.35">
      <c r="D1319">
        <v>2.2587499999999999E-3</v>
      </c>
      <c r="E1319">
        <v>14.9764</v>
      </c>
      <c r="F1319">
        <v>17.758700000000001</v>
      </c>
      <c r="G1319">
        <v>14.665800000000001</v>
      </c>
      <c r="I1319">
        <v>2.2587499999999999E-3</v>
      </c>
      <c r="J1319">
        <f t="shared" si="157"/>
        <v>2.6580786164865221E-2</v>
      </c>
      <c r="K1319">
        <v>9.4249687599711474E-2</v>
      </c>
      <c r="L1319">
        <v>4.8216354489615615E-2</v>
      </c>
      <c r="N1319">
        <v>2.2587499999999999E-3</v>
      </c>
      <c r="O1319">
        <f t="shared" si="158"/>
        <v>9.4249687599711474E-2</v>
      </c>
      <c r="Q1319">
        <v>2.2587499999999999E-3</v>
      </c>
      <c r="R1319">
        <f t="shared" si="159"/>
        <v>4.8216354489615615E-2</v>
      </c>
      <c r="CH1319">
        <v>2.09093E-3</v>
      </c>
      <c r="CI1319">
        <v>32.926299999999998</v>
      </c>
      <c r="CJ1319">
        <f t="shared" si="160"/>
        <v>2558.9992738121468</v>
      </c>
      <c r="CL1319">
        <v>2.09093E-3</v>
      </c>
      <c r="CM1319">
        <v>1.9310000000000001E-2</v>
      </c>
      <c r="CN1319">
        <f t="shared" si="161"/>
        <v>1.5007539862454196</v>
      </c>
    </row>
    <row r="1320" spans="4:92" x14ac:dyDescent="0.35">
      <c r="D1320">
        <v>2.2880000000000001E-3</v>
      </c>
      <c r="E1320">
        <v>14.960900000000001</v>
      </c>
      <c r="F1320">
        <v>20.968900000000001</v>
      </c>
      <c r="G1320">
        <v>15.2782</v>
      </c>
      <c r="I1320">
        <v>2.2880000000000001E-3</v>
      </c>
      <c r="J1320">
        <f t="shared" si="157"/>
        <v>2.6553276069945519E-2</v>
      </c>
      <c r="K1320">
        <v>0.11128699028136012</v>
      </c>
      <c r="L1320">
        <v>5.0229725426723763E-2</v>
      </c>
      <c r="N1320">
        <v>2.2880000000000001E-3</v>
      </c>
      <c r="O1320">
        <f t="shared" si="158"/>
        <v>0.11128699028136012</v>
      </c>
      <c r="Q1320">
        <v>2.2880000000000001E-3</v>
      </c>
      <c r="R1320">
        <f t="shared" si="159"/>
        <v>5.0229725426723763E-2</v>
      </c>
      <c r="CH1320">
        <v>2.11801E-3</v>
      </c>
      <c r="CI1320">
        <v>33.647500000000001</v>
      </c>
      <c r="CJ1320">
        <f t="shared" si="160"/>
        <v>2615.0502202067714</v>
      </c>
      <c r="CL1320">
        <v>2.11801E-3</v>
      </c>
      <c r="CM1320">
        <v>1.8259999999999998E-2</v>
      </c>
      <c r="CN1320">
        <f t="shared" si="161"/>
        <v>1.4191490310119814</v>
      </c>
    </row>
    <row r="1321" spans="4:92" x14ac:dyDescent="0.35">
      <c r="D1321">
        <v>2.3176300000000002E-3</v>
      </c>
      <c r="E1321">
        <v>14.516999999999999</v>
      </c>
      <c r="F1321">
        <v>22.077400000000001</v>
      </c>
      <c r="G1321">
        <v>15.154199999999999</v>
      </c>
      <c r="I1321">
        <v>2.3176300000000002E-3</v>
      </c>
      <c r="J1321">
        <f t="shared" si="157"/>
        <v>2.576542244834195E-2</v>
      </c>
      <c r="K1321">
        <v>0.11717006610922365</v>
      </c>
      <c r="L1321">
        <v>4.9822053976362218E-2</v>
      </c>
      <c r="N1321">
        <v>2.3176300000000002E-3</v>
      </c>
      <c r="O1321">
        <f t="shared" si="158"/>
        <v>0.11717006610922365</v>
      </c>
      <c r="Q1321">
        <v>2.3176300000000002E-3</v>
      </c>
      <c r="R1321">
        <f t="shared" si="159"/>
        <v>4.9822053976362218E-2</v>
      </c>
      <c r="CH1321">
        <v>2.1454400000000002E-3</v>
      </c>
      <c r="CI1321">
        <v>33.3035</v>
      </c>
      <c r="CJ1321">
        <f t="shared" si="160"/>
        <v>2588.3148824921973</v>
      </c>
      <c r="CL1321">
        <v>2.1454400000000002E-3</v>
      </c>
      <c r="CM1321">
        <v>1.9009999999999999E-2</v>
      </c>
      <c r="CN1321">
        <f t="shared" si="161"/>
        <v>1.4774382847501515</v>
      </c>
    </row>
    <row r="1322" spans="4:92" x14ac:dyDescent="0.35">
      <c r="D1322">
        <v>2.3476399999999998E-3</v>
      </c>
      <c r="E1322">
        <v>14.7256</v>
      </c>
      <c r="F1322">
        <v>20.021799999999999</v>
      </c>
      <c r="G1322">
        <v>15.292299999999999</v>
      </c>
      <c r="I1322">
        <v>2.3476399999999998E-3</v>
      </c>
      <c r="J1322">
        <f t="shared" si="157"/>
        <v>2.6135655080616119E-2</v>
      </c>
      <c r="K1322">
        <v>0.10626050303141012</v>
      </c>
      <c r="L1322">
        <v>5.0276081615837451E-2</v>
      </c>
      <c r="N1322">
        <v>2.3476399999999998E-3</v>
      </c>
      <c r="O1322">
        <f t="shared" si="158"/>
        <v>0.10626050303141012</v>
      </c>
      <c r="Q1322">
        <v>2.3476399999999998E-3</v>
      </c>
      <c r="R1322">
        <f t="shared" si="159"/>
        <v>5.0276081615837451E-2</v>
      </c>
      <c r="CH1322">
        <v>2.17322E-3</v>
      </c>
      <c r="CI1322">
        <v>33.8033</v>
      </c>
      <c r="CJ1322">
        <f t="shared" si="160"/>
        <v>2627.1588411833141</v>
      </c>
      <c r="CL1322">
        <v>2.17322E-3</v>
      </c>
      <c r="CM1322">
        <v>1.8849999999999999E-2</v>
      </c>
      <c r="CN1322">
        <f t="shared" si="161"/>
        <v>1.4650032439526752</v>
      </c>
    </row>
    <row r="1323" spans="4:92" x14ac:dyDescent="0.35">
      <c r="D1323">
        <v>2.37805E-3</v>
      </c>
      <c r="E1323">
        <v>15.506600000000001</v>
      </c>
      <c r="F1323">
        <v>21.744299999999999</v>
      </c>
      <c r="G1323">
        <v>15.3703</v>
      </c>
      <c r="I1323">
        <v>2.37805E-3</v>
      </c>
      <c r="J1323">
        <f t="shared" si="157"/>
        <v>2.7521808895602351E-2</v>
      </c>
      <c r="K1323">
        <v>0.11540222437872176</v>
      </c>
      <c r="L1323">
        <v>5.0532520108806815E-2</v>
      </c>
      <c r="N1323">
        <v>2.37805E-3</v>
      </c>
      <c r="O1323">
        <f t="shared" si="158"/>
        <v>0.11540222437872176</v>
      </c>
      <c r="Q1323">
        <v>2.37805E-3</v>
      </c>
      <c r="R1323">
        <f t="shared" si="159"/>
        <v>5.0532520108806815E-2</v>
      </c>
      <c r="CH1323">
        <v>2.2013599999999999E-3</v>
      </c>
      <c r="CI1323">
        <v>33.043300000000002</v>
      </c>
      <c r="CJ1323">
        <f t="shared" si="160"/>
        <v>2568.0923973953018</v>
      </c>
      <c r="CL1323">
        <v>2.2013599999999999E-3</v>
      </c>
      <c r="CM1323">
        <v>1.9599999999999999E-2</v>
      </c>
      <c r="CN1323">
        <f t="shared" si="161"/>
        <v>1.5232924976908453</v>
      </c>
    </row>
    <row r="1324" spans="4:92" x14ac:dyDescent="0.35">
      <c r="D1324">
        <v>2.4088400000000002E-3</v>
      </c>
      <c r="E1324">
        <v>14.8514</v>
      </c>
      <c r="F1324">
        <v>21.971900000000002</v>
      </c>
      <c r="G1324">
        <v>15.0557</v>
      </c>
      <c r="I1324">
        <v>2.4088400000000002E-3</v>
      </c>
      <c r="J1324">
        <f t="shared" si="157"/>
        <v>2.6358930560674079E-2</v>
      </c>
      <c r="K1324">
        <v>0.11661015226182664</v>
      </c>
      <c r="L1324">
        <v>4.9498218187163726E-2</v>
      </c>
      <c r="N1324">
        <v>2.4088400000000002E-3</v>
      </c>
      <c r="O1324">
        <f t="shared" si="158"/>
        <v>0.11661015226182664</v>
      </c>
      <c r="Q1324">
        <v>2.4088400000000002E-3</v>
      </c>
      <c r="R1324">
        <f t="shared" si="159"/>
        <v>4.9498218187163726E-2</v>
      </c>
      <c r="CH1324">
        <v>2.2298700000000001E-3</v>
      </c>
      <c r="CI1324">
        <v>33.539700000000003</v>
      </c>
      <c r="CJ1324">
        <f t="shared" si="160"/>
        <v>2606.6721114694719</v>
      </c>
      <c r="CL1324">
        <v>2.2298700000000001E-3</v>
      </c>
      <c r="CM1324">
        <v>1.806E-2</v>
      </c>
      <c r="CN1324">
        <f t="shared" si="161"/>
        <v>1.403605230015136</v>
      </c>
    </row>
    <row r="1325" spans="4:92" x14ac:dyDescent="0.35">
      <c r="D1325">
        <v>2.4400400000000001E-3</v>
      </c>
      <c r="E1325">
        <v>15.0318</v>
      </c>
      <c r="F1325">
        <v>19.782900000000001</v>
      </c>
      <c r="G1325">
        <v>15.213900000000001</v>
      </c>
      <c r="I1325">
        <v>2.4400400000000001E-3</v>
      </c>
      <c r="J1325">
        <f t="shared" si="157"/>
        <v>2.6679112568642731E-2</v>
      </c>
      <c r="K1325">
        <v>0.10499260333337081</v>
      </c>
      <c r="L1325">
        <v>5.0018328053673379E-2</v>
      </c>
      <c r="N1325">
        <v>2.4400400000000001E-3</v>
      </c>
      <c r="O1325">
        <f t="shared" si="158"/>
        <v>0.10499260333337081</v>
      </c>
      <c r="Q1325">
        <v>2.4400400000000001E-3</v>
      </c>
      <c r="R1325">
        <f t="shared" si="159"/>
        <v>5.0018328053673379E-2</v>
      </c>
      <c r="CH1325">
        <v>2.2587499999999999E-3</v>
      </c>
      <c r="CI1325">
        <v>32.400799999999997</v>
      </c>
      <c r="CJ1325">
        <f t="shared" si="160"/>
        <v>2518.1579366929354</v>
      </c>
      <c r="CL1325">
        <v>2.2587499999999999E-3</v>
      </c>
      <c r="CM1325">
        <v>4.199E-2</v>
      </c>
      <c r="CN1325">
        <f t="shared" si="161"/>
        <v>3.2634210192876836</v>
      </c>
    </row>
    <row r="1326" spans="4:92" x14ac:dyDescent="0.35">
      <c r="D1326">
        <v>2.4716400000000002E-3</v>
      </c>
      <c r="E1326">
        <v>14.954000000000001</v>
      </c>
      <c r="F1326">
        <v>20.9559</v>
      </c>
      <c r="G1326">
        <v>15.2751</v>
      </c>
      <c r="I1326">
        <v>2.4716400000000002E-3</v>
      </c>
      <c r="J1326">
        <f t="shared" si="157"/>
        <v>2.6541029640594169E-2</v>
      </c>
      <c r="K1326">
        <v>0.11121799615798417</v>
      </c>
      <c r="L1326">
        <v>5.021953364046472E-2</v>
      </c>
      <c r="N1326">
        <v>2.4716400000000002E-3</v>
      </c>
      <c r="O1326">
        <f t="shared" si="158"/>
        <v>0.11121799615798417</v>
      </c>
      <c r="Q1326">
        <v>2.4716400000000002E-3</v>
      </c>
      <c r="R1326">
        <f t="shared" si="159"/>
        <v>5.021953364046472E-2</v>
      </c>
      <c r="CH1326">
        <v>2.2880000000000001E-3</v>
      </c>
      <c r="CI1326">
        <v>32.297600000000003</v>
      </c>
      <c r="CJ1326">
        <f t="shared" si="160"/>
        <v>2510.1373353785639</v>
      </c>
      <c r="CL1326">
        <v>2.2880000000000001E-3</v>
      </c>
      <c r="CM1326">
        <v>1.857E-2</v>
      </c>
      <c r="CN1326">
        <f t="shared" si="161"/>
        <v>1.4432419225570918</v>
      </c>
    </row>
    <row r="1327" spans="4:92" x14ac:dyDescent="0.35">
      <c r="D1327">
        <v>2.5036400000000001E-3</v>
      </c>
      <c r="E1327">
        <v>14.9217</v>
      </c>
      <c r="F1327">
        <v>25.758800000000001</v>
      </c>
      <c r="G1327">
        <v>15.322699999999999</v>
      </c>
      <c r="I1327">
        <v>2.5036400000000001E-3</v>
      </c>
      <c r="J1327">
        <f t="shared" si="157"/>
        <v>2.6483702152471176E-2</v>
      </c>
      <c r="K1327">
        <v>0.13670814040123702</v>
      </c>
      <c r="L1327">
        <v>5.0376026874635771E-2</v>
      </c>
      <c r="N1327">
        <v>2.5036400000000001E-3</v>
      </c>
      <c r="O1327">
        <f t="shared" si="158"/>
        <v>0.13670814040123702</v>
      </c>
      <c r="Q1327">
        <v>2.5036400000000001E-3</v>
      </c>
      <c r="R1327">
        <f t="shared" si="159"/>
        <v>5.0376026874635771E-2</v>
      </c>
      <c r="CH1327">
        <v>2.3176300000000002E-3</v>
      </c>
      <c r="CI1327">
        <v>34.165999999999997</v>
      </c>
      <c r="CJ1327">
        <f t="shared" si="160"/>
        <v>2655.3475242910927</v>
      </c>
      <c r="CL1327">
        <v>2.3176300000000002E-3</v>
      </c>
      <c r="CM1327">
        <v>2.0209999999999999E-2</v>
      </c>
      <c r="CN1327">
        <f t="shared" si="161"/>
        <v>1.5707010907312235</v>
      </c>
    </row>
    <row r="1328" spans="4:92" x14ac:dyDescent="0.35">
      <c r="D1328">
        <v>2.5360700000000001E-3</v>
      </c>
      <c r="E1328">
        <v>14.8218</v>
      </c>
      <c r="F1328">
        <v>21.200099999999999</v>
      </c>
      <c r="G1328">
        <v>15.0982</v>
      </c>
      <c r="I1328">
        <v>2.5360700000000001E-3</v>
      </c>
      <c r="J1328">
        <f t="shared" si="157"/>
        <v>2.6306395153601617E-2</v>
      </c>
      <c r="K1328">
        <v>0.11251402422939984</v>
      </c>
      <c r="L1328">
        <v>4.9637944289102169E-2</v>
      </c>
      <c r="N1328">
        <v>2.5360700000000001E-3</v>
      </c>
      <c r="O1328">
        <f t="shared" si="158"/>
        <v>0.11251402422939984</v>
      </c>
      <c r="Q1328">
        <v>2.5360700000000001E-3</v>
      </c>
      <c r="R1328">
        <f t="shared" si="159"/>
        <v>4.9637944289102169E-2</v>
      </c>
      <c r="CH1328">
        <v>2.3476399999999998E-3</v>
      </c>
      <c r="CI1328">
        <v>33.876399999999997</v>
      </c>
      <c r="CJ1328">
        <f t="shared" si="160"/>
        <v>2632.8401004476605</v>
      </c>
      <c r="CL1328">
        <v>2.3476399999999998E-3</v>
      </c>
      <c r="CM1328">
        <v>1.7729999999999999E-2</v>
      </c>
      <c r="CN1328">
        <f t="shared" si="161"/>
        <v>1.3779579583703412</v>
      </c>
    </row>
    <row r="1329" spans="4:92" x14ac:dyDescent="0.35">
      <c r="D1329">
        <v>2.5689100000000002E-3</v>
      </c>
      <c r="E1329">
        <v>14.9025</v>
      </c>
      <c r="F1329">
        <v>20.574300000000001</v>
      </c>
      <c r="G1329">
        <v>14.942600000000001</v>
      </c>
      <c r="I1329">
        <v>2.5689100000000002E-3</v>
      </c>
      <c r="J1329">
        <f t="shared" si="157"/>
        <v>2.6449625131667417E-2</v>
      </c>
      <c r="K1329">
        <v>0.10919275327488745</v>
      </c>
      <c r="L1329">
        <v>4.9126382372358168E-2</v>
      </c>
      <c r="N1329">
        <v>2.5689100000000002E-3</v>
      </c>
      <c r="O1329">
        <f t="shared" si="158"/>
        <v>0.10919275327488745</v>
      </c>
      <c r="Q1329">
        <v>2.5689100000000002E-3</v>
      </c>
      <c r="R1329">
        <f t="shared" si="159"/>
        <v>4.9126382372358168E-2</v>
      </c>
      <c r="CH1329">
        <v>2.37805E-3</v>
      </c>
      <c r="CI1329">
        <v>32.478999999999999</v>
      </c>
      <c r="CJ1329">
        <f t="shared" si="160"/>
        <v>2524.2355628827022</v>
      </c>
      <c r="CL1329">
        <v>2.37805E-3</v>
      </c>
      <c r="CM1329">
        <v>2.1829999999999999E-2</v>
      </c>
      <c r="CN1329">
        <f t="shared" si="161"/>
        <v>1.696605878805671</v>
      </c>
    </row>
    <row r="1330" spans="4:92" x14ac:dyDescent="0.35">
      <c r="D1330">
        <v>2.6021799999999999E-3</v>
      </c>
      <c r="E1330">
        <v>14.5291</v>
      </c>
      <c r="F1330">
        <v>20.097100000000001</v>
      </c>
      <c r="G1330">
        <v>15.0846</v>
      </c>
      <c r="I1330">
        <v>2.6021799999999999E-3</v>
      </c>
      <c r="J1330">
        <f t="shared" si="157"/>
        <v>2.5786898070827655E-2</v>
      </c>
      <c r="K1330">
        <v>0.10666013822296459</v>
      </c>
      <c r="L1330">
        <v>4.9593231936481866E-2</v>
      </c>
      <c r="N1330">
        <v>2.6021799999999999E-3</v>
      </c>
      <c r="O1330">
        <f t="shared" si="158"/>
        <v>0.10666013822296459</v>
      </c>
      <c r="Q1330">
        <v>2.6021799999999999E-3</v>
      </c>
      <c r="R1330">
        <f t="shared" si="159"/>
        <v>4.9593231936481866E-2</v>
      </c>
      <c r="CH1330">
        <v>2.4088400000000002E-3</v>
      </c>
      <c r="CI1330">
        <v>33.010300000000001</v>
      </c>
      <c r="CJ1330">
        <f t="shared" si="160"/>
        <v>2565.527670230822</v>
      </c>
      <c r="CL1330">
        <v>2.4088400000000002E-3</v>
      </c>
      <c r="CM1330">
        <v>1.847E-2</v>
      </c>
      <c r="CN1330">
        <f t="shared" si="161"/>
        <v>1.4354700220586691</v>
      </c>
    </row>
    <row r="1331" spans="4:92" x14ac:dyDescent="0.35">
      <c r="D1331">
        <v>2.6358699999999998E-3</v>
      </c>
      <c r="E1331">
        <v>14.844799999999999</v>
      </c>
      <c r="F1331">
        <v>23.2</v>
      </c>
      <c r="G1331">
        <v>15.3996</v>
      </c>
      <c r="I1331">
        <v>2.6358699999999998E-3</v>
      </c>
      <c r="J1331">
        <f t="shared" si="157"/>
        <v>2.6347216584772789E-2</v>
      </c>
      <c r="K1331">
        <v>0.12312797402474877</v>
      </c>
      <c r="L1331">
        <v>5.0628848927319656E-2</v>
      </c>
      <c r="N1331">
        <v>2.6358699999999998E-3</v>
      </c>
      <c r="O1331">
        <f t="shared" si="158"/>
        <v>0.12312797402474877</v>
      </c>
      <c r="Q1331">
        <v>2.6358699999999998E-3</v>
      </c>
      <c r="R1331">
        <f t="shared" si="159"/>
        <v>5.0628848927319656E-2</v>
      </c>
      <c r="CH1331">
        <v>2.4400400000000001E-3</v>
      </c>
      <c r="CI1331">
        <v>34.285499999999999</v>
      </c>
      <c r="CJ1331">
        <f t="shared" si="160"/>
        <v>2664.6349453867078</v>
      </c>
      <c r="CL1331">
        <v>2.4400400000000001E-3</v>
      </c>
      <c r="CM1331">
        <v>1.9599999999999999E-2</v>
      </c>
      <c r="CN1331">
        <f t="shared" si="161"/>
        <v>1.5232924976908453</v>
      </c>
    </row>
    <row r="1332" spans="4:92" x14ac:dyDescent="0.35">
      <c r="D1332">
        <v>2.67001E-3</v>
      </c>
      <c r="E1332">
        <v>14.896100000000001</v>
      </c>
      <c r="F1332">
        <v>20.1799</v>
      </c>
      <c r="G1332">
        <v>15.0991</v>
      </c>
      <c r="I1332">
        <v>2.67001E-3</v>
      </c>
      <c r="J1332">
        <f t="shared" si="157"/>
        <v>2.6438266124732834E-2</v>
      </c>
      <c r="K1332">
        <v>0.10709957771646671</v>
      </c>
      <c r="L1332">
        <v>4.9640903194790274E-2</v>
      </c>
      <c r="N1332">
        <v>2.67001E-3</v>
      </c>
      <c r="O1332">
        <f t="shared" si="158"/>
        <v>0.10709957771646671</v>
      </c>
      <c r="Q1332">
        <v>2.67001E-3</v>
      </c>
      <c r="R1332">
        <f t="shared" si="159"/>
        <v>4.9640903194790274E-2</v>
      </c>
      <c r="CH1332">
        <v>2.4716400000000002E-3</v>
      </c>
      <c r="CI1332">
        <v>32.839300000000001</v>
      </c>
      <c r="CJ1332">
        <f t="shared" si="160"/>
        <v>2552.2377203785195</v>
      </c>
      <c r="CL1332">
        <v>2.4716400000000002E-3</v>
      </c>
      <c r="CM1332">
        <v>2.2349999999999998E-2</v>
      </c>
      <c r="CN1332">
        <f t="shared" si="161"/>
        <v>1.7370197613974689</v>
      </c>
    </row>
    <row r="1333" spans="4:92" x14ac:dyDescent="0.35">
      <c r="D1333">
        <v>2.7045900000000002E-3</v>
      </c>
      <c r="E1333">
        <v>15.0692</v>
      </c>
      <c r="F1333">
        <v>21.547499999999999</v>
      </c>
      <c r="G1333">
        <v>15.1593</v>
      </c>
      <c r="I1333">
        <v>2.7045900000000002E-3</v>
      </c>
      <c r="J1333">
        <f t="shared" si="157"/>
        <v>2.6745491765416719E-2</v>
      </c>
      <c r="K1333">
        <v>0.11435775949561526</v>
      </c>
      <c r="L1333">
        <v>4.9838821108594826E-2</v>
      </c>
      <c r="N1333">
        <v>2.7045900000000002E-3</v>
      </c>
      <c r="O1333">
        <f t="shared" si="158"/>
        <v>0.11435775949561526</v>
      </c>
      <c r="Q1333">
        <v>2.7045900000000002E-3</v>
      </c>
      <c r="R1333">
        <f t="shared" si="159"/>
        <v>4.9838821108594826E-2</v>
      </c>
      <c r="CH1333">
        <v>2.5036400000000001E-3</v>
      </c>
      <c r="CI1333">
        <v>33.896799999999999</v>
      </c>
      <c r="CJ1333">
        <f t="shared" si="160"/>
        <v>2634.4255681493391</v>
      </c>
      <c r="CL1333">
        <v>2.5036400000000001E-3</v>
      </c>
      <c r="CM1333">
        <v>2.0459999999999999E-2</v>
      </c>
      <c r="CN1333">
        <f t="shared" si="161"/>
        <v>1.5901308419772804</v>
      </c>
    </row>
    <row r="1334" spans="4:92" x14ac:dyDescent="0.35">
      <c r="D1334">
        <v>2.73961E-3</v>
      </c>
      <c r="E1334">
        <v>14.786</v>
      </c>
      <c r="F1334">
        <v>21.5777</v>
      </c>
      <c r="G1334">
        <v>15.341100000000001</v>
      </c>
      <c r="I1334">
        <v>2.73961E-3</v>
      </c>
      <c r="J1334">
        <f t="shared" si="157"/>
        <v>2.6242855708561275E-2</v>
      </c>
      <c r="K1334">
        <v>0.11451803815145783</v>
      </c>
      <c r="L1334">
        <v>5.0436520057592638E-2</v>
      </c>
      <c r="N1334">
        <v>2.73961E-3</v>
      </c>
      <c r="O1334">
        <f t="shared" si="158"/>
        <v>0.11451803815145783</v>
      </c>
      <c r="Q1334">
        <v>2.73961E-3</v>
      </c>
      <c r="R1334">
        <f t="shared" si="159"/>
        <v>5.0436520057592638E-2</v>
      </c>
      <c r="CH1334">
        <v>2.5360700000000001E-3</v>
      </c>
      <c r="CI1334">
        <v>32.324300000000001</v>
      </c>
      <c r="CJ1334">
        <f t="shared" si="160"/>
        <v>2512.2124328116424</v>
      </c>
      <c r="CL1334">
        <v>2.5360700000000001E-3</v>
      </c>
      <c r="CM1334">
        <v>1.9890000000000001E-2</v>
      </c>
      <c r="CN1334">
        <f t="shared" si="161"/>
        <v>1.5458310091362713</v>
      </c>
    </row>
    <row r="1335" spans="4:92" x14ac:dyDescent="0.35">
      <c r="D1335">
        <v>2.77509E-3</v>
      </c>
      <c r="E1335">
        <v>14.9391</v>
      </c>
      <c r="F1335">
        <v>22.033300000000001</v>
      </c>
      <c r="G1335">
        <v>15.3652</v>
      </c>
      <c r="I1335">
        <v>2.77509E-3</v>
      </c>
      <c r="J1335">
        <f t="shared" si="157"/>
        <v>2.6514584452574586E-2</v>
      </c>
      <c r="K1335">
        <v>0.11693601681377143</v>
      </c>
      <c r="L1335">
        <v>5.0515752976574194E-2</v>
      </c>
      <c r="N1335">
        <v>2.77509E-3</v>
      </c>
      <c r="O1335">
        <f t="shared" si="158"/>
        <v>0.11693601681377143</v>
      </c>
      <c r="Q1335">
        <v>2.77509E-3</v>
      </c>
      <c r="R1335">
        <f t="shared" si="159"/>
        <v>5.0515752976574194E-2</v>
      </c>
      <c r="CH1335">
        <v>2.5689100000000002E-3</v>
      </c>
      <c r="CI1335">
        <v>33.403500000000001</v>
      </c>
      <c r="CJ1335">
        <f t="shared" si="160"/>
        <v>2596.0867829906201</v>
      </c>
      <c r="CL1335">
        <v>2.5689100000000002E-3</v>
      </c>
      <c r="CM1335">
        <v>1.9550000000000001E-2</v>
      </c>
      <c r="CN1335">
        <f t="shared" si="161"/>
        <v>1.5194065474416341</v>
      </c>
    </row>
    <row r="1336" spans="4:92" x14ac:dyDescent="0.35">
      <c r="D1336">
        <v>2.81103E-3</v>
      </c>
      <c r="E1336">
        <v>14.9198</v>
      </c>
      <c r="F1336">
        <v>23.493400000000001</v>
      </c>
      <c r="G1336">
        <v>15.1755</v>
      </c>
      <c r="I1336">
        <v>2.81103E-3</v>
      </c>
      <c r="J1336">
        <f t="shared" si="157"/>
        <v>2.6480329947287475E-2</v>
      </c>
      <c r="K1336">
        <v>0.12468511831694108</v>
      </c>
      <c r="L1336">
        <v>4.9892081410980768E-2</v>
      </c>
      <c r="N1336">
        <v>2.81103E-3</v>
      </c>
      <c r="O1336">
        <f t="shared" si="158"/>
        <v>0.12468511831694108</v>
      </c>
      <c r="Q1336">
        <v>2.81103E-3</v>
      </c>
      <c r="R1336">
        <f t="shared" si="159"/>
        <v>4.9892081410980768E-2</v>
      </c>
      <c r="CH1336">
        <v>2.6021799999999999E-3</v>
      </c>
      <c r="CI1336">
        <v>33.040300000000002</v>
      </c>
      <c r="CJ1336">
        <f t="shared" si="160"/>
        <v>2567.8592403803491</v>
      </c>
      <c r="CL1336">
        <v>2.6021799999999999E-3</v>
      </c>
      <c r="CM1336">
        <v>2.1479999999999999E-2</v>
      </c>
      <c r="CN1336">
        <f t="shared" si="161"/>
        <v>1.6694042270611917</v>
      </c>
    </row>
    <row r="1337" spans="4:92" x14ac:dyDescent="0.35">
      <c r="D1337">
        <v>2.8474300000000002E-3</v>
      </c>
      <c r="E1337">
        <v>14.9839</v>
      </c>
      <c r="F1337">
        <v>22.502300000000002</v>
      </c>
      <c r="G1337">
        <v>15.116199999999999</v>
      </c>
      <c r="I1337">
        <v>2.8474300000000002E-3</v>
      </c>
      <c r="J1337">
        <f t="shared" si="157"/>
        <v>2.659409750111669E-2</v>
      </c>
      <c r="K1337">
        <v>0.11942511249556485</v>
      </c>
      <c r="L1337">
        <v>4.9697122402864322E-2</v>
      </c>
      <c r="N1337">
        <v>2.8474300000000002E-3</v>
      </c>
      <c r="O1337">
        <f t="shared" si="158"/>
        <v>0.11942511249556485</v>
      </c>
      <c r="Q1337">
        <v>2.8474300000000002E-3</v>
      </c>
      <c r="R1337">
        <f t="shared" si="159"/>
        <v>4.9697122402864322E-2</v>
      </c>
      <c r="CH1337">
        <v>2.6358699999999998E-3</v>
      </c>
      <c r="CI1337">
        <v>33.509500000000003</v>
      </c>
      <c r="CJ1337">
        <f t="shared" si="160"/>
        <v>2604.3249975189483</v>
      </c>
      <c r="CL1337">
        <v>2.6358699999999998E-3</v>
      </c>
      <c r="CM1337">
        <v>2.0379999999999999E-2</v>
      </c>
      <c r="CN1337">
        <f t="shared" si="161"/>
        <v>1.5839133215785421</v>
      </c>
    </row>
    <row r="1338" spans="4:92" x14ac:dyDescent="0.35">
      <c r="D1338">
        <v>2.8842999999999998E-3</v>
      </c>
      <c r="E1338">
        <v>14.8889</v>
      </c>
      <c r="F1338">
        <v>20.050999999999998</v>
      </c>
      <c r="G1338">
        <v>15.000400000000001</v>
      </c>
      <c r="I1338">
        <v>2.8842999999999998E-3</v>
      </c>
      <c r="J1338">
        <f t="shared" si="157"/>
        <v>2.6425487241931424E-2</v>
      </c>
      <c r="K1338">
        <v>0.10641547444699299</v>
      </c>
      <c r="L1338">
        <v>4.9316409870994435E-2</v>
      </c>
      <c r="N1338">
        <v>2.8842999999999998E-3</v>
      </c>
      <c r="O1338">
        <f t="shared" si="158"/>
        <v>0.10641547444699299</v>
      </c>
      <c r="Q1338">
        <v>2.8842999999999998E-3</v>
      </c>
      <c r="R1338">
        <f t="shared" si="159"/>
        <v>4.9316409870994435E-2</v>
      </c>
      <c r="CH1338">
        <v>2.67001E-3</v>
      </c>
      <c r="CI1338">
        <v>33.0657</v>
      </c>
      <c r="CJ1338">
        <f t="shared" si="160"/>
        <v>2569.8333031069483</v>
      </c>
      <c r="CL1338">
        <v>2.67001E-3</v>
      </c>
      <c r="CM1338">
        <v>2.2270000000000002E-2</v>
      </c>
      <c r="CN1338">
        <f t="shared" si="161"/>
        <v>1.7308022409987311</v>
      </c>
    </row>
    <row r="1339" spans="4:92" x14ac:dyDescent="0.35">
      <c r="D1339">
        <v>2.92166E-3</v>
      </c>
      <c r="E1339">
        <v>15.217499999999999</v>
      </c>
      <c r="F1339">
        <v>21.6828</v>
      </c>
      <c r="G1339">
        <v>15.2417</v>
      </c>
      <c r="I1339">
        <v>2.92166E-3</v>
      </c>
      <c r="J1339">
        <f t="shared" si="157"/>
        <v>2.7008701254229082E-2</v>
      </c>
      <c r="K1339">
        <v>0.11507582910275098</v>
      </c>
      <c r="L1339">
        <v>5.0109725362706047E-2</v>
      </c>
      <c r="N1339">
        <v>2.92166E-3</v>
      </c>
      <c r="O1339">
        <f t="shared" si="158"/>
        <v>0.11507582910275098</v>
      </c>
      <c r="Q1339">
        <v>2.92166E-3</v>
      </c>
      <c r="R1339">
        <f t="shared" si="159"/>
        <v>5.0109725362706047E-2</v>
      </c>
      <c r="CH1339">
        <v>2.7045900000000002E-3</v>
      </c>
      <c r="CI1339">
        <v>33.727699999999999</v>
      </c>
      <c r="CJ1339">
        <f t="shared" si="160"/>
        <v>2621.2832844065065</v>
      </c>
      <c r="CL1339">
        <v>2.7045900000000002E-3</v>
      </c>
      <c r="CM1339">
        <v>1.9640000000000001E-2</v>
      </c>
      <c r="CN1339">
        <f t="shared" si="161"/>
        <v>1.5264012578902144</v>
      </c>
    </row>
    <row r="1340" spans="4:92" x14ac:dyDescent="0.35">
      <c r="D1340">
        <v>2.95949E-3</v>
      </c>
      <c r="E1340">
        <v>14.843</v>
      </c>
      <c r="F1340">
        <v>23.424099999999999</v>
      </c>
      <c r="G1340">
        <v>15.022</v>
      </c>
      <c r="I1340">
        <v>2.95949E-3</v>
      </c>
      <c r="J1340">
        <f t="shared" si="157"/>
        <v>2.6344021864072437E-2</v>
      </c>
      <c r="K1340">
        <v>0.12431732656694472</v>
      </c>
      <c r="L1340">
        <v>4.9387423607509022E-2</v>
      </c>
      <c r="N1340">
        <v>2.95949E-3</v>
      </c>
      <c r="O1340">
        <f t="shared" si="158"/>
        <v>0.12431732656694472</v>
      </c>
      <c r="Q1340">
        <v>2.95949E-3</v>
      </c>
      <c r="R1340">
        <f t="shared" si="159"/>
        <v>4.9387423607509022E-2</v>
      </c>
      <c r="CH1340">
        <v>2.73961E-3</v>
      </c>
      <c r="CI1340">
        <v>33.507199999999997</v>
      </c>
      <c r="CJ1340">
        <f t="shared" si="160"/>
        <v>2604.1462438074841</v>
      </c>
      <c r="CL1340">
        <v>2.73961E-3</v>
      </c>
      <c r="CM1340">
        <v>2.7799999999999998E-2</v>
      </c>
      <c r="CN1340">
        <f t="shared" si="161"/>
        <v>2.1605883385615052</v>
      </c>
    </row>
    <row r="1341" spans="4:92" x14ac:dyDescent="0.35">
      <c r="D1341">
        <v>2.99782E-3</v>
      </c>
      <c r="E1341">
        <v>14.822900000000001</v>
      </c>
      <c r="F1341">
        <v>21.5595</v>
      </c>
      <c r="G1341">
        <v>15.4489</v>
      </c>
      <c r="I1341">
        <v>2.99782E-3</v>
      </c>
      <c r="J1341">
        <f t="shared" si="157"/>
        <v>2.6308347482918503E-2</v>
      </c>
      <c r="K1341">
        <v>0.11442144637873151</v>
      </c>
      <c r="L1341">
        <v>5.079093120556824E-2</v>
      </c>
      <c r="N1341">
        <v>2.99782E-3</v>
      </c>
      <c r="O1341">
        <f t="shared" si="158"/>
        <v>0.11442144637873151</v>
      </c>
      <c r="Q1341">
        <v>2.99782E-3</v>
      </c>
      <c r="R1341">
        <f t="shared" si="159"/>
        <v>5.079093120556824E-2</v>
      </c>
      <c r="CH1341">
        <v>2.77509E-3</v>
      </c>
      <c r="CI1341">
        <v>33.100700000000003</v>
      </c>
      <c r="CJ1341">
        <f t="shared" si="160"/>
        <v>2572.5534682813964</v>
      </c>
      <c r="CL1341">
        <v>2.77509E-3</v>
      </c>
      <c r="CM1341">
        <v>2.299E-2</v>
      </c>
      <c r="CN1341">
        <f t="shared" si="161"/>
        <v>1.7867599245873742</v>
      </c>
    </row>
    <row r="1342" spans="4:92" x14ac:dyDescent="0.35">
      <c r="D1342">
        <v>3.0366400000000002E-3</v>
      </c>
      <c r="E1342">
        <v>14.9057</v>
      </c>
      <c r="F1342">
        <v>22.662500000000001</v>
      </c>
      <c r="G1342">
        <v>15.192299999999999</v>
      </c>
      <c r="I1342">
        <v>3.0366400000000002E-3</v>
      </c>
      <c r="J1342">
        <f t="shared" si="157"/>
        <v>2.6455304635134711E-2</v>
      </c>
      <c r="K1342">
        <v>0.12027533238516679</v>
      </c>
      <c r="L1342">
        <v>4.9947314317158792E-2</v>
      </c>
      <c r="N1342">
        <v>3.0366400000000002E-3</v>
      </c>
      <c r="O1342">
        <f t="shared" si="158"/>
        <v>0.12027533238516679</v>
      </c>
      <c r="Q1342">
        <v>3.0366400000000002E-3</v>
      </c>
      <c r="R1342">
        <f t="shared" si="159"/>
        <v>4.9947314317158792E-2</v>
      </c>
      <c r="CH1342">
        <v>2.81103E-3</v>
      </c>
      <c r="CI1342">
        <v>33.073599999999999</v>
      </c>
      <c r="CJ1342">
        <f t="shared" si="160"/>
        <v>2570.4472832463234</v>
      </c>
      <c r="CL1342">
        <v>2.81103E-3</v>
      </c>
      <c r="CM1342">
        <v>2.0879999999999999E-2</v>
      </c>
      <c r="CN1342">
        <f t="shared" si="161"/>
        <v>1.6227728240706556</v>
      </c>
    </row>
    <row r="1343" spans="4:92" x14ac:dyDescent="0.35">
      <c r="D1343">
        <v>3.07596E-3</v>
      </c>
      <c r="E1343">
        <v>14.7113</v>
      </c>
      <c r="F1343">
        <v>22.940300000000001</v>
      </c>
      <c r="G1343">
        <v>15.509499999999999</v>
      </c>
      <c r="I1343">
        <v>3.07596E-3</v>
      </c>
      <c r="J1343">
        <f t="shared" si="157"/>
        <v>2.6110274799496652E-2</v>
      </c>
      <c r="K1343">
        <v>0.12174968372930794</v>
      </c>
      <c r="L1343">
        <v>5.0990164188567513E-2</v>
      </c>
      <c r="N1343">
        <v>3.07596E-3</v>
      </c>
      <c r="O1343">
        <f t="shared" si="158"/>
        <v>0.12174968372930794</v>
      </c>
      <c r="Q1343">
        <v>3.07596E-3</v>
      </c>
      <c r="R1343">
        <f t="shared" si="159"/>
        <v>5.0990164188567513E-2</v>
      </c>
      <c r="CH1343">
        <v>2.8474300000000002E-3</v>
      </c>
      <c r="CI1343">
        <v>33.6387</v>
      </c>
      <c r="CJ1343">
        <f t="shared" si="160"/>
        <v>2614.3662929629104</v>
      </c>
      <c r="CL1343">
        <v>2.8474300000000002E-3</v>
      </c>
      <c r="CM1343">
        <v>1.771E-2</v>
      </c>
      <c r="CN1343">
        <f t="shared" si="161"/>
        <v>1.3764035782706567</v>
      </c>
    </row>
    <row r="1344" spans="4:92" x14ac:dyDescent="0.35">
      <c r="D1344">
        <v>3.1158000000000002E-3</v>
      </c>
      <c r="E1344">
        <v>14.956099999999999</v>
      </c>
      <c r="F1344">
        <v>22.211200000000002</v>
      </c>
      <c r="G1344">
        <v>15.3583</v>
      </c>
      <c r="I1344">
        <v>3.1158000000000002E-3</v>
      </c>
      <c r="J1344">
        <f t="shared" si="157"/>
        <v>2.6544756814744577E-2</v>
      </c>
      <c r="K1344">
        <v>0.11788017485596984</v>
      </c>
      <c r="L1344">
        <v>5.0493068032965369E-2</v>
      </c>
      <c r="N1344">
        <v>3.1158000000000002E-3</v>
      </c>
      <c r="O1344">
        <f t="shared" si="158"/>
        <v>0.11788017485596984</v>
      </c>
      <c r="Q1344">
        <v>3.1158000000000002E-3</v>
      </c>
      <c r="R1344">
        <f t="shared" si="159"/>
        <v>5.0493068032965369E-2</v>
      </c>
      <c r="CH1344">
        <v>2.8842999999999998E-3</v>
      </c>
      <c r="CI1344">
        <v>33.966099999999997</v>
      </c>
      <c r="CJ1344">
        <f t="shared" si="160"/>
        <v>2639.8114951947459</v>
      </c>
      <c r="CL1344">
        <v>2.8842999999999998E-3</v>
      </c>
      <c r="CM1344">
        <v>2.103E-2</v>
      </c>
      <c r="CN1344">
        <f t="shared" si="161"/>
        <v>1.6344306748182897</v>
      </c>
    </row>
    <row r="1345" spans="4:92" x14ac:dyDescent="0.35">
      <c r="D1345">
        <v>3.1561499999999999E-3</v>
      </c>
      <c r="E1345">
        <v>14.9747</v>
      </c>
      <c r="F1345">
        <v>22.114999999999998</v>
      </c>
      <c r="G1345">
        <v>15.0449</v>
      </c>
      <c r="I1345">
        <v>3.1561499999999999E-3</v>
      </c>
      <c r="J1345">
        <f t="shared" si="157"/>
        <v>2.6577768928648222E-2</v>
      </c>
      <c r="K1345">
        <v>0.11736961834298787</v>
      </c>
      <c r="L1345">
        <v>4.9462711318906435E-2</v>
      </c>
      <c r="N1345">
        <v>3.1561499999999999E-3</v>
      </c>
      <c r="O1345">
        <f t="shared" si="158"/>
        <v>0.11736961834298787</v>
      </c>
      <c r="Q1345">
        <v>3.1561499999999999E-3</v>
      </c>
      <c r="R1345">
        <f t="shared" si="159"/>
        <v>4.9462711318906435E-2</v>
      </c>
      <c r="CH1345">
        <v>2.92166E-3</v>
      </c>
      <c r="CI1345">
        <v>33.410699999999999</v>
      </c>
      <c r="CJ1345">
        <f t="shared" si="160"/>
        <v>2596.6463598265063</v>
      </c>
      <c r="CL1345">
        <v>2.92166E-3</v>
      </c>
      <c r="CM1345">
        <v>1.762E-2</v>
      </c>
      <c r="CN1345">
        <f t="shared" si="161"/>
        <v>1.3694088678220764</v>
      </c>
    </row>
    <row r="1346" spans="4:92" x14ac:dyDescent="0.35">
      <c r="D1346">
        <v>3.1970200000000001E-3</v>
      </c>
      <c r="E1346">
        <v>14.9617</v>
      </c>
      <c r="F1346">
        <v>21.6663</v>
      </c>
      <c r="G1346">
        <v>15.243399999999999</v>
      </c>
      <c r="I1346">
        <v>3.1970200000000001E-3</v>
      </c>
      <c r="J1346">
        <f t="shared" si="157"/>
        <v>2.6554695945812341E-2</v>
      </c>
      <c r="K1346">
        <v>0.11498825963846614</v>
      </c>
      <c r="L1346">
        <v>5.0115314406783587E-2</v>
      </c>
      <c r="N1346">
        <v>3.1970200000000001E-3</v>
      </c>
      <c r="O1346">
        <f t="shared" si="158"/>
        <v>0.11498825963846614</v>
      </c>
      <c r="Q1346">
        <v>3.1970200000000001E-3</v>
      </c>
      <c r="R1346">
        <f t="shared" si="159"/>
        <v>5.0115314406783587E-2</v>
      </c>
      <c r="CH1346">
        <v>2.95949E-3</v>
      </c>
      <c r="CI1346">
        <v>33.203699999999998</v>
      </c>
      <c r="CJ1346">
        <f t="shared" si="160"/>
        <v>2580.5585257947714</v>
      </c>
      <c r="CL1346">
        <v>2.95949E-3</v>
      </c>
      <c r="CM1346">
        <v>3.0249999999999999E-2</v>
      </c>
      <c r="CN1346">
        <f t="shared" si="161"/>
        <v>2.3509999007728606</v>
      </c>
    </row>
    <row r="1347" spans="4:92" x14ac:dyDescent="0.35">
      <c r="D1347">
        <v>3.2384200000000001E-3</v>
      </c>
      <c r="E1347">
        <v>14.9252</v>
      </c>
      <c r="F1347">
        <v>23.027899999999999</v>
      </c>
      <c r="G1347">
        <v>15.3888</v>
      </c>
      <c r="I1347">
        <v>3.2384200000000001E-3</v>
      </c>
      <c r="J1347">
        <f t="shared" si="157"/>
        <v>2.6489914109388529E-2</v>
      </c>
      <c r="K1347">
        <v>0.12221459797605655</v>
      </c>
      <c r="L1347">
        <v>5.0593342059062366E-2</v>
      </c>
      <c r="N1347">
        <v>3.2384200000000001E-3</v>
      </c>
      <c r="O1347">
        <f t="shared" si="158"/>
        <v>0.12221459797605655</v>
      </c>
      <c r="Q1347">
        <v>3.2384200000000001E-3</v>
      </c>
      <c r="R1347">
        <f t="shared" si="159"/>
        <v>5.0593342059062366E-2</v>
      </c>
      <c r="CH1347">
        <v>2.99782E-3</v>
      </c>
      <c r="CI1347">
        <v>34.376399999999997</v>
      </c>
      <c r="CJ1347">
        <f t="shared" si="160"/>
        <v>2671.6996029397742</v>
      </c>
      <c r="CL1347">
        <v>2.99782E-3</v>
      </c>
      <c r="CM1347">
        <v>2.0219999999999998E-2</v>
      </c>
      <c r="CN1347">
        <f t="shared" si="161"/>
        <v>1.5714782807810659</v>
      </c>
    </row>
    <row r="1348" spans="4:92" x14ac:dyDescent="0.35">
      <c r="D1348">
        <v>3.28036E-3</v>
      </c>
      <c r="E1348">
        <v>15.204599999999999</v>
      </c>
      <c r="F1348">
        <v>21.9998</v>
      </c>
      <c r="G1348">
        <v>15.606400000000001</v>
      </c>
      <c r="I1348">
        <v>3.28036E-3</v>
      </c>
      <c r="J1348">
        <f t="shared" ref="J1348:J1411" si="162">E1348/SUM($E$3:$E$2002)/$C$3</f>
        <v>2.6985805755876557E-2</v>
      </c>
      <c r="K1348">
        <v>0.11675822426507189</v>
      </c>
      <c r="L1348">
        <v>5.1308739700987135E-2</v>
      </c>
      <c r="N1348">
        <v>3.28036E-3</v>
      </c>
      <c r="O1348">
        <f t="shared" ref="O1348:O1411" si="163">F1348/SUM($F$3:$F$2002)/$C$3</f>
        <v>0.11675822426507189</v>
      </c>
      <c r="Q1348">
        <v>3.28036E-3</v>
      </c>
      <c r="R1348">
        <f t="shared" ref="R1348:R1411" si="164">G1348/SUM($G$3:$G$2002)/$C$3</f>
        <v>5.1308739700987135E-2</v>
      </c>
      <c r="CH1348">
        <v>3.0366400000000002E-3</v>
      </c>
      <c r="CI1348">
        <v>33.227400000000003</v>
      </c>
      <c r="CJ1348">
        <f t="shared" si="160"/>
        <v>2582.4004662128978</v>
      </c>
      <c r="CL1348">
        <v>3.0366400000000002E-3</v>
      </c>
      <c r="CM1348">
        <v>1.9709999999999998E-2</v>
      </c>
      <c r="CN1348">
        <f t="shared" si="161"/>
        <v>1.5318415882391101</v>
      </c>
    </row>
    <row r="1349" spans="4:92" x14ac:dyDescent="0.35">
      <c r="D1349">
        <v>3.3228400000000001E-3</v>
      </c>
      <c r="E1349">
        <v>14.7828</v>
      </c>
      <c r="F1349">
        <v>21.695599999999999</v>
      </c>
      <c r="G1349">
        <v>15.1691</v>
      </c>
      <c r="I1349">
        <v>3.3228400000000001E-3</v>
      </c>
      <c r="J1349">
        <f t="shared" si="162"/>
        <v>2.6237176205093984E-2</v>
      </c>
      <c r="K1349">
        <v>0.11514376177807498</v>
      </c>
      <c r="L1349">
        <v>4.9871040303865334E-2</v>
      </c>
      <c r="N1349">
        <v>3.3228400000000001E-3</v>
      </c>
      <c r="O1349">
        <f t="shared" si="163"/>
        <v>0.11514376177807498</v>
      </c>
      <c r="Q1349">
        <v>3.3228400000000001E-3</v>
      </c>
      <c r="R1349">
        <f t="shared" si="164"/>
        <v>4.9871040303865334E-2</v>
      </c>
      <c r="CH1349">
        <v>3.07596E-3</v>
      </c>
      <c r="CI1349">
        <v>32.672699999999999</v>
      </c>
      <c r="CJ1349">
        <f t="shared" si="160"/>
        <v>2539.2897341481471</v>
      </c>
      <c r="CL1349">
        <v>3.07596E-3</v>
      </c>
      <c r="CM1349">
        <v>1.821E-2</v>
      </c>
      <c r="CN1349">
        <f t="shared" si="161"/>
        <v>1.4152630807627702</v>
      </c>
    </row>
    <row r="1350" spans="4:92" x14ac:dyDescent="0.35">
      <c r="D1350">
        <v>3.36587E-3</v>
      </c>
      <c r="E1350">
        <v>15.0807</v>
      </c>
      <c r="F1350">
        <v>24.3947</v>
      </c>
      <c r="G1350">
        <v>15.7583</v>
      </c>
      <c r="I1350">
        <v>3.36587E-3</v>
      </c>
      <c r="J1350">
        <f t="shared" si="162"/>
        <v>2.6765902481002305E-2</v>
      </c>
      <c r="K1350">
        <v>0.12946853396299737</v>
      </c>
      <c r="L1350">
        <v>5.1808137227680032E-2</v>
      </c>
      <c r="N1350">
        <v>3.36587E-3</v>
      </c>
      <c r="O1350">
        <f t="shared" si="163"/>
        <v>0.12946853396299737</v>
      </c>
      <c r="Q1350">
        <v>3.36587E-3</v>
      </c>
      <c r="R1350">
        <f t="shared" si="164"/>
        <v>5.1808137227680032E-2</v>
      </c>
      <c r="CH1350">
        <v>3.1158000000000002E-3</v>
      </c>
      <c r="CI1350">
        <v>33.209499999999998</v>
      </c>
      <c r="CJ1350">
        <f t="shared" si="160"/>
        <v>2581.0092960236798</v>
      </c>
      <c r="CL1350">
        <v>3.1158000000000002E-3</v>
      </c>
      <c r="CM1350">
        <v>1.7129999999999999E-2</v>
      </c>
      <c r="CN1350">
        <f t="shared" si="161"/>
        <v>1.331326555379805</v>
      </c>
    </row>
    <row r="1351" spans="4:92" x14ac:dyDescent="0.35">
      <c r="D1351">
        <v>3.40946E-3</v>
      </c>
      <c r="E1351">
        <v>14.9994</v>
      </c>
      <c r="F1351">
        <v>23.839099999999998</v>
      </c>
      <c r="G1351">
        <v>15.386699999999999</v>
      </c>
      <c r="I1351">
        <v>3.40946E-3</v>
      </c>
      <c r="J1351">
        <f t="shared" si="162"/>
        <v>2.6621607596036389E-2</v>
      </c>
      <c r="K1351">
        <v>0.12651983127471503</v>
      </c>
      <c r="L1351">
        <v>5.0586437945790111E-2</v>
      </c>
      <c r="N1351">
        <v>3.40946E-3</v>
      </c>
      <c r="O1351">
        <f t="shared" si="163"/>
        <v>0.12651983127471503</v>
      </c>
      <c r="Q1351">
        <v>3.40946E-3</v>
      </c>
      <c r="R1351">
        <f t="shared" si="164"/>
        <v>5.0586437945790111E-2</v>
      </c>
      <c r="CH1351">
        <v>3.1561499999999999E-3</v>
      </c>
      <c r="CI1351">
        <v>32.929699999999997</v>
      </c>
      <c r="CJ1351">
        <f t="shared" si="160"/>
        <v>2559.263518429093</v>
      </c>
      <c r="CL1351">
        <v>3.1561499999999999E-3</v>
      </c>
      <c r="CM1351">
        <v>1.984E-2</v>
      </c>
      <c r="CN1351">
        <f t="shared" si="161"/>
        <v>1.5419450588870598</v>
      </c>
    </row>
    <row r="1352" spans="4:92" x14ac:dyDescent="0.35">
      <c r="D1352">
        <v>3.4536100000000002E-3</v>
      </c>
      <c r="E1352">
        <v>14.785500000000001</v>
      </c>
      <c r="F1352">
        <v>19.9971</v>
      </c>
      <c r="G1352">
        <v>14.785399999999999</v>
      </c>
      <c r="I1352">
        <v>3.4536100000000002E-3</v>
      </c>
      <c r="J1352">
        <f t="shared" si="162"/>
        <v>2.6241968286144515E-2</v>
      </c>
      <c r="K1352">
        <v>0.10612941419699584</v>
      </c>
      <c r="L1352">
        <v>4.8609560178835297E-2</v>
      </c>
      <c r="N1352">
        <v>3.4536100000000002E-3</v>
      </c>
      <c r="O1352">
        <f t="shared" si="163"/>
        <v>0.10612941419699584</v>
      </c>
      <c r="Q1352">
        <v>3.4536100000000002E-3</v>
      </c>
      <c r="R1352">
        <f t="shared" si="164"/>
        <v>4.8609560178835297E-2</v>
      </c>
      <c r="CH1352">
        <v>3.1970200000000001E-3</v>
      </c>
      <c r="CI1352">
        <v>32.934600000000003</v>
      </c>
      <c r="CJ1352">
        <f t="shared" si="160"/>
        <v>2559.6443415535164</v>
      </c>
      <c r="CL1352">
        <v>3.1970200000000001E-3</v>
      </c>
      <c r="CM1352">
        <v>2.087E-2</v>
      </c>
      <c r="CN1352">
        <f t="shared" si="161"/>
        <v>1.6219956340208133</v>
      </c>
    </row>
    <row r="1353" spans="4:92" x14ac:dyDescent="0.35">
      <c r="D1353">
        <v>3.49834E-3</v>
      </c>
      <c r="E1353">
        <v>15.0022</v>
      </c>
      <c r="F1353">
        <v>23.638400000000001</v>
      </c>
      <c r="G1353">
        <v>15.324999999999999</v>
      </c>
      <c r="I1353">
        <v>3.49834E-3</v>
      </c>
      <c r="J1353">
        <f t="shared" si="162"/>
        <v>2.662657716157027E-2</v>
      </c>
      <c r="K1353">
        <v>0.12545466815459574</v>
      </c>
      <c r="L1353">
        <v>5.0383588522505372E-2</v>
      </c>
      <c r="N1353">
        <v>3.49834E-3</v>
      </c>
      <c r="O1353">
        <f t="shared" si="163"/>
        <v>0.12545466815459574</v>
      </c>
      <c r="Q1353">
        <v>3.49834E-3</v>
      </c>
      <c r="R1353">
        <f t="shared" si="164"/>
        <v>5.0383588522505372E-2</v>
      </c>
      <c r="CH1353">
        <v>3.2384200000000001E-3</v>
      </c>
      <c r="CI1353">
        <v>33.214100000000002</v>
      </c>
      <c r="CJ1353">
        <f t="shared" si="160"/>
        <v>2581.3668034466077</v>
      </c>
      <c r="CL1353">
        <v>3.2384200000000001E-3</v>
      </c>
      <c r="CM1353">
        <v>2.1160000000000002E-2</v>
      </c>
      <c r="CN1353">
        <f t="shared" si="161"/>
        <v>1.6445341454662392</v>
      </c>
    </row>
    <row r="1354" spans="4:92" x14ac:dyDescent="0.35">
      <c r="D1354">
        <v>3.5436399999999998E-3</v>
      </c>
      <c r="E1354">
        <v>14.7719</v>
      </c>
      <c r="F1354">
        <v>22.246200000000002</v>
      </c>
      <c r="G1354">
        <v>14.9262</v>
      </c>
      <c r="I1354">
        <v>3.5436399999999998E-3</v>
      </c>
      <c r="J1354">
        <f t="shared" si="162"/>
        <v>2.6217830396408522E-2</v>
      </c>
      <c r="K1354">
        <v>0.11806592826505889</v>
      </c>
      <c r="L1354">
        <v>4.9072464535374859E-2</v>
      </c>
      <c r="N1354">
        <v>3.5436399999999998E-3</v>
      </c>
      <c r="O1354">
        <f t="shared" si="163"/>
        <v>0.11806592826505889</v>
      </c>
      <c r="Q1354">
        <v>3.5436399999999998E-3</v>
      </c>
      <c r="R1354">
        <f t="shared" si="164"/>
        <v>4.9072464535374859E-2</v>
      </c>
      <c r="CH1354">
        <v>3.28036E-3</v>
      </c>
      <c r="CI1354">
        <v>33.8551</v>
      </c>
      <c r="CJ1354">
        <f t="shared" ref="CJ1354:CJ1417" si="165">CI1354/$CG$9</f>
        <v>2631.1846856414968</v>
      </c>
      <c r="CL1354">
        <v>3.28036E-3</v>
      </c>
      <c r="CM1354">
        <v>2.0590000000000001E-2</v>
      </c>
      <c r="CN1354">
        <f t="shared" ref="CN1354:CN1417" si="166">CM1354/$CG$9</f>
        <v>1.6002343126252299</v>
      </c>
    </row>
    <row r="1355" spans="4:92" x14ac:dyDescent="0.35">
      <c r="D1355">
        <v>3.5895300000000001E-3</v>
      </c>
      <c r="E1355">
        <v>14.625500000000001</v>
      </c>
      <c r="F1355">
        <v>22.439699999999998</v>
      </c>
      <c r="G1355">
        <v>15.312099999999999</v>
      </c>
      <c r="I1355">
        <v>3.5895300000000001E-3</v>
      </c>
      <c r="J1355">
        <f t="shared" si="162"/>
        <v>2.595799311277986E-2</v>
      </c>
      <c r="K1355">
        <v>0.1190928792553084</v>
      </c>
      <c r="L1355">
        <v>5.0341177540975821E-2</v>
      </c>
      <c r="N1355">
        <v>3.5895300000000001E-3</v>
      </c>
      <c r="O1355">
        <f t="shared" si="163"/>
        <v>0.1190928792553084</v>
      </c>
      <c r="Q1355">
        <v>3.5895300000000001E-3</v>
      </c>
      <c r="R1355">
        <f t="shared" si="164"/>
        <v>5.0341177540975821E-2</v>
      </c>
      <c r="CH1355">
        <v>3.3228400000000001E-3</v>
      </c>
      <c r="CI1355">
        <v>32.757100000000001</v>
      </c>
      <c r="CJ1355">
        <f t="shared" si="165"/>
        <v>2545.8492181688162</v>
      </c>
      <c r="CL1355">
        <v>3.3228400000000001E-3</v>
      </c>
      <c r="CM1355">
        <v>1.9599999999999999E-2</v>
      </c>
      <c r="CN1355">
        <f t="shared" si="166"/>
        <v>1.5232924976908453</v>
      </c>
    </row>
    <row r="1356" spans="4:92" x14ac:dyDescent="0.35">
      <c r="D1356">
        <v>3.6360199999999998E-3</v>
      </c>
      <c r="E1356">
        <v>15.2018</v>
      </c>
      <c r="F1356">
        <v>24.201699999999999</v>
      </c>
      <c r="G1356">
        <v>15.017200000000001</v>
      </c>
      <c r="I1356">
        <v>3.6360199999999998E-3</v>
      </c>
      <c r="J1356">
        <f t="shared" si="162"/>
        <v>2.6980836190342677E-2</v>
      </c>
      <c r="K1356">
        <v>0.12844423659287768</v>
      </c>
      <c r="L1356">
        <v>4.9371642777172445E-2</v>
      </c>
      <c r="N1356">
        <v>3.6360199999999998E-3</v>
      </c>
      <c r="O1356">
        <f t="shared" si="163"/>
        <v>0.12844423659287768</v>
      </c>
      <c r="Q1356">
        <v>3.6360199999999998E-3</v>
      </c>
      <c r="R1356">
        <f t="shared" si="164"/>
        <v>4.9371642777172445E-2</v>
      </c>
      <c r="CH1356">
        <v>3.36587E-3</v>
      </c>
      <c r="CI1356">
        <v>33.394599999999997</v>
      </c>
      <c r="CJ1356">
        <f t="shared" si="165"/>
        <v>2595.3950838462601</v>
      </c>
      <c r="CL1356">
        <v>3.36587E-3</v>
      </c>
      <c r="CM1356">
        <v>1.9630000000000002E-2</v>
      </c>
      <c r="CN1356">
        <f t="shared" si="166"/>
        <v>1.5256240678403723</v>
      </c>
    </row>
    <row r="1357" spans="4:92" x14ac:dyDescent="0.35">
      <c r="D1357">
        <v>3.6830999999999999E-3</v>
      </c>
      <c r="E1357">
        <v>14.527799999999999</v>
      </c>
      <c r="F1357">
        <v>22.529399999999999</v>
      </c>
      <c r="G1357">
        <v>15.0052</v>
      </c>
      <c r="I1357">
        <v>3.6830999999999999E-3</v>
      </c>
      <c r="J1357">
        <f t="shared" si="162"/>
        <v>2.5784590772544063E-2</v>
      </c>
      <c r="K1357">
        <v>0.11956893870660236</v>
      </c>
      <c r="L1357">
        <v>4.9332190701331005E-2</v>
      </c>
      <c r="N1357">
        <v>3.6830999999999999E-3</v>
      </c>
      <c r="O1357">
        <f t="shared" si="163"/>
        <v>0.11956893870660236</v>
      </c>
      <c r="Q1357">
        <v>3.6830999999999999E-3</v>
      </c>
      <c r="R1357">
        <f t="shared" si="164"/>
        <v>4.9332190701331005E-2</v>
      </c>
      <c r="CH1357">
        <v>3.40946E-3</v>
      </c>
      <c r="CI1357">
        <v>34.035600000000002</v>
      </c>
      <c r="CJ1357">
        <f t="shared" si="165"/>
        <v>2645.2129660411501</v>
      </c>
      <c r="CL1357">
        <v>3.40946E-3</v>
      </c>
      <c r="CM1357">
        <v>1.9449999999999999E-2</v>
      </c>
      <c r="CN1357">
        <f t="shared" si="166"/>
        <v>1.5116346469432111</v>
      </c>
    </row>
    <row r="1358" spans="4:92" x14ac:dyDescent="0.35">
      <c r="D1358">
        <v>3.7307999999999998E-3</v>
      </c>
      <c r="E1358">
        <v>14.726100000000001</v>
      </c>
      <c r="F1358">
        <v>23.481200000000001</v>
      </c>
      <c r="G1358">
        <v>15.2554</v>
      </c>
      <c r="I1358">
        <v>3.7307999999999998E-3</v>
      </c>
      <c r="J1358">
        <f t="shared" si="162"/>
        <v>2.6136542503032888E-2</v>
      </c>
      <c r="K1358">
        <v>0.12462036998577289</v>
      </c>
      <c r="L1358">
        <v>5.0154766482625027E-2</v>
      </c>
      <c r="N1358">
        <v>3.7307999999999998E-3</v>
      </c>
      <c r="O1358">
        <f t="shared" si="163"/>
        <v>0.12462036998577289</v>
      </c>
      <c r="Q1358">
        <v>3.7307999999999998E-3</v>
      </c>
      <c r="R1358">
        <f t="shared" si="164"/>
        <v>5.0154766482625027E-2</v>
      </c>
      <c r="CH1358">
        <v>3.4536100000000002E-3</v>
      </c>
      <c r="CI1358">
        <v>35.018000000000001</v>
      </c>
      <c r="CJ1358">
        <f t="shared" si="165"/>
        <v>2721.5641165376542</v>
      </c>
      <c r="CL1358">
        <v>3.4536100000000002E-3</v>
      </c>
      <c r="CM1358">
        <v>2.0959999999999999E-2</v>
      </c>
      <c r="CN1358">
        <f t="shared" si="166"/>
        <v>1.6289903444693938</v>
      </c>
    </row>
    <row r="1359" spans="4:92" x14ac:dyDescent="0.35">
      <c r="D1359">
        <v>3.77911E-3</v>
      </c>
      <c r="E1359">
        <v>15.128399999999999</v>
      </c>
      <c r="F1359">
        <v>23.0215</v>
      </c>
      <c r="G1359">
        <v>15.322900000000001</v>
      </c>
      <c r="I1359">
        <v>3.77911E-3</v>
      </c>
      <c r="J1359">
        <f t="shared" si="162"/>
        <v>2.685056257956164E-2</v>
      </c>
      <c r="K1359">
        <v>0.12218063163839457</v>
      </c>
      <c r="L1359">
        <v>5.0376684409233125E-2</v>
      </c>
      <c r="N1359">
        <v>3.77911E-3</v>
      </c>
      <c r="O1359">
        <f t="shared" si="163"/>
        <v>0.12218063163839457</v>
      </c>
      <c r="Q1359">
        <v>3.77911E-3</v>
      </c>
      <c r="R1359">
        <f t="shared" si="164"/>
        <v>5.0376684409233125E-2</v>
      </c>
      <c r="CH1359">
        <v>3.49834E-3</v>
      </c>
      <c r="CI1359">
        <v>33.831000000000003</v>
      </c>
      <c r="CJ1359">
        <f t="shared" si="165"/>
        <v>2629.3116576213774</v>
      </c>
      <c r="CL1359">
        <v>3.49834E-3</v>
      </c>
      <c r="CM1359">
        <v>1.8149999999999999E-2</v>
      </c>
      <c r="CN1359">
        <f t="shared" si="166"/>
        <v>1.4105999404637164</v>
      </c>
    </row>
    <row r="1360" spans="4:92" x14ac:dyDescent="0.35">
      <c r="D1360">
        <v>3.8280499999999999E-3</v>
      </c>
      <c r="E1360">
        <v>15.255599999999999</v>
      </c>
      <c r="F1360">
        <v>22.976800000000001</v>
      </c>
      <c r="G1360">
        <v>15.3535</v>
      </c>
      <c r="I1360">
        <v>3.8280499999999999E-3</v>
      </c>
      <c r="J1360">
        <f t="shared" si="162"/>
        <v>2.7076322842386542E-2</v>
      </c>
      <c r="K1360">
        <v>0.12194339799878653</v>
      </c>
      <c r="L1360">
        <v>5.0477287202628798E-2</v>
      </c>
      <c r="N1360">
        <v>3.8280499999999999E-3</v>
      </c>
      <c r="O1360">
        <f t="shared" si="163"/>
        <v>0.12194339799878653</v>
      </c>
      <c r="Q1360">
        <v>3.8280499999999999E-3</v>
      </c>
      <c r="R1360">
        <f t="shared" si="164"/>
        <v>5.0477287202628798E-2</v>
      </c>
      <c r="CH1360">
        <v>3.5436399999999998E-3</v>
      </c>
      <c r="CI1360">
        <v>34.475999999999999</v>
      </c>
      <c r="CJ1360">
        <f t="shared" si="165"/>
        <v>2679.4404158362031</v>
      </c>
      <c r="CL1360">
        <v>3.5436399999999998E-3</v>
      </c>
      <c r="CM1360">
        <v>2.0990000000000002E-2</v>
      </c>
      <c r="CN1360">
        <f t="shared" si="166"/>
        <v>1.6313219146189208</v>
      </c>
    </row>
    <row r="1361" spans="4:92" x14ac:dyDescent="0.35">
      <c r="D1361">
        <v>3.87763E-3</v>
      </c>
      <c r="E1361">
        <v>15.223100000000001</v>
      </c>
      <c r="F1361">
        <v>22.96</v>
      </c>
      <c r="G1361">
        <v>15.090299999999999</v>
      </c>
      <c r="I1361">
        <v>3.87763E-3</v>
      </c>
      <c r="J1361">
        <f t="shared" si="162"/>
        <v>2.701864038529685E-2</v>
      </c>
      <c r="K1361">
        <v>0.12185423636242379</v>
      </c>
      <c r="L1361">
        <v>4.9611971672506541E-2</v>
      </c>
      <c r="N1361">
        <v>3.87763E-3</v>
      </c>
      <c r="O1361">
        <f t="shared" si="163"/>
        <v>0.12185423636242379</v>
      </c>
      <c r="Q1361">
        <v>3.87763E-3</v>
      </c>
      <c r="R1361">
        <f t="shared" si="164"/>
        <v>4.9611971672506541E-2</v>
      </c>
      <c r="CH1361">
        <v>3.5895300000000001E-3</v>
      </c>
      <c r="CI1361">
        <v>33.689700000000002</v>
      </c>
      <c r="CJ1361">
        <f t="shared" si="165"/>
        <v>2618.3299622171057</v>
      </c>
      <c r="CL1361">
        <v>3.5895300000000001E-3</v>
      </c>
      <c r="CM1361">
        <v>2.0199999999999999E-2</v>
      </c>
      <c r="CN1361">
        <f t="shared" si="166"/>
        <v>1.5699239006813814</v>
      </c>
    </row>
    <row r="1362" spans="4:92" x14ac:dyDescent="0.35">
      <c r="D1362">
        <v>3.9278400000000002E-3</v>
      </c>
      <c r="E1362">
        <v>14.870200000000001</v>
      </c>
      <c r="F1362">
        <v>21.8827</v>
      </c>
      <c r="G1362">
        <v>15.2872</v>
      </c>
      <c r="I1362">
        <v>3.9278400000000002E-3</v>
      </c>
      <c r="J1362">
        <f t="shared" si="162"/>
        <v>2.6392297643544428E-2</v>
      </c>
      <c r="K1362">
        <v>0.1161367464306625</v>
      </c>
      <c r="L1362">
        <v>5.0259314483604836E-2</v>
      </c>
      <c r="N1362">
        <v>3.9278400000000002E-3</v>
      </c>
      <c r="O1362">
        <f t="shared" si="163"/>
        <v>0.1161367464306625</v>
      </c>
      <c r="Q1362">
        <v>3.9278400000000002E-3</v>
      </c>
      <c r="R1362">
        <f t="shared" si="164"/>
        <v>5.0259314483604836E-2</v>
      </c>
      <c r="CH1362">
        <v>3.6360199999999998E-3</v>
      </c>
      <c r="CI1362">
        <v>33.750799999999998</v>
      </c>
      <c r="CJ1362">
        <f t="shared" si="165"/>
        <v>2623.0785934216419</v>
      </c>
      <c r="CL1362">
        <v>3.6360199999999998E-3</v>
      </c>
      <c r="CM1362">
        <v>1.8970000000000001E-2</v>
      </c>
      <c r="CN1362">
        <f t="shared" si="166"/>
        <v>1.4743295245507826</v>
      </c>
    </row>
    <row r="1363" spans="4:92" x14ac:dyDescent="0.35">
      <c r="D1363">
        <v>3.9787099999999999E-3</v>
      </c>
      <c r="E1363">
        <v>15.0524</v>
      </c>
      <c r="F1363">
        <v>23.4605</v>
      </c>
      <c r="G1363">
        <v>15.3817</v>
      </c>
      <c r="I1363">
        <v>3.9787099999999999E-3</v>
      </c>
      <c r="J1363">
        <f t="shared" si="162"/>
        <v>2.6715674372213432E-2</v>
      </c>
      <c r="K1363">
        <v>0.12451051011239735</v>
      </c>
      <c r="L1363">
        <v>5.056999958085618E-2</v>
      </c>
      <c r="N1363">
        <v>3.9787099999999999E-3</v>
      </c>
      <c r="O1363">
        <f t="shared" si="163"/>
        <v>0.12451051011239735</v>
      </c>
      <c r="Q1363">
        <v>3.9787099999999999E-3</v>
      </c>
      <c r="R1363">
        <f t="shared" si="164"/>
        <v>5.056999958085618E-2</v>
      </c>
      <c r="CH1363">
        <v>3.6830999999999999E-3</v>
      </c>
      <c r="CI1363">
        <v>33.545200000000001</v>
      </c>
      <c r="CJ1363">
        <f t="shared" si="165"/>
        <v>2607.0995659968848</v>
      </c>
      <c r="CL1363">
        <v>3.6830999999999999E-3</v>
      </c>
      <c r="CM1363">
        <v>1.847E-2</v>
      </c>
      <c r="CN1363">
        <f t="shared" si="166"/>
        <v>1.4354700220586691</v>
      </c>
    </row>
    <row r="1364" spans="4:92" x14ac:dyDescent="0.35">
      <c r="D1364">
        <v>4.0302300000000001E-3</v>
      </c>
      <c r="E1364">
        <v>14.7799</v>
      </c>
      <c r="F1364">
        <v>23.867899999999999</v>
      </c>
      <c r="G1364">
        <v>15.323399999999999</v>
      </c>
      <c r="I1364">
        <v>4.0302300000000001E-3</v>
      </c>
      <c r="J1364">
        <f t="shared" si="162"/>
        <v>2.6232029155076751E-2</v>
      </c>
      <c r="K1364">
        <v>0.12667267979419403</v>
      </c>
      <c r="L1364">
        <v>5.0378328245726516E-2</v>
      </c>
      <c r="N1364">
        <v>4.0302300000000001E-3</v>
      </c>
      <c r="O1364">
        <f t="shared" si="163"/>
        <v>0.12667267979419403</v>
      </c>
      <c r="Q1364">
        <v>4.0302300000000001E-3</v>
      </c>
      <c r="R1364">
        <f t="shared" si="164"/>
        <v>5.0378328245726516E-2</v>
      </c>
      <c r="CH1364">
        <v>3.7307999999999998E-3</v>
      </c>
      <c r="CI1364">
        <v>35.236699999999999</v>
      </c>
      <c r="CJ1364">
        <f t="shared" si="165"/>
        <v>2738.5612629277043</v>
      </c>
      <c r="CL1364">
        <v>3.7307999999999998E-3</v>
      </c>
      <c r="CM1364">
        <v>2.0379999999999999E-2</v>
      </c>
      <c r="CN1364">
        <f t="shared" si="166"/>
        <v>1.5839133215785421</v>
      </c>
    </row>
    <row r="1365" spans="4:92" x14ac:dyDescent="0.35">
      <c r="D1365">
        <v>4.0824199999999998E-3</v>
      </c>
      <c r="E1365">
        <v>15.043900000000001</v>
      </c>
      <c r="F1365">
        <v>22.774000000000001</v>
      </c>
      <c r="G1365">
        <v>15.3131</v>
      </c>
      <c r="I1365">
        <v>4.0824199999999998E-3</v>
      </c>
      <c r="J1365">
        <f t="shared" si="162"/>
        <v>2.6700588191128433E-2</v>
      </c>
      <c r="K1365">
        <v>0.12086708967412192</v>
      </c>
      <c r="L1365">
        <v>5.0344465213962616E-2</v>
      </c>
      <c r="N1365">
        <v>4.0824199999999998E-3</v>
      </c>
      <c r="O1365">
        <f t="shared" si="163"/>
        <v>0.12086708967412192</v>
      </c>
      <c r="Q1365">
        <v>4.0824199999999998E-3</v>
      </c>
      <c r="R1365">
        <f t="shared" si="164"/>
        <v>5.0344465213962616E-2</v>
      </c>
      <c r="CH1365">
        <v>3.77911E-3</v>
      </c>
      <c r="CI1365">
        <v>33.509500000000003</v>
      </c>
      <c r="CJ1365">
        <f t="shared" si="165"/>
        <v>2604.3249975189483</v>
      </c>
      <c r="CL1365">
        <v>3.77911E-3</v>
      </c>
      <c r="CM1365">
        <v>2.0650000000000002E-2</v>
      </c>
      <c r="CN1365">
        <f t="shared" si="166"/>
        <v>1.6048974529242837</v>
      </c>
    </row>
    <row r="1366" spans="4:92" x14ac:dyDescent="0.35">
      <c r="D1366">
        <v>4.1352899999999998E-3</v>
      </c>
      <c r="E1366">
        <v>14.9405</v>
      </c>
      <c r="F1366">
        <v>23.179099999999998</v>
      </c>
      <c r="G1366">
        <v>15.2066</v>
      </c>
      <c r="I1366">
        <v>4.1352899999999998E-3</v>
      </c>
      <c r="J1366">
        <f t="shared" si="162"/>
        <v>2.6517069235341525E-2</v>
      </c>
      <c r="K1366">
        <v>0.12301705270332129</v>
      </c>
      <c r="L1366">
        <v>4.9994328040869833E-2</v>
      </c>
      <c r="N1366">
        <v>4.1352899999999998E-3</v>
      </c>
      <c r="O1366">
        <f t="shared" si="163"/>
        <v>0.12301705270332129</v>
      </c>
      <c r="Q1366">
        <v>4.1352899999999998E-3</v>
      </c>
      <c r="R1366">
        <f t="shared" si="164"/>
        <v>4.9994328040869833E-2</v>
      </c>
      <c r="CH1366">
        <v>3.8280499999999999E-3</v>
      </c>
      <c r="CI1366">
        <v>33.820700000000002</v>
      </c>
      <c r="CJ1366">
        <f t="shared" si="165"/>
        <v>2628.5111518700396</v>
      </c>
      <c r="CL1366">
        <v>3.8280499999999999E-3</v>
      </c>
      <c r="CM1366">
        <v>2.2839999999999999E-2</v>
      </c>
      <c r="CN1366">
        <f t="shared" si="166"/>
        <v>1.7751020738397401</v>
      </c>
    </row>
    <row r="1367" spans="4:92" x14ac:dyDescent="0.35">
      <c r="D1367">
        <v>4.1888400000000001E-3</v>
      </c>
      <c r="E1367">
        <v>15.0137</v>
      </c>
      <c r="F1367">
        <v>23.6417</v>
      </c>
      <c r="G1367">
        <v>15.4658</v>
      </c>
      <c r="I1367">
        <v>4.1888400000000001E-3</v>
      </c>
      <c r="J1367">
        <f t="shared" si="162"/>
        <v>2.6646987877155855E-2</v>
      </c>
      <c r="K1367">
        <v>0.12547218204745272</v>
      </c>
      <c r="L1367">
        <v>5.0846492879044934E-2</v>
      </c>
      <c r="N1367">
        <v>4.1888400000000001E-3</v>
      </c>
      <c r="O1367">
        <f t="shared" si="163"/>
        <v>0.12547218204745272</v>
      </c>
      <c r="Q1367">
        <v>4.1888400000000001E-3</v>
      </c>
      <c r="R1367">
        <f t="shared" si="164"/>
        <v>5.0846492879044934E-2</v>
      </c>
      <c r="CH1367">
        <v>3.87763E-3</v>
      </c>
      <c r="CI1367">
        <v>32.8733</v>
      </c>
      <c r="CJ1367">
        <f t="shared" si="165"/>
        <v>2554.8801665479832</v>
      </c>
      <c r="CL1367">
        <v>3.87763E-3</v>
      </c>
      <c r="CM1367">
        <v>1.9480000000000001E-2</v>
      </c>
      <c r="CN1367">
        <f t="shared" si="166"/>
        <v>1.5139662170927382</v>
      </c>
    </row>
    <row r="1368" spans="4:92" x14ac:dyDescent="0.35">
      <c r="D1368">
        <v>4.2430899999999997E-3</v>
      </c>
      <c r="E1368">
        <v>15.002000000000001</v>
      </c>
      <c r="F1368">
        <v>23.944900000000001</v>
      </c>
      <c r="G1368">
        <v>14.9526</v>
      </c>
      <c r="I1368">
        <v>4.2430899999999997E-3</v>
      </c>
      <c r="J1368">
        <f t="shared" si="162"/>
        <v>2.6626222192603567E-2</v>
      </c>
      <c r="K1368">
        <v>0.12708133729418997</v>
      </c>
      <c r="L1368">
        <v>4.915925910222603E-2</v>
      </c>
      <c r="N1368">
        <v>4.2430899999999997E-3</v>
      </c>
      <c r="O1368">
        <f t="shared" si="163"/>
        <v>0.12708133729418997</v>
      </c>
      <c r="Q1368">
        <v>4.2430899999999997E-3</v>
      </c>
      <c r="R1368">
        <f t="shared" si="164"/>
        <v>4.915925910222603E-2</v>
      </c>
      <c r="CH1368">
        <v>3.9278400000000002E-3</v>
      </c>
      <c r="CI1368">
        <v>33.195599999999999</v>
      </c>
      <c r="CJ1368">
        <f t="shared" si="165"/>
        <v>2579.9290018543993</v>
      </c>
      <c r="CL1368">
        <v>3.9278400000000002E-3</v>
      </c>
      <c r="CM1368">
        <v>1.9869999999999999E-2</v>
      </c>
      <c r="CN1368">
        <f t="shared" si="166"/>
        <v>1.5442766290365866</v>
      </c>
    </row>
    <row r="1369" spans="4:92" x14ac:dyDescent="0.35">
      <c r="D1369">
        <v>4.2980400000000004E-3</v>
      </c>
      <c r="E1369">
        <v>14.832700000000001</v>
      </c>
      <c r="F1369">
        <v>22.2302</v>
      </c>
      <c r="G1369">
        <v>15.1235</v>
      </c>
      <c r="I1369">
        <v>4.2980400000000004E-3</v>
      </c>
      <c r="J1369">
        <f t="shared" si="162"/>
        <v>2.6325740962287091E-2</v>
      </c>
      <c r="K1369">
        <v>0.11798101242090388</v>
      </c>
      <c r="L1369">
        <v>4.9721122415667868E-2</v>
      </c>
      <c r="N1369">
        <v>4.2980400000000004E-3</v>
      </c>
      <c r="O1369">
        <f t="shared" si="163"/>
        <v>0.11798101242090388</v>
      </c>
      <c r="Q1369">
        <v>4.2980400000000004E-3</v>
      </c>
      <c r="R1369">
        <f t="shared" si="164"/>
        <v>4.9721122415667868E-2</v>
      </c>
      <c r="CH1369">
        <v>3.9787099999999999E-3</v>
      </c>
      <c r="CI1369">
        <v>33.002000000000002</v>
      </c>
      <c r="CJ1369">
        <f t="shared" si="165"/>
        <v>2564.8826024894533</v>
      </c>
      <c r="CL1369">
        <v>3.9787099999999999E-3</v>
      </c>
      <c r="CM1369">
        <v>2.0320000000000001E-2</v>
      </c>
      <c r="CN1369">
        <f t="shared" si="166"/>
        <v>1.5792501812794888</v>
      </c>
    </row>
    <row r="1370" spans="4:92" x14ac:dyDescent="0.35">
      <c r="D1370">
        <v>4.3537000000000003E-3</v>
      </c>
      <c r="E1370">
        <v>14.8573</v>
      </c>
      <c r="F1370">
        <v>22.851500000000001</v>
      </c>
      <c r="G1370">
        <v>15.1768</v>
      </c>
      <c r="I1370">
        <v>4.3537000000000003E-3</v>
      </c>
      <c r="J1370">
        <f t="shared" si="162"/>
        <v>2.6369402145191904E-2</v>
      </c>
      <c r="K1370">
        <v>0.1212784007942477</v>
      </c>
      <c r="L1370">
        <v>4.9896355385863594E-2</v>
      </c>
      <c r="N1370">
        <v>4.3537000000000003E-3</v>
      </c>
      <c r="O1370">
        <f t="shared" si="163"/>
        <v>0.1212784007942477</v>
      </c>
      <c r="Q1370">
        <v>4.3537000000000003E-3</v>
      </c>
      <c r="R1370">
        <f t="shared" si="164"/>
        <v>4.9896355385863594E-2</v>
      </c>
      <c r="CH1370">
        <v>4.0302300000000001E-3</v>
      </c>
      <c r="CI1370">
        <v>33.581099999999999</v>
      </c>
      <c r="CJ1370">
        <f t="shared" si="165"/>
        <v>2609.8896782758188</v>
      </c>
      <c r="CL1370">
        <v>4.0302300000000001E-3</v>
      </c>
      <c r="CM1370">
        <v>2.0279999999999999E-2</v>
      </c>
      <c r="CN1370">
        <f t="shared" si="166"/>
        <v>1.5761414210801195</v>
      </c>
    </row>
    <row r="1371" spans="4:92" x14ac:dyDescent="0.35">
      <c r="D1371">
        <v>4.4100800000000002E-3</v>
      </c>
      <c r="E1371">
        <v>15.126899999999999</v>
      </c>
      <c r="F1371">
        <v>23.735900000000001</v>
      </c>
      <c r="G1371">
        <v>15.2387</v>
      </c>
      <c r="I1371">
        <v>4.4100800000000002E-3</v>
      </c>
      <c r="J1371">
        <f t="shared" si="162"/>
        <v>2.6847900312311348E-2</v>
      </c>
      <c r="K1371">
        <v>0.12597212407991529</v>
      </c>
      <c r="L1371">
        <v>5.0099862343745687E-2</v>
      </c>
      <c r="N1371">
        <v>4.4100800000000002E-3</v>
      </c>
      <c r="O1371">
        <f t="shared" si="163"/>
        <v>0.12597212407991529</v>
      </c>
      <c r="Q1371">
        <v>4.4100800000000002E-3</v>
      </c>
      <c r="R1371">
        <f t="shared" si="164"/>
        <v>5.0099862343745687E-2</v>
      </c>
      <c r="CH1371">
        <v>4.0824199999999998E-3</v>
      </c>
      <c r="CI1371">
        <v>32.515900000000002</v>
      </c>
      <c r="CJ1371">
        <f t="shared" si="165"/>
        <v>2527.1033941666205</v>
      </c>
      <c r="CL1371">
        <v>4.0824199999999998E-3</v>
      </c>
      <c r="CM1371">
        <v>1.9709999999999998E-2</v>
      </c>
      <c r="CN1371">
        <f t="shared" si="166"/>
        <v>1.5318415882391101</v>
      </c>
    </row>
    <row r="1372" spans="4:92" x14ac:dyDescent="0.35">
      <c r="D1372">
        <v>4.4671900000000002E-3</v>
      </c>
      <c r="E1372">
        <v>14.9618</v>
      </c>
      <c r="F1372">
        <v>24.146000000000001</v>
      </c>
      <c r="G1372">
        <v>15.337400000000001</v>
      </c>
      <c r="I1372">
        <v>4.4671900000000002E-3</v>
      </c>
      <c r="J1372">
        <f t="shared" si="162"/>
        <v>2.6554873430295698E-2</v>
      </c>
      <c r="K1372">
        <v>0.1281486233104131</v>
      </c>
      <c r="L1372">
        <v>5.0424355667541533E-2</v>
      </c>
      <c r="N1372">
        <v>4.4671900000000002E-3</v>
      </c>
      <c r="O1372">
        <f t="shared" si="163"/>
        <v>0.1281486233104131</v>
      </c>
      <c r="Q1372">
        <v>4.4671900000000002E-3</v>
      </c>
      <c r="R1372">
        <f t="shared" si="164"/>
        <v>5.0424355667541533E-2</v>
      </c>
      <c r="CH1372">
        <v>4.1352899999999998E-3</v>
      </c>
      <c r="CI1372">
        <v>33.933100000000003</v>
      </c>
      <c r="CJ1372">
        <f t="shared" si="165"/>
        <v>2637.2467680302666</v>
      </c>
      <c r="CL1372">
        <v>4.1352899999999998E-3</v>
      </c>
      <c r="CM1372">
        <v>2.0830000000000001E-2</v>
      </c>
      <c r="CN1372">
        <f t="shared" si="166"/>
        <v>1.6188868738214444</v>
      </c>
    </row>
    <row r="1373" spans="4:92" x14ac:dyDescent="0.35">
      <c r="D1373">
        <v>4.5250400000000001E-3</v>
      </c>
      <c r="E1373">
        <v>15.0762</v>
      </c>
      <c r="F1373">
        <v>23.436800000000002</v>
      </c>
      <c r="G1373">
        <v>15.252800000000001</v>
      </c>
      <c r="I1373">
        <v>4.5250400000000001E-3</v>
      </c>
      <c r="J1373">
        <f t="shared" si="162"/>
        <v>2.6757915679251426E-2</v>
      </c>
      <c r="K1373">
        <v>0.12438472851824277</v>
      </c>
      <c r="L1373">
        <v>5.0146218532859381E-2</v>
      </c>
      <c r="N1373">
        <v>4.5250400000000001E-3</v>
      </c>
      <c r="O1373">
        <f t="shared" si="163"/>
        <v>0.12438472851824277</v>
      </c>
      <c r="Q1373">
        <v>4.5250400000000001E-3</v>
      </c>
      <c r="R1373">
        <f t="shared" si="164"/>
        <v>5.0146218532859381E-2</v>
      </c>
      <c r="CH1373">
        <v>4.1888400000000001E-3</v>
      </c>
      <c r="CI1373">
        <v>33.383200000000002</v>
      </c>
      <c r="CJ1373">
        <f t="shared" si="165"/>
        <v>2594.5090871894404</v>
      </c>
      <c r="CL1373">
        <v>4.1888400000000001E-3</v>
      </c>
      <c r="CM1373">
        <v>2.409E-2</v>
      </c>
      <c r="CN1373">
        <f t="shared" si="166"/>
        <v>1.8722508300700238</v>
      </c>
    </row>
    <row r="1374" spans="4:92" x14ac:dyDescent="0.35">
      <c r="D1374">
        <v>4.5836399999999999E-3</v>
      </c>
      <c r="E1374">
        <v>14.9741</v>
      </c>
      <c r="F1374">
        <v>23.9955</v>
      </c>
      <c r="G1374">
        <v>15.402100000000001</v>
      </c>
      <c r="I1374">
        <v>4.5836399999999999E-3</v>
      </c>
      <c r="J1374">
        <f t="shared" si="162"/>
        <v>2.6576704021748103E-2</v>
      </c>
      <c r="K1374">
        <v>0.12734988365133015</v>
      </c>
      <c r="L1374">
        <v>5.0637068109786625E-2</v>
      </c>
      <c r="N1374">
        <v>4.5836399999999999E-3</v>
      </c>
      <c r="O1374">
        <f t="shared" si="163"/>
        <v>0.12734988365133015</v>
      </c>
      <c r="Q1374">
        <v>4.5836399999999999E-3</v>
      </c>
      <c r="R1374">
        <f t="shared" si="164"/>
        <v>5.0637068109786625E-2</v>
      </c>
      <c r="CH1374">
        <v>4.2430899999999997E-3</v>
      </c>
      <c r="CI1374">
        <v>34.534199999999998</v>
      </c>
      <c r="CJ1374">
        <f t="shared" si="165"/>
        <v>2683.9636619262851</v>
      </c>
      <c r="CL1374">
        <v>4.2430899999999997E-3</v>
      </c>
      <c r="CM1374">
        <v>1.9120000000000002E-2</v>
      </c>
      <c r="CN1374">
        <f t="shared" si="166"/>
        <v>1.4859873752984165</v>
      </c>
    </row>
    <row r="1375" spans="4:92" x14ac:dyDescent="0.35">
      <c r="D1375">
        <v>4.6430000000000004E-3</v>
      </c>
      <c r="E1375">
        <v>14.9764</v>
      </c>
      <c r="F1375">
        <v>24.631499999999999</v>
      </c>
      <c r="G1375">
        <v>15.1721</v>
      </c>
      <c r="I1375">
        <v>4.6430000000000004E-3</v>
      </c>
      <c r="J1375">
        <f t="shared" si="162"/>
        <v>2.6580786164865221E-2</v>
      </c>
      <c r="K1375">
        <v>0.13072528845649134</v>
      </c>
      <c r="L1375">
        <v>4.9880903322825701E-2</v>
      </c>
      <c r="N1375">
        <v>4.6430000000000004E-3</v>
      </c>
      <c r="O1375">
        <f t="shared" si="163"/>
        <v>0.13072528845649134</v>
      </c>
      <c r="Q1375">
        <v>4.6430000000000004E-3</v>
      </c>
      <c r="R1375">
        <f t="shared" si="164"/>
        <v>4.9880903322825701E-2</v>
      </c>
      <c r="CH1375">
        <v>4.2980400000000004E-3</v>
      </c>
      <c r="CI1375">
        <v>33.249600000000001</v>
      </c>
      <c r="CJ1375">
        <f t="shared" si="165"/>
        <v>2584.1258281235478</v>
      </c>
      <c r="CL1375">
        <v>4.2980400000000004E-3</v>
      </c>
      <c r="CM1375">
        <v>2.3470000000000001E-2</v>
      </c>
      <c r="CN1375">
        <f t="shared" si="166"/>
        <v>1.8240650469798032</v>
      </c>
    </row>
    <row r="1376" spans="4:92" x14ac:dyDescent="0.35">
      <c r="D1376">
        <v>4.7031299999999998E-3</v>
      </c>
      <c r="E1376">
        <v>14.8058</v>
      </c>
      <c r="F1376">
        <v>22.636199999999999</v>
      </c>
      <c r="G1376">
        <v>15.331200000000001</v>
      </c>
      <c r="I1376">
        <v>4.7031299999999998E-3</v>
      </c>
      <c r="J1376">
        <f t="shared" si="162"/>
        <v>2.6277997636265156E-2</v>
      </c>
      <c r="K1376">
        <v>0.12013575196633698</v>
      </c>
      <c r="L1376">
        <v>5.040397209502346E-2</v>
      </c>
      <c r="N1376">
        <v>4.7031299999999998E-3</v>
      </c>
      <c r="O1376">
        <f t="shared" si="163"/>
        <v>0.12013575196633698</v>
      </c>
      <c r="Q1376">
        <v>4.7031299999999998E-3</v>
      </c>
      <c r="R1376">
        <f t="shared" si="164"/>
        <v>5.040397209502346E-2</v>
      </c>
      <c r="CH1376">
        <v>4.3537000000000003E-3</v>
      </c>
      <c r="CI1376">
        <v>34.577300000000001</v>
      </c>
      <c r="CJ1376">
        <f t="shared" si="165"/>
        <v>2687.3133510411058</v>
      </c>
      <c r="CL1376">
        <v>4.3537000000000003E-3</v>
      </c>
      <c r="CM1376">
        <v>1.9050000000000001E-2</v>
      </c>
      <c r="CN1376">
        <f t="shared" si="166"/>
        <v>1.4805470449495206</v>
      </c>
    </row>
    <row r="1377" spans="4:92" x14ac:dyDescent="0.35">
      <c r="D1377">
        <v>4.7640299999999998E-3</v>
      </c>
      <c r="E1377">
        <v>15.0405</v>
      </c>
      <c r="F1377">
        <v>23.5688</v>
      </c>
      <c r="G1377">
        <v>15.600199999999999</v>
      </c>
      <c r="I1377">
        <v>4.7640299999999998E-3</v>
      </c>
      <c r="J1377">
        <f t="shared" si="162"/>
        <v>2.6694553718694437E-2</v>
      </c>
      <c r="K1377">
        <v>0.12508528423252149</v>
      </c>
      <c r="L1377">
        <v>5.1288356128469055E-2</v>
      </c>
      <c r="N1377">
        <v>4.7640299999999998E-3</v>
      </c>
      <c r="O1377">
        <f t="shared" si="163"/>
        <v>0.12508528423252149</v>
      </c>
      <c r="Q1377">
        <v>4.7640299999999998E-3</v>
      </c>
      <c r="R1377">
        <f t="shared" si="164"/>
        <v>5.1288356128469055E-2</v>
      </c>
      <c r="CH1377">
        <v>4.4100800000000002E-3</v>
      </c>
      <c r="CI1377">
        <v>34.187600000000003</v>
      </c>
      <c r="CJ1377">
        <f t="shared" si="165"/>
        <v>2657.0262547987527</v>
      </c>
      <c r="CL1377">
        <v>4.4100800000000002E-3</v>
      </c>
      <c r="CM1377">
        <v>1.7649999999999999E-2</v>
      </c>
      <c r="CN1377">
        <f t="shared" si="166"/>
        <v>1.3717404379716029</v>
      </c>
    </row>
    <row r="1378" spans="4:92" x14ac:dyDescent="0.35">
      <c r="D1378">
        <v>4.8257300000000003E-3</v>
      </c>
      <c r="E1378">
        <v>15.1783</v>
      </c>
      <c r="F1378">
        <v>24.017800000000001</v>
      </c>
      <c r="G1378">
        <v>15.0002</v>
      </c>
      <c r="I1378">
        <v>4.8257300000000003E-3</v>
      </c>
      <c r="J1378">
        <f t="shared" si="162"/>
        <v>2.6939127336754746E-2</v>
      </c>
      <c r="K1378">
        <v>0.12746823510912117</v>
      </c>
      <c r="L1378">
        <v>4.9315752336397067E-2</v>
      </c>
      <c r="N1378">
        <v>4.8257300000000003E-3</v>
      </c>
      <c r="O1378">
        <f t="shared" si="163"/>
        <v>0.12746823510912117</v>
      </c>
      <c r="Q1378">
        <v>4.8257300000000003E-3</v>
      </c>
      <c r="R1378">
        <f t="shared" si="164"/>
        <v>4.9315752336397067E-2</v>
      </c>
      <c r="CH1378">
        <v>4.4671900000000002E-3</v>
      </c>
      <c r="CI1378">
        <v>34.677799999999998</v>
      </c>
      <c r="CJ1378">
        <f t="shared" si="165"/>
        <v>2695.1241110420201</v>
      </c>
      <c r="CL1378">
        <v>4.4671900000000002E-3</v>
      </c>
      <c r="CM1378">
        <v>2.3879999999999998E-2</v>
      </c>
      <c r="CN1378">
        <f t="shared" si="166"/>
        <v>1.8559298390233359</v>
      </c>
    </row>
    <row r="1379" spans="4:92" x14ac:dyDescent="0.35">
      <c r="D1379">
        <v>4.8882200000000004E-3</v>
      </c>
      <c r="E1379">
        <v>14.9466</v>
      </c>
      <c r="F1379">
        <v>23.325199999999999</v>
      </c>
      <c r="G1379">
        <v>15.462199999999999</v>
      </c>
      <c r="I1379">
        <v>4.8882200000000004E-3</v>
      </c>
      <c r="J1379">
        <f t="shared" si="162"/>
        <v>2.6527895788826052E-2</v>
      </c>
      <c r="K1379">
        <v>0.12379244050526163</v>
      </c>
      <c r="L1379">
        <v>5.0834657256292499E-2</v>
      </c>
      <c r="N1379">
        <v>4.8882200000000004E-3</v>
      </c>
      <c r="O1379">
        <f t="shared" si="163"/>
        <v>0.12379244050526163</v>
      </c>
      <c r="Q1379">
        <v>4.8882200000000004E-3</v>
      </c>
      <c r="R1379">
        <f t="shared" si="164"/>
        <v>5.0834657256292499E-2</v>
      </c>
      <c r="CH1379">
        <v>4.5250400000000001E-3</v>
      </c>
      <c r="CI1379">
        <v>33.902099999999997</v>
      </c>
      <c r="CJ1379">
        <f t="shared" si="165"/>
        <v>2634.8374788757551</v>
      </c>
      <c r="CL1379">
        <v>4.5250400000000001E-3</v>
      </c>
      <c r="CM1379">
        <v>2.036E-2</v>
      </c>
      <c r="CN1379">
        <f t="shared" si="166"/>
        <v>1.5823589414788577</v>
      </c>
    </row>
    <row r="1380" spans="4:92" x14ac:dyDescent="0.35">
      <c r="D1380">
        <v>4.9515200000000001E-3</v>
      </c>
      <c r="E1380">
        <v>14.889099999999999</v>
      </c>
      <c r="F1380">
        <v>23.504100000000001</v>
      </c>
      <c r="G1380">
        <v>15.706300000000001</v>
      </c>
      <c r="I1380">
        <v>4.9515200000000001E-3</v>
      </c>
      <c r="J1380">
        <f t="shared" si="162"/>
        <v>2.6425842210898127E-2</v>
      </c>
      <c r="K1380">
        <v>0.12474190578771974</v>
      </c>
      <c r="L1380">
        <v>5.1637178232367124E-2</v>
      </c>
      <c r="N1380">
        <v>4.9515200000000001E-3</v>
      </c>
      <c r="O1380">
        <f t="shared" si="163"/>
        <v>0.12474190578771974</v>
      </c>
      <c r="Q1380">
        <v>4.9515200000000001E-3</v>
      </c>
      <c r="R1380">
        <f t="shared" si="164"/>
        <v>5.1637178232367124E-2</v>
      </c>
      <c r="CH1380">
        <v>4.5836399999999999E-3</v>
      </c>
      <c r="CI1380">
        <v>33.051200000000001</v>
      </c>
      <c r="CJ1380">
        <f t="shared" si="165"/>
        <v>2568.7063775346769</v>
      </c>
      <c r="CL1380">
        <v>4.5836399999999999E-3</v>
      </c>
      <c r="CM1380">
        <v>1.9130000000000001E-2</v>
      </c>
      <c r="CN1380">
        <f t="shared" si="166"/>
        <v>1.4867645653482588</v>
      </c>
    </row>
    <row r="1381" spans="4:92" x14ac:dyDescent="0.35">
      <c r="D1381">
        <v>5.01565E-3</v>
      </c>
      <c r="E1381">
        <v>15.0777</v>
      </c>
      <c r="F1381">
        <v>23.645499999999998</v>
      </c>
      <c r="G1381">
        <v>15.1592</v>
      </c>
      <c r="I1381">
        <v>5.01565E-3</v>
      </c>
      <c r="J1381">
        <f t="shared" si="162"/>
        <v>2.6760577946501718E-2</v>
      </c>
      <c r="K1381">
        <v>0.1254923495604395</v>
      </c>
      <c r="L1381">
        <v>4.9838492341296149E-2</v>
      </c>
      <c r="N1381">
        <v>5.01565E-3</v>
      </c>
      <c r="O1381">
        <f t="shared" si="163"/>
        <v>0.1254923495604395</v>
      </c>
      <c r="Q1381">
        <v>5.01565E-3</v>
      </c>
      <c r="R1381">
        <f t="shared" si="164"/>
        <v>4.9838492341296149E-2</v>
      </c>
      <c r="CH1381">
        <v>4.6430000000000004E-3</v>
      </c>
      <c r="CI1381">
        <v>33.441000000000003</v>
      </c>
      <c r="CJ1381">
        <f t="shared" si="165"/>
        <v>2599.0012456775289</v>
      </c>
      <c r="CL1381">
        <v>4.6430000000000004E-3</v>
      </c>
      <c r="CM1381">
        <v>1.823E-2</v>
      </c>
      <c r="CN1381">
        <f t="shared" si="166"/>
        <v>1.4168174608624546</v>
      </c>
    </row>
    <row r="1382" spans="4:92" x14ac:dyDescent="0.35">
      <c r="D1382">
        <v>5.0806000000000002E-3</v>
      </c>
      <c r="E1382">
        <v>15.0908</v>
      </c>
      <c r="F1382">
        <v>23.695499999999999</v>
      </c>
      <c r="G1382">
        <v>15.087899999999999</v>
      </c>
      <c r="I1382">
        <v>5.0806000000000002E-3</v>
      </c>
      <c r="J1382">
        <f t="shared" si="162"/>
        <v>2.6783828413820949E-2</v>
      </c>
      <c r="K1382">
        <v>0.12575771157342391</v>
      </c>
      <c r="L1382">
        <v>4.9604081257338256E-2</v>
      </c>
      <c r="N1382">
        <v>5.0806000000000002E-3</v>
      </c>
      <c r="O1382">
        <f t="shared" si="163"/>
        <v>0.12575771157342391</v>
      </c>
      <c r="Q1382">
        <v>5.0806000000000002E-3</v>
      </c>
      <c r="R1382">
        <f t="shared" si="164"/>
        <v>4.9604081257338256E-2</v>
      </c>
      <c r="CH1382">
        <v>4.7031299999999998E-3</v>
      </c>
      <c r="CI1382">
        <v>33.679099999999998</v>
      </c>
      <c r="CJ1382">
        <f t="shared" si="165"/>
        <v>2617.5061407642729</v>
      </c>
      <c r="CL1382">
        <v>4.7031299999999998E-3</v>
      </c>
      <c r="CM1382">
        <v>2.2030000000000001E-2</v>
      </c>
      <c r="CN1382">
        <f t="shared" si="166"/>
        <v>1.7121496798025166</v>
      </c>
    </row>
    <row r="1383" spans="4:92" x14ac:dyDescent="0.35">
      <c r="D1383">
        <v>5.1463899999999998E-3</v>
      </c>
      <c r="E1383">
        <v>15.222300000000001</v>
      </c>
      <c r="F1383">
        <v>24.380500000000001</v>
      </c>
      <c r="G1383">
        <v>15.416</v>
      </c>
      <c r="I1383">
        <v>5.1463899999999998E-3</v>
      </c>
      <c r="J1383">
        <f t="shared" si="162"/>
        <v>2.7017220509430024E-2</v>
      </c>
      <c r="K1383">
        <v>0.1293931711513098</v>
      </c>
      <c r="L1383">
        <v>5.0682766764302965E-2</v>
      </c>
      <c r="N1383">
        <v>5.1463899999999998E-3</v>
      </c>
      <c r="O1383">
        <f t="shared" si="163"/>
        <v>0.1293931711513098</v>
      </c>
      <c r="Q1383">
        <v>5.1463899999999998E-3</v>
      </c>
      <c r="R1383">
        <f t="shared" si="164"/>
        <v>5.0682766764302965E-2</v>
      </c>
      <c r="CH1383">
        <v>4.7640299999999998E-3</v>
      </c>
      <c r="CI1383">
        <v>34.397599999999997</v>
      </c>
      <c r="CJ1383">
        <f t="shared" si="165"/>
        <v>2673.3472458454398</v>
      </c>
      <c r="CL1383">
        <v>4.7640299999999998E-3</v>
      </c>
      <c r="CM1383">
        <v>2.215E-2</v>
      </c>
      <c r="CN1383">
        <f t="shared" si="166"/>
        <v>1.7214759604006236</v>
      </c>
    </row>
    <row r="1384" spans="4:92" x14ac:dyDescent="0.35">
      <c r="D1384">
        <v>5.2130400000000004E-3</v>
      </c>
      <c r="E1384">
        <v>14.911199999999999</v>
      </c>
      <c r="F1384">
        <v>23.641500000000001</v>
      </c>
      <c r="G1384">
        <v>15.3347</v>
      </c>
      <c r="I1384">
        <v>5.2130400000000004E-3</v>
      </c>
      <c r="J1384">
        <f t="shared" si="162"/>
        <v>2.6465066281719119E-2</v>
      </c>
      <c r="K1384">
        <v>0.1254711205994008</v>
      </c>
      <c r="L1384">
        <v>5.0415478950477204E-2</v>
      </c>
      <c r="N1384">
        <v>5.2130400000000004E-3</v>
      </c>
      <c r="O1384">
        <f t="shared" si="163"/>
        <v>0.1254711205994008</v>
      </c>
      <c r="Q1384">
        <v>5.2130400000000004E-3</v>
      </c>
      <c r="R1384">
        <f t="shared" si="164"/>
        <v>5.0415478950477204E-2</v>
      </c>
      <c r="CH1384">
        <v>4.8257300000000003E-3</v>
      </c>
      <c r="CI1384">
        <v>33.786700000000003</v>
      </c>
      <c r="CJ1384">
        <f t="shared" si="165"/>
        <v>2625.8687057005759</v>
      </c>
      <c r="CL1384">
        <v>4.8257300000000003E-3</v>
      </c>
      <c r="CM1384">
        <v>2.164E-2</v>
      </c>
      <c r="CN1384">
        <f t="shared" si="166"/>
        <v>1.681839267858668</v>
      </c>
    </row>
    <row r="1385" spans="4:92" x14ac:dyDescent="0.35">
      <c r="D1385">
        <v>5.2805500000000002E-3</v>
      </c>
      <c r="E1385">
        <v>14.997199999999999</v>
      </c>
      <c r="F1385">
        <v>24.429300000000001</v>
      </c>
      <c r="G1385">
        <v>15.41</v>
      </c>
      <c r="I1385">
        <v>5.2805500000000002E-3</v>
      </c>
      <c r="J1385">
        <f t="shared" si="162"/>
        <v>2.6617702937402624E-2</v>
      </c>
      <c r="K1385">
        <v>0.12965216447598255</v>
      </c>
      <c r="L1385">
        <v>5.0663040726382239E-2</v>
      </c>
      <c r="N1385">
        <v>5.2805500000000002E-3</v>
      </c>
      <c r="O1385">
        <f t="shared" si="163"/>
        <v>0.12965216447598255</v>
      </c>
      <c r="Q1385">
        <v>5.2805500000000002E-3</v>
      </c>
      <c r="R1385">
        <f t="shared" si="164"/>
        <v>5.0663040726382239E-2</v>
      </c>
      <c r="CH1385">
        <v>4.8882200000000004E-3</v>
      </c>
      <c r="CI1385">
        <v>34.151899999999998</v>
      </c>
      <c r="CJ1385">
        <f t="shared" si="165"/>
        <v>2654.2516863208152</v>
      </c>
      <c r="CL1385">
        <v>4.8882200000000004E-3</v>
      </c>
      <c r="CM1385">
        <v>1.7010000000000001E-2</v>
      </c>
      <c r="CN1385">
        <f t="shared" si="166"/>
        <v>1.3220002747816979</v>
      </c>
    </row>
    <row r="1386" spans="4:92" x14ac:dyDescent="0.35">
      <c r="D1386">
        <v>5.34893E-3</v>
      </c>
      <c r="E1386">
        <v>14.8491</v>
      </c>
      <c r="F1386">
        <v>24.067699999999999</v>
      </c>
      <c r="G1386">
        <v>15.302099999999999</v>
      </c>
      <c r="I1386">
        <v>5.34893E-3</v>
      </c>
      <c r="J1386">
        <f t="shared" si="162"/>
        <v>2.6354848417556965E-2</v>
      </c>
      <c r="K1386">
        <v>0.12773306639807958</v>
      </c>
      <c r="L1386">
        <v>5.0308300811107959E-2</v>
      </c>
      <c r="N1386">
        <v>5.34893E-3</v>
      </c>
      <c r="O1386">
        <f t="shared" si="163"/>
        <v>0.12773306639807958</v>
      </c>
      <c r="Q1386">
        <v>5.34893E-3</v>
      </c>
      <c r="R1386">
        <f t="shared" si="164"/>
        <v>5.0308300811107959E-2</v>
      </c>
      <c r="CH1386">
        <v>4.9515200000000001E-3</v>
      </c>
      <c r="CI1386">
        <v>33.121200000000002</v>
      </c>
      <c r="CJ1386">
        <f t="shared" si="165"/>
        <v>2574.1467078835731</v>
      </c>
      <c r="CL1386">
        <v>4.9515200000000001E-3</v>
      </c>
      <c r="CM1386">
        <v>1.746E-2</v>
      </c>
      <c r="CN1386">
        <f t="shared" si="166"/>
        <v>1.3569738270245999</v>
      </c>
    </row>
    <row r="1387" spans="4:92" x14ac:dyDescent="0.35">
      <c r="D1387">
        <v>5.4181999999999998E-3</v>
      </c>
      <c r="E1387">
        <v>14.946400000000001</v>
      </c>
      <c r="F1387">
        <v>24.611899999999999</v>
      </c>
      <c r="G1387">
        <v>15.4201</v>
      </c>
      <c r="I1387">
        <v>5.4181999999999998E-3</v>
      </c>
      <c r="J1387">
        <f t="shared" si="162"/>
        <v>2.6527540819859346E-2</v>
      </c>
      <c r="K1387">
        <v>0.13062126654740147</v>
      </c>
      <c r="L1387">
        <v>5.0696246223548784E-2</v>
      </c>
      <c r="N1387">
        <v>5.4181999999999998E-3</v>
      </c>
      <c r="O1387">
        <f t="shared" si="163"/>
        <v>0.13062126654740147</v>
      </c>
      <c r="Q1387">
        <v>5.4181999999999998E-3</v>
      </c>
      <c r="R1387">
        <f t="shared" si="164"/>
        <v>5.0696246223548784E-2</v>
      </c>
      <c r="CH1387">
        <v>5.01565E-3</v>
      </c>
      <c r="CI1387">
        <v>33.391300000000001</v>
      </c>
      <c r="CJ1387">
        <f t="shared" si="165"/>
        <v>2595.1386111298125</v>
      </c>
      <c r="CL1387">
        <v>5.01565E-3</v>
      </c>
      <c r="CM1387">
        <v>2.0320000000000001E-2</v>
      </c>
      <c r="CN1387">
        <f t="shared" si="166"/>
        <v>1.5792501812794888</v>
      </c>
    </row>
    <row r="1388" spans="4:92" x14ac:dyDescent="0.35">
      <c r="D1388">
        <v>5.4883700000000002E-3</v>
      </c>
      <c r="E1388">
        <v>14.7896</v>
      </c>
      <c r="F1388">
        <v>23.4343</v>
      </c>
      <c r="G1388">
        <v>15.3003</v>
      </c>
      <c r="I1388">
        <v>5.4883700000000002E-3</v>
      </c>
      <c r="J1388">
        <f t="shared" si="162"/>
        <v>2.6249245149961981E-2</v>
      </c>
      <c r="K1388">
        <v>0.12437146041759355</v>
      </c>
      <c r="L1388">
        <v>5.0302382999731741E-2</v>
      </c>
      <c r="N1388">
        <v>5.4883700000000002E-3</v>
      </c>
      <c r="O1388">
        <f t="shared" si="163"/>
        <v>0.12437146041759355</v>
      </c>
      <c r="Q1388">
        <v>5.4883700000000002E-3</v>
      </c>
      <c r="R1388">
        <f t="shared" si="164"/>
        <v>5.0302382999731741E-2</v>
      </c>
      <c r="CH1388">
        <v>5.0806000000000002E-3</v>
      </c>
      <c r="CI1388">
        <v>35.133000000000003</v>
      </c>
      <c r="CJ1388">
        <f t="shared" si="165"/>
        <v>2730.5018021108403</v>
      </c>
      <c r="CL1388">
        <v>5.0806000000000002E-3</v>
      </c>
      <c r="CM1388">
        <v>2.121E-2</v>
      </c>
      <c r="CN1388">
        <f t="shared" si="166"/>
        <v>1.6484200957154505</v>
      </c>
    </row>
    <row r="1389" spans="4:92" x14ac:dyDescent="0.35">
      <c r="D1389">
        <v>5.5594399999999997E-3</v>
      </c>
      <c r="E1389">
        <v>14.721500000000001</v>
      </c>
      <c r="F1389">
        <v>26.3184</v>
      </c>
      <c r="G1389">
        <v>15.4732</v>
      </c>
      <c r="I1389">
        <v>5.5594399999999997E-3</v>
      </c>
      <c r="J1389">
        <f t="shared" si="162"/>
        <v>2.6128378216798653E-2</v>
      </c>
      <c r="K1389">
        <v>0.1396780720505581</v>
      </c>
      <c r="L1389">
        <v>5.0870821659147157E-2</v>
      </c>
      <c r="N1389">
        <v>5.5594399999999997E-3</v>
      </c>
      <c r="O1389">
        <f t="shared" si="163"/>
        <v>0.1396780720505581</v>
      </c>
      <c r="Q1389">
        <v>5.5594399999999997E-3</v>
      </c>
      <c r="R1389">
        <f t="shared" si="164"/>
        <v>5.0870821659147157E-2</v>
      </c>
      <c r="CH1389">
        <v>5.1463899999999998E-3</v>
      </c>
      <c r="CI1389">
        <v>34.050199999999997</v>
      </c>
      <c r="CJ1389">
        <f t="shared" si="165"/>
        <v>2646.3476635139191</v>
      </c>
      <c r="CL1389">
        <v>5.1463899999999998E-3</v>
      </c>
      <c r="CM1389">
        <v>2.2040000000000001E-2</v>
      </c>
      <c r="CN1389">
        <f t="shared" si="166"/>
        <v>1.7129268698523588</v>
      </c>
    </row>
    <row r="1390" spans="4:92" x14ac:dyDescent="0.35">
      <c r="D1390">
        <v>5.6314399999999997E-3</v>
      </c>
      <c r="E1390">
        <v>14.870900000000001</v>
      </c>
      <c r="F1390">
        <v>22.496600000000001</v>
      </c>
      <c r="G1390">
        <v>15.387</v>
      </c>
      <c r="I1390">
        <v>5.6314399999999997E-3</v>
      </c>
      <c r="J1390">
        <f t="shared" si="162"/>
        <v>2.6393540034927901E-2</v>
      </c>
      <c r="K1390">
        <v>0.11939486122608463</v>
      </c>
      <c r="L1390">
        <v>5.0587424247686148E-2</v>
      </c>
      <c r="N1390">
        <v>5.6314399999999997E-3</v>
      </c>
      <c r="O1390">
        <f t="shared" si="163"/>
        <v>0.11939486122608463</v>
      </c>
      <c r="Q1390">
        <v>5.6314399999999997E-3</v>
      </c>
      <c r="R1390">
        <f t="shared" si="164"/>
        <v>5.0587424247686148E-2</v>
      </c>
      <c r="CH1390">
        <v>5.2130400000000004E-3</v>
      </c>
      <c r="CI1390">
        <v>32.834899999999998</v>
      </c>
      <c r="CJ1390">
        <f t="shared" si="165"/>
        <v>2551.8957567565885</v>
      </c>
      <c r="CL1390">
        <v>5.2130400000000004E-3</v>
      </c>
      <c r="CM1390">
        <v>2.036E-2</v>
      </c>
      <c r="CN1390">
        <f t="shared" si="166"/>
        <v>1.5823589414788577</v>
      </c>
    </row>
    <row r="1391" spans="4:92" x14ac:dyDescent="0.35">
      <c r="D1391">
        <v>5.7043700000000003E-3</v>
      </c>
      <c r="E1391">
        <v>15.002000000000001</v>
      </c>
      <c r="F1391">
        <v>24.2347</v>
      </c>
      <c r="G1391">
        <v>15.350199999999999</v>
      </c>
      <c r="I1391">
        <v>5.7043700000000003E-3</v>
      </c>
      <c r="J1391">
        <f t="shared" si="162"/>
        <v>2.6626222192603567E-2</v>
      </c>
      <c r="K1391">
        <v>0.12861937552144737</v>
      </c>
      <c r="L1391">
        <v>5.0466437881772394E-2</v>
      </c>
      <c r="N1391">
        <v>5.7043700000000003E-3</v>
      </c>
      <c r="O1391">
        <f t="shared" si="163"/>
        <v>0.12861937552144737</v>
      </c>
      <c r="Q1391">
        <v>5.7043700000000003E-3</v>
      </c>
      <c r="R1391">
        <f t="shared" si="164"/>
        <v>5.0466437881772394E-2</v>
      </c>
      <c r="CH1391">
        <v>5.2805500000000002E-3</v>
      </c>
      <c r="CI1391">
        <v>34.289700000000003</v>
      </c>
      <c r="CJ1391">
        <f t="shared" si="165"/>
        <v>2664.9613652076423</v>
      </c>
      <c r="CL1391">
        <v>5.2805500000000002E-3</v>
      </c>
      <c r="CM1391">
        <v>2.401E-2</v>
      </c>
      <c r="CN1391">
        <f t="shared" si="166"/>
        <v>1.8660333096712856</v>
      </c>
    </row>
    <row r="1392" spans="4:92" x14ac:dyDescent="0.35">
      <c r="D1392">
        <v>5.7782399999999996E-3</v>
      </c>
      <c r="E1392">
        <v>15.2201</v>
      </c>
      <c r="F1392">
        <v>24.263400000000001</v>
      </c>
      <c r="G1392">
        <v>15.4682</v>
      </c>
      <c r="I1392">
        <v>5.7782399999999996E-3</v>
      </c>
      <c r="J1392">
        <f t="shared" si="162"/>
        <v>2.7013315850796263E-2</v>
      </c>
      <c r="K1392">
        <v>0.12877169331690039</v>
      </c>
      <c r="L1392">
        <v>5.0854383294213226E-2</v>
      </c>
      <c r="N1392">
        <v>5.7782399999999996E-3</v>
      </c>
      <c r="O1392">
        <f t="shared" si="163"/>
        <v>0.12877169331690039</v>
      </c>
      <c r="Q1392">
        <v>5.7782399999999996E-3</v>
      </c>
      <c r="R1392">
        <f t="shared" si="164"/>
        <v>5.0854383294213226E-2</v>
      </c>
      <c r="CH1392">
        <v>5.34893E-3</v>
      </c>
      <c r="CI1392">
        <v>33.554699999999997</v>
      </c>
      <c r="CJ1392">
        <f t="shared" si="165"/>
        <v>2607.8378965442348</v>
      </c>
      <c r="CL1392">
        <v>5.34893E-3</v>
      </c>
      <c r="CM1392">
        <v>1.7409999999999998E-2</v>
      </c>
      <c r="CN1392">
        <f t="shared" si="166"/>
        <v>1.3530878767753884</v>
      </c>
    </row>
    <row r="1393" spans="4:92" x14ac:dyDescent="0.35">
      <c r="D1393">
        <v>5.8530700000000001E-3</v>
      </c>
      <c r="E1393">
        <v>14.9549</v>
      </c>
      <c r="F1393">
        <v>23.392099999999999</v>
      </c>
      <c r="G1393">
        <v>15.2407</v>
      </c>
      <c r="I1393">
        <v>5.8530700000000001E-3</v>
      </c>
      <c r="J1393">
        <f t="shared" si="162"/>
        <v>2.6542627000944344E-2</v>
      </c>
      <c r="K1393">
        <v>0.12414749487863473</v>
      </c>
      <c r="L1393">
        <v>5.0106437689719265E-2</v>
      </c>
      <c r="N1393">
        <v>5.8530700000000001E-3</v>
      </c>
      <c r="O1393">
        <f t="shared" si="163"/>
        <v>0.12414749487863473</v>
      </c>
      <c r="Q1393">
        <v>5.8530700000000001E-3</v>
      </c>
      <c r="R1393">
        <f t="shared" si="164"/>
        <v>5.0106437689719265E-2</v>
      </c>
      <c r="CH1393">
        <v>5.4181999999999998E-3</v>
      </c>
      <c r="CI1393">
        <v>34.0259</v>
      </c>
      <c r="CJ1393">
        <f t="shared" si="165"/>
        <v>2644.4590916928028</v>
      </c>
      <c r="CL1393">
        <v>5.4181999999999998E-3</v>
      </c>
      <c r="CM1393">
        <v>1.7930000000000001E-2</v>
      </c>
      <c r="CN1393">
        <f t="shared" si="166"/>
        <v>1.3935017593671868</v>
      </c>
    </row>
    <row r="1394" spans="4:92" x14ac:dyDescent="0.35">
      <c r="D1394">
        <v>5.9288600000000002E-3</v>
      </c>
      <c r="E1394">
        <v>14.786300000000001</v>
      </c>
      <c r="F1394">
        <v>24.988700000000001</v>
      </c>
      <c r="G1394">
        <v>15.332700000000001</v>
      </c>
      <c r="I1394">
        <v>5.9288600000000002E-3</v>
      </c>
      <c r="J1394">
        <f t="shared" si="162"/>
        <v>2.6243388162011338E-2</v>
      </c>
      <c r="K1394">
        <v>0.13262103467725173</v>
      </c>
      <c r="L1394">
        <v>5.040890360450364E-2</v>
      </c>
      <c r="N1394">
        <v>5.9288600000000002E-3</v>
      </c>
      <c r="O1394">
        <f t="shared" si="163"/>
        <v>0.13262103467725173</v>
      </c>
      <c r="Q1394">
        <v>5.9288600000000002E-3</v>
      </c>
      <c r="R1394">
        <f t="shared" si="164"/>
        <v>5.040890360450364E-2</v>
      </c>
      <c r="CH1394">
        <v>5.4883700000000002E-3</v>
      </c>
      <c r="CI1394">
        <v>33.287100000000002</v>
      </c>
      <c r="CJ1394">
        <f t="shared" si="165"/>
        <v>2587.0402908104561</v>
      </c>
      <c r="CL1394">
        <v>5.4883700000000002E-3</v>
      </c>
      <c r="CM1394">
        <v>1.7389999999999999E-2</v>
      </c>
      <c r="CN1394">
        <f t="shared" si="166"/>
        <v>1.351533496675704</v>
      </c>
    </row>
    <row r="1395" spans="4:92" x14ac:dyDescent="0.35">
      <c r="D1395">
        <v>6.0056399999999996E-3</v>
      </c>
      <c r="E1395">
        <v>15.2477</v>
      </c>
      <c r="F1395">
        <v>23.4937</v>
      </c>
      <c r="G1395">
        <v>15.4068</v>
      </c>
      <c r="I1395">
        <v>6.0056399999999996E-3</v>
      </c>
      <c r="J1395">
        <f t="shared" si="162"/>
        <v>2.7062301568201663E-2</v>
      </c>
      <c r="K1395">
        <v>0.12468671048901897</v>
      </c>
      <c r="L1395">
        <v>5.0652520172824532E-2</v>
      </c>
      <c r="N1395">
        <v>6.0056399999999996E-3</v>
      </c>
      <c r="O1395">
        <f t="shared" si="163"/>
        <v>0.12468671048901897</v>
      </c>
      <c r="Q1395">
        <v>6.0056399999999996E-3</v>
      </c>
      <c r="R1395">
        <f t="shared" si="164"/>
        <v>5.0652520172824532E-2</v>
      </c>
      <c r="CH1395">
        <v>5.5594399999999997E-3</v>
      </c>
      <c r="CI1395">
        <v>34.308199999999999</v>
      </c>
      <c r="CJ1395">
        <f t="shared" si="165"/>
        <v>2666.3991667998498</v>
      </c>
      <c r="CL1395">
        <v>5.5594399999999997E-3</v>
      </c>
      <c r="CM1395">
        <v>1.704E-2</v>
      </c>
      <c r="CN1395">
        <f t="shared" si="166"/>
        <v>1.3243318449312247</v>
      </c>
    </row>
    <row r="1396" spans="4:92" x14ac:dyDescent="0.35">
      <c r="D1396">
        <v>6.08342E-3</v>
      </c>
      <c r="E1396">
        <v>15.0471</v>
      </c>
      <c r="F1396">
        <v>27.0031</v>
      </c>
      <c r="G1396">
        <v>15.5753</v>
      </c>
      <c r="I1396">
        <v>6.08342E-3</v>
      </c>
      <c r="J1396">
        <f t="shared" si="162"/>
        <v>2.6706267694595727E-2</v>
      </c>
      <c r="K1396">
        <v>0.14331193945636611</v>
      </c>
      <c r="L1396">
        <v>5.1206493071098071E-2</v>
      </c>
      <c r="N1396">
        <v>6.08342E-3</v>
      </c>
      <c r="O1396">
        <f t="shared" si="163"/>
        <v>0.14331193945636611</v>
      </c>
      <c r="Q1396">
        <v>6.08342E-3</v>
      </c>
      <c r="R1396">
        <f t="shared" si="164"/>
        <v>5.1206493071098071E-2</v>
      </c>
      <c r="CH1396">
        <v>5.6314399999999997E-3</v>
      </c>
      <c r="CI1396">
        <v>33.930199999999999</v>
      </c>
      <c r="CJ1396">
        <f t="shared" si="165"/>
        <v>2637.0213829158124</v>
      </c>
      <c r="CL1396">
        <v>5.6314399999999997E-3</v>
      </c>
      <c r="CM1396">
        <v>2.1930000000000002E-2</v>
      </c>
      <c r="CN1396">
        <f t="shared" si="166"/>
        <v>1.704377779304094</v>
      </c>
    </row>
    <row r="1397" spans="4:92" x14ac:dyDescent="0.35">
      <c r="D1397">
        <v>6.1621999999999996E-3</v>
      </c>
      <c r="E1397">
        <v>14.925800000000001</v>
      </c>
      <c r="F1397">
        <v>22.621400000000001</v>
      </c>
      <c r="G1397">
        <v>15.2765</v>
      </c>
      <c r="I1397">
        <v>6.1621999999999996E-3</v>
      </c>
      <c r="J1397">
        <f t="shared" si="162"/>
        <v>2.6490979016288645E-2</v>
      </c>
      <c r="K1397">
        <v>0.12005720481049363</v>
      </c>
      <c r="L1397">
        <v>5.0224136382646223E-2</v>
      </c>
      <c r="N1397">
        <v>6.1621999999999996E-3</v>
      </c>
      <c r="O1397">
        <f t="shared" si="163"/>
        <v>0.12005720481049363</v>
      </c>
      <c r="Q1397">
        <v>6.1621999999999996E-3</v>
      </c>
      <c r="R1397">
        <f t="shared" si="164"/>
        <v>5.0224136382646223E-2</v>
      </c>
      <c r="CH1397">
        <v>5.7043700000000003E-3</v>
      </c>
      <c r="CI1397">
        <v>34.534700000000001</v>
      </c>
      <c r="CJ1397">
        <f t="shared" si="165"/>
        <v>2684.0025214287775</v>
      </c>
      <c r="CL1397">
        <v>5.7043700000000003E-3</v>
      </c>
      <c r="CM1397">
        <v>3.5299999999999998E-2</v>
      </c>
      <c r="CN1397">
        <f t="shared" si="166"/>
        <v>2.7434808759432059</v>
      </c>
    </row>
    <row r="1398" spans="4:92" x14ac:dyDescent="0.35">
      <c r="D1398">
        <v>6.2420000000000002E-3</v>
      </c>
      <c r="E1398">
        <v>14.841100000000001</v>
      </c>
      <c r="F1398">
        <v>24.308700000000002</v>
      </c>
      <c r="G1398">
        <v>15.3523</v>
      </c>
      <c r="I1398">
        <v>6.2420000000000002E-3</v>
      </c>
      <c r="J1398">
        <f t="shared" si="162"/>
        <v>2.6340649658888736E-2</v>
      </c>
      <c r="K1398">
        <v>0.12901211130066426</v>
      </c>
      <c r="L1398">
        <v>5.0473341995044656E-2</v>
      </c>
      <c r="N1398">
        <v>6.2420000000000002E-3</v>
      </c>
      <c r="O1398">
        <f t="shared" si="163"/>
        <v>0.12901211130066426</v>
      </c>
      <c r="Q1398">
        <v>6.2420000000000002E-3</v>
      </c>
      <c r="R1398">
        <f t="shared" si="164"/>
        <v>5.0473341995044656E-2</v>
      </c>
      <c r="CH1398">
        <v>5.7782399999999996E-3</v>
      </c>
      <c r="CI1398">
        <v>33.083199999999998</v>
      </c>
      <c r="CJ1398">
        <f t="shared" si="165"/>
        <v>2571.1933856941719</v>
      </c>
      <c r="CL1398">
        <v>5.7782399999999996E-3</v>
      </c>
      <c r="CM1398">
        <v>2.036E-2</v>
      </c>
      <c r="CN1398">
        <f t="shared" si="166"/>
        <v>1.5823589414788577</v>
      </c>
    </row>
    <row r="1399" spans="4:92" x14ac:dyDescent="0.35">
      <c r="D1399">
        <v>6.3228299999999998E-3</v>
      </c>
      <c r="E1399">
        <v>14.774800000000001</v>
      </c>
      <c r="F1399">
        <v>24.680800000000001</v>
      </c>
      <c r="G1399">
        <v>14.986599999999999</v>
      </c>
      <c r="I1399">
        <v>6.3228299999999998E-3</v>
      </c>
      <c r="J1399">
        <f t="shared" si="162"/>
        <v>2.6222977446425755E-2</v>
      </c>
      <c r="K1399">
        <v>0.13098693540129394</v>
      </c>
      <c r="L1399">
        <v>4.9271039983776771E-2</v>
      </c>
      <c r="N1399">
        <v>6.3228299999999998E-3</v>
      </c>
      <c r="O1399">
        <f t="shared" si="163"/>
        <v>0.13098693540129394</v>
      </c>
      <c r="Q1399">
        <v>6.3228299999999998E-3</v>
      </c>
      <c r="R1399">
        <f t="shared" si="164"/>
        <v>4.9271039983776771E-2</v>
      </c>
      <c r="CH1399">
        <v>5.8530700000000001E-3</v>
      </c>
      <c r="CI1399">
        <v>33.594700000000003</v>
      </c>
      <c r="CJ1399">
        <f t="shared" si="165"/>
        <v>2610.9466567436043</v>
      </c>
      <c r="CL1399">
        <v>5.8530700000000001E-3</v>
      </c>
      <c r="CM1399">
        <v>1.7319999999999999E-2</v>
      </c>
      <c r="CN1399">
        <f t="shared" si="166"/>
        <v>1.3460931663268081</v>
      </c>
    </row>
    <row r="1400" spans="4:92" x14ac:dyDescent="0.35">
      <c r="D1400">
        <v>6.4047100000000001E-3</v>
      </c>
      <c r="E1400">
        <v>15.0318</v>
      </c>
      <c r="F1400">
        <v>25.1968</v>
      </c>
      <c r="G1400">
        <v>15.6</v>
      </c>
      <c r="I1400">
        <v>6.4047100000000001E-3</v>
      </c>
      <c r="J1400">
        <f t="shared" si="162"/>
        <v>2.6679112568642731E-2</v>
      </c>
      <c r="K1400">
        <v>0.13372547137529267</v>
      </c>
      <c r="L1400">
        <v>5.1287698593871708E-2</v>
      </c>
      <c r="N1400">
        <v>6.4047100000000001E-3</v>
      </c>
      <c r="O1400">
        <f t="shared" si="163"/>
        <v>0.13372547137529267</v>
      </c>
      <c r="Q1400">
        <v>6.4047100000000001E-3</v>
      </c>
      <c r="R1400">
        <f t="shared" si="164"/>
        <v>5.1287698593871708E-2</v>
      </c>
      <c r="CH1400">
        <v>5.9288600000000002E-3</v>
      </c>
      <c r="CI1400">
        <v>33.230200000000004</v>
      </c>
      <c r="CJ1400">
        <f t="shared" si="165"/>
        <v>2582.6180794268539</v>
      </c>
      <c r="CL1400">
        <v>5.9288600000000002E-3</v>
      </c>
      <c r="CM1400">
        <v>1.712E-2</v>
      </c>
      <c r="CN1400">
        <f t="shared" si="166"/>
        <v>1.3305493653299629</v>
      </c>
    </row>
    <row r="1401" spans="4:92" x14ac:dyDescent="0.35">
      <c r="D1401">
        <v>6.4876600000000001E-3</v>
      </c>
      <c r="E1401">
        <v>15.043699999999999</v>
      </c>
      <c r="F1401">
        <v>23.836099999999998</v>
      </c>
      <c r="G1401">
        <v>15.257400000000001</v>
      </c>
      <c r="I1401">
        <v>6.4876600000000001E-3</v>
      </c>
      <c r="J1401">
        <f t="shared" si="162"/>
        <v>2.6700233222161727E-2</v>
      </c>
      <c r="K1401">
        <v>0.12650390955393595</v>
      </c>
      <c r="L1401">
        <v>5.0161341828598605E-2</v>
      </c>
      <c r="N1401">
        <v>6.4876600000000001E-3</v>
      </c>
      <c r="O1401">
        <f t="shared" si="163"/>
        <v>0.12650390955393595</v>
      </c>
      <c r="Q1401">
        <v>6.4876600000000001E-3</v>
      </c>
      <c r="R1401">
        <f t="shared" si="164"/>
        <v>5.0161341828598605E-2</v>
      </c>
      <c r="CH1401">
        <v>6.0056399999999996E-3</v>
      </c>
      <c r="CI1401">
        <v>34.291699999999999</v>
      </c>
      <c r="CJ1401">
        <f t="shared" si="165"/>
        <v>2665.1168032176101</v>
      </c>
      <c r="CL1401">
        <v>6.0056399999999996E-3</v>
      </c>
      <c r="CM1401">
        <v>2.0740000000000001E-2</v>
      </c>
      <c r="CN1401">
        <f t="shared" si="166"/>
        <v>1.611892163372864</v>
      </c>
    </row>
    <row r="1402" spans="4:92" x14ac:dyDescent="0.35">
      <c r="D1402">
        <v>6.5716699999999999E-3</v>
      </c>
      <c r="E1402">
        <v>15.2707</v>
      </c>
      <c r="F1402">
        <v>25.795500000000001</v>
      </c>
      <c r="G1402">
        <v>15.4247</v>
      </c>
      <c r="I1402">
        <v>6.5716699999999999E-3</v>
      </c>
      <c r="J1402">
        <f t="shared" si="162"/>
        <v>2.7103122999372835E-2</v>
      </c>
      <c r="K1402">
        <v>0.13690291611876754</v>
      </c>
      <c r="L1402">
        <v>5.0711369519288001E-2</v>
      </c>
      <c r="N1402">
        <v>6.5716699999999999E-3</v>
      </c>
      <c r="O1402">
        <f t="shared" si="163"/>
        <v>0.13690291611876754</v>
      </c>
      <c r="Q1402">
        <v>6.5716699999999999E-3</v>
      </c>
      <c r="R1402">
        <f t="shared" si="164"/>
        <v>5.0711369519288001E-2</v>
      </c>
      <c r="CH1402">
        <v>6.08342E-3</v>
      </c>
      <c r="CI1402">
        <v>34.207700000000003</v>
      </c>
      <c r="CJ1402">
        <f t="shared" si="165"/>
        <v>2658.5884067989355</v>
      </c>
      <c r="CL1402">
        <v>6.08342E-3</v>
      </c>
      <c r="CM1402">
        <v>2.053E-2</v>
      </c>
      <c r="CN1402">
        <f t="shared" si="166"/>
        <v>1.5955711723261763</v>
      </c>
    </row>
    <row r="1403" spans="4:92" x14ac:dyDescent="0.35">
      <c r="D1403">
        <v>6.6567800000000002E-3</v>
      </c>
      <c r="E1403">
        <v>15.072699999999999</v>
      </c>
      <c r="F1403">
        <v>26.168900000000001</v>
      </c>
      <c r="G1403">
        <v>15.7547</v>
      </c>
      <c r="I1403">
        <v>6.6567800000000002E-3</v>
      </c>
      <c r="J1403">
        <f t="shared" si="162"/>
        <v>2.6751703722334073E-2</v>
      </c>
      <c r="K1403">
        <v>0.13888463963173484</v>
      </c>
      <c r="L1403">
        <v>5.1796301604927597E-2</v>
      </c>
      <c r="N1403">
        <v>6.6567800000000002E-3</v>
      </c>
      <c r="O1403">
        <f t="shared" si="163"/>
        <v>0.13888463963173484</v>
      </c>
      <c r="Q1403">
        <v>6.6567800000000002E-3</v>
      </c>
      <c r="R1403">
        <f t="shared" si="164"/>
        <v>5.1796301604927597E-2</v>
      </c>
      <c r="CH1403">
        <v>6.1621999999999996E-3</v>
      </c>
      <c r="CI1403">
        <v>34.553800000000003</v>
      </c>
      <c r="CJ1403">
        <f t="shared" si="165"/>
        <v>2685.4869544239764</v>
      </c>
      <c r="CL1403">
        <v>6.1621999999999996E-3</v>
      </c>
      <c r="CM1403">
        <v>1.9689999999999999E-2</v>
      </c>
      <c r="CN1403">
        <f t="shared" si="166"/>
        <v>1.5302872081394256</v>
      </c>
    </row>
    <row r="1404" spans="4:92" x14ac:dyDescent="0.35">
      <c r="D1404">
        <v>6.74298E-3</v>
      </c>
      <c r="E1404">
        <v>14.9414</v>
      </c>
      <c r="F1404">
        <v>24.218</v>
      </c>
      <c r="G1404">
        <v>15.4611</v>
      </c>
      <c r="I1404">
        <v>6.74298E-3</v>
      </c>
      <c r="J1404">
        <f t="shared" si="162"/>
        <v>2.6518666595691697E-2</v>
      </c>
      <c r="K1404">
        <v>0.1285307446091106</v>
      </c>
      <c r="L1404">
        <v>5.0831040816007041E-2</v>
      </c>
      <c r="N1404">
        <v>6.74298E-3</v>
      </c>
      <c r="O1404">
        <f t="shared" si="163"/>
        <v>0.1285307446091106</v>
      </c>
      <c r="Q1404">
        <v>6.74298E-3</v>
      </c>
      <c r="R1404">
        <f t="shared" si="164"/>
        <v>5.0831040816007041E-2</v>
      </c>
      <c r="CH1404">
        <v>6.2420000000000002E-3</v>
      </c>
      <c r="CI1404">
        <v>33.6753</v>
      </c>
      <c r="CJ1404">
        <f t="shared" si="165"/>
        <v>2617.2108085453328</v>
      </c>
      <c r="CL1404">
        <v>6.2420000000000002E-3</v>
      </c>
      <c r="CM1404">
        <v>1.9779999999999999E-2</v>
      </c>
      <c r="CN1404">
        <f t="shared" si="166"/>
        <v>1.537281918588006</v>
      </c>
    </row>
    <row r="1405" spans="4:92" x14ac:dyDescent="0.35">
      <c r="D1405">
        <v>6.8303000000000001E-3</v>
      </c>
      <c r="E1405">
        <v>15.135</v>
      </c>
      <c r="F1405">
        <v>24.833200000000001</v>
      </c>
      <c r="G1405">
        <v>15.499599999999999</v>
      </c>
      <c r="I1405">
        <v>6.8303000000000001E-3</v>
      </c>
      <c r="J1405">
        <f t="shared" si="162"/>
        <v>2.6862276555462933E-2</v>
      </c>
      <c r="K1405">
        <v>0.13179575881687033</v>
      </c>
      <c r="L1405">
        <v>5.0957616225998321E-2</v>
      </c>
      <c r="N1405">
        <v>6.8303000000000001E-3</v>
      </c>
      <c r="O1405">
        <f t="shared" si="163"/>
        <v>0.13179575881687033</v>
      </c>
      <c r="Q1405">
        <v>6.8303000000000001E-3</v>
      </c>
      <c r="R1405">
        <f t="shared" si="164"/>
        <v>5.0957616225998321E-2</v>
      </c>
      <c r="CH1405">
        <v>6.3228299999999998E-3</v>
      </c>
      <c r="CI1405">
        <v>33.806600000000003</v>
      </c>
      <c r="CJ1405">
        <f t="shared" si="165"/>
        <v>2627.4153138997622</v>
      </c>
      <c r="CL1405">
        <v>6.3228299999999998E-3</v>
      </c>
      <c r="CM1405">
        <v>1.9820000000000001E-2</v>
      </c>
      <c r="CN1405">
        <f t="shared" si="166"/>
        <v>1.5403906787873753</v>
      </c>
    </row>
    <row r="1406" spans="4:92" x14ac:dyDescent="0.35">
      <c r="D1406">
        <v>6.9187600000000004E-3</v>
      </c>
      <c r="E1406">
        <v>14.914199999999999</v>
      </c>
      <c r="F1406">
        <v>24.3368</v>
      </c>
      <c r="G1406">
        <v>15.2866</v>
      </c>
      <c r="I1406">
        <v>6.9187600000000004E-3</v>
      </c>
      <c r="J1406">
        <f t="shared" si="162"/>
        <v>2.6470390816219706E-2</v>
      </c>
      <c r="K1406">
        <v>0.12916124475196145</v>
      </c>
      <c r="L1406">
        <v>5.0257341879812768E-2</v>
      </c>
      <c r="N1406">
        <v>6.9187600000000004E-3</v>
      </c>
      <c r="O1406">
        <f t="shared" si="163"/>
        <v>0.12916124475196145</v>
      </c>
      <c r="Q1406">
        <v>6.9187600000000004E-3</v>
      </c>
      <c r="R1406">
        <f t="shared" si="164"/>
        <v>5.0257341879812768E-2</v>
      </c>
      <c r="CH1406">
        <v>6.4047100000000001E-3</v>
      </c>
      <c r="CI1406">
        <v>34.328699999999998</v>
      </c>
      <c r="CJ1406">
        <f t="shared" si="165"/>
        <v>2667.9924064020265</v>
      </c>
      <c r="CL1406">
        <v>6.4047100000000001E-3</v>
      </c>
      <c r="CM1406">
        <v>2.102E-2</v>
      </c>
      <c r="CN1406">
        <f t="shared" si="166"/>
        <v>1.6336534847684474</v>
      </c>
    </row>
    <row r="1407" spans="4:92" x14ac:dyDescent="0.35">
      <c r="D1407">
        <v>7.00835E-3</v>
      </c>
      <c r="E1407">
        <v>15.252599999999999</v>
      </c>
      <c r="F1407">
        <v>24.514199999999999</v>
      </c>
      <c r="G1407">
        <v>15.6569</v>
      </c>
      <c r="I1407">
        <v>7.00835E-3</v>
      </c>
      <c r="J1407">
        <f t="shared" si="162"/>
        <v>2.7070998307885955E-2</v>
      </c>
      <c r="K1407">
        <v>0.13010274917403</v>
      </c>
      <c r="L1407">
        <v>5.147476718681987E-2</v>
      </c>
      <c r="N1407">
        <v>7.00835E-3</v>
      </c>
      <c r="O1407">
        <f t="shared" si="163"/>
        <v>0.13010274917403</v>
      </c>
      <c r="Q1407">
        <v>7.00835E-3</v>
      </c>
      <c r="R1407">
        <f t="shared" si="164"/>
        <v>5.147476718681987E-2</v>
      </c>
      <c r="CH1407">
        <v>6.4876600000000001E-3</v>
      </c>
      <c r="CI1407">
        <v>34.2254</v>
      </c>
      <c r="CJ1407">
        <f t="shared" si="165"/>
        <v>2659.964033187156</v>
      </c>
      <c r="CL1407">
        <v>6.4876600000000001E-3</v>
      </c>
      <c r="CM1407">
        <v>2.402E-2</v>
      </c>
      <c r="CN1407">
        <f t="shared" si="166"/>
        <v>1.8668104997211279</v>
      </c>
    </row>
    <row r="1408" spans="4:92" x14ac:dyDescent="0.35">
      <c r="D1408">
        <v>7.0991099999999996E-3</v>
      </c>
      <c r="E1408">
        <v>14.898300000000001</v>
      </c>
      <c r="F1408">
        <v>25.646000000000001</v>
      </c>
      <c r="G1408">
        <v>15.356999999999999</v>
      </c>
      <c r="I1408">
        <v>7.0991099999999996E-3</v>
      </c>
      <c r="J1408">
        <f t="shared" si="162"/>
        <v>2.6442170783366598E-2</v>
      </c>
      <c r="K1408">
        <v>0.13610948369994427</v>
      </c>
      <c r="L1408">
        <v>5.0488794058082542E-2</v>
      </c>
      <c r="N1408">
        <v>7.0991099999999996E-3</v>
      </c>
      <c r="O1408">
        <f t="shared" si="163"/>
        <v>0.13610948369994427</v>
      </c>
      <c r="Q1408">
        <v>7.0991099999999996E-3</v>
      </c>
      <c r="R1408">
        <f t="shared" si="164"/>
        <v>5.0488794058082542E-2</v>
      </c>
      <c r="CH1408">
        <v>6.5716699999999999E-3</v>
      </c>
      <c r="CI1408">
        <v>32.704099999999997</v>
      </c>
      <c r="CJ1408">
        <f t="shared" si="165"/>
        <v>2541.7301109046516</v>
      </c>
      <c r="CL1408">
        <v>6.5716699999999999E-3</v>
      </c>
      <c r="CM1408">
        <v>2.0760000000000001E-2</v>
      </c>
      <c r="CN1408">
        <f t="shared" si="166"/>
        <v>1.6134465434725485</v>
      </c>
    </row>
    <row r="1409" spans="4:92" x14ac:dyDescent="0.35">
      <c r="D1409">
        <v>7.19105E-3</v>
      </c>
      <c r="E1409">
        <v>14.9412</v>
      </c>
      <c r="F1409">
        <v>24.904499999999999</v>
      </c>
      <c r="G1409">
        <v>15.299099999999999</v>
      </c>
      <c r="I1409">
        <v>7.19105E-3</v>
      </c>
      <c r="J1409">
        <f t="shared" si="162"/>
        <v>2.6518311626724994E-2</v>
      </c>
      <c r="K1409">
        <v>0.13217416504738602</v>
      </c>
      <c r="L1409">
        <v>5.0298437792147599E-2</v>
      </c>
      <c r="N1409">
        <v>7.19105E-3</v>
      </c>
      <c r="O1409">
        <f t="shared" si="163"/>
        <v>0.13217416504738602</v>
      </c>
      <c r="Q1409">
        <v>7.19105E-3</v>
      </c>
      <c r="R1409">
        <f t="shared" si="164"/>
        <v>5.0298437792147599E-2</v>
      </c>
      <c r="CH1409">
        <v>6.6567800000000002E-3</v>
      </c>
      <c r="CI1409">
        <v>34.221699999999998</v>
      </c>
      <c r="CJ1409">
        <f t="shared" si="165"/>
        <v>2659.6764728687144</v>
      </c>
      <c r="CL1409">
        <v>6.6567800000000002E-3</v>
      </c>
      <c r="CM1409">
        <v>1.8960000000000001E-2</v>
      </c>
      <c r="CN1409">
        <f t="shared" si="166"/>
        <v>1.4735523345009403</v>
      </c>
    </row>
    <row r="1410" spans="4:92" x14ac:dyDescent="0.35">
      <c r="D1410">
        <v>7.2841700000000004E-3</v>
      </c>
      <c r="E1410">
        <v>15.1111</v>
      </c>
      <c r="F1410">
        <v>24.264299999999999</v>
      </c>
      <c r="G1410">
        <v>15.453200000000001</v>
      </c>
      <c r="I1410">
        <v>7.2841700000000004E-3</v>
      </c>
      <c r="J1410">
        <f t="shared" si="162"/>
        <v>2.681985776394159E-2</v>
      </c>
      <c r="K1410">
        <v>0.12877646983313412</v>
      </c>
      <c r="L1410">
        <v>5.0805068199411427E-2</v>
      </c>
      <c r="N1410">
        <v>7.2841700000000004E-3</v>
      </c>
      <c r="O1410">
        <f t="shared" si="163"/>
        <v>0.12877646983313412</v>
      </c>
      <c r="Q1410">
        <v>7.2841700000000004E-3</v>
      </c>
      <c r="R1410">
        <f t="shared" si="164"/>
        <v>5.0805068199411427E-2</v>
      </c>
      <c r="CH1410">
        <v>6.74298E-3</v>
      </c>
      <c r="CI1410">
        <v>34.238999999999997</v>
      </c>
      <c r="CJ1410">
        <f t="shared" si="165"/>
        <v>2661.0210116549415</v>
      </c>
      <c r="CL1410">
        <v>6.74298E-3</v>
      </c>
      <c r="CM1410">
        <v>1.9640000000000001E-2</v>
      </c>
      <c r="CN1410">
        <f t="shared" si="166"/>
        <v>1.5264012578902144</v>
      </c>
    </row>
    <row r="1411" spans="4:92" x14ac:dyDescent="0.35">
      <c r="D1411">
        <v>7.3784999999999996E-3</v>
      </c>
      <c r="E1411">
        <v>14.8032</v>
      </c>
      <c r="F1411">
        <v>25.045500000000001</v>
      </c>
      <c r="G1411">
        <v>15.6036</v>
      </c>
      <c r="I1411">
        <v>7.3784999999999996E-3</v>
      </c>
      <c r="J1411">
        <f t="shared" si="162"/>
        <v>2.6273383039697978E-2</v>
      </c>
      <c r="K1411">
        <v>0.13292248592400197</v>
      </c>
      <c r="L1411">
        <v>5.1299534216624136E-2</v>
      </c>
      <c r="N1411">
        <v>7.3784999999999996E-3</v>
      </c>
      <c r="O1411">
        <f t="shared" si="163"/>
        <v>0.13292248592400197</v>
      </c>
      <c r="Q1411">
        <v>7.3784999999999996E-3</v>
      </c>
      <c r="R1411">
        <f t="shared" si="164"/>
        <v>5.1299534216624136E-2</v>
      </c>
      <c r="CH1411">
        <v>6.8303000000000001E-3</v>
      </c>
      <c r="CI1411">
        <v>35.114899999999999</v>
      </c>
      <c r="CJ1411">
        <f t="shared" si="165"/>
        <v>2729.0950881206259</v>
      </c>
      <c r="CL1411">
        <v>6.8303000000000001E-3</v>
      </c>
      <c r="CM1411">
        <v>2.3640000000000001E-2</v>
      </c>
      <c r="CN1411">
        <f t="shared" si="166"/>
        <v>1.8372772778271218</v>
      </c>
    </row>
    <row r="1412" spans="4:92" x14ac:dyDescent="0.35">
      <c r="D1412">
        <v>7.4740600000000003E-3</v>
      </c>
      <c r="E1412">
        <v>14.9991</v>
      </c>
      <c r="F1412">
        <v>25.497900000000001</v>
      </c>
      <c r="G1412">
        <v>15.1128</v>
      </c>
      <c r="I1412">
        <v>7.4740600000000003E-3</v>
      </c>
      <c r="J1412">
        <f t="shared" ref="J1412:J1475" si="167">E1412/SUM($E$3:$E$2002)/$C$3</f>
        <v>2.6621075142586333E-2</v>
      </c>
      <c r="K1412">
        <v>0.13532348141748457</v>
      </c>
      <c r="L1412">
        <v>4.9685944314709247E-2</v>
      </c>
      <c r="N1412">
        <v>7.4740600000000003E-3</v>
      </c>
      <c r="O1412">
        <f t="shared" ref="O1412:O1475" si="168">F1412/SUM($F$3:$F$2002)/$C$3</f>
        <v>0.13532348141748457</v>
      </c>
      <c r="Q1412">
        <v>7.4740600000000003E-3</v>
      </c>
      <c r="R1412">
        <f t="shared" ref="R1412:R1475" si="169">G1412/SUM($G$3:$G$2002)/$C$3</f>
        <v>4.9685944314709247E-2</v>
      </c>
      <c r="CH1412">
        <v>6.9187600000000004E-3</v>
      </c>
      <c r="CI1412">
        <v>34.378799999999998</v>
      </c>
      <c r="CJ1412">
        <f t="shared" si="165"/>
        <v>2671.8861285517364</v>
      </c>
      <c r="CL1412">
        <v>6.9187600000000004E-3</v>
      </c>
      <c r="CM1412">
        <v>3.3750000000000002E-2</v>
      </c>
      <c r="CN1412">
        <f t="shared" si="166"/>
        <v>2.623016418217655</v>
      </c>
    </row>
    <row r="1413" spans="4:92" x14ac:dyDescent="0.35">
      <c r="D1413">
        <v>7.5708399999999997E-3</v>
      </c>
      <c r="E1413">
        <v>14.973100000000001</v>
      </c>
      <c r="F1413">
        <v>25.411999999999999</v>
      </c>
      <c r="G1413">
        <v>15.368499999999999</v>
      </c>
      <c r="I1413">
        <v>7.5708399999999997E-3</v>
      </c>
      <c r="J1413">
        <f t="shared" si="167"/>
        <v>2.6574929176914574E-2</v>
      </c>
      <c r="K1413">
        <v>0.1348675894791774</v>
      </c>
      <c r="L1413">
        <v>5.0526602297430591E-2</v>
      </c>
      <c r="N1413">
        <v>7.5708399999999997E-3</v>
      </c>
      <c r="O1413">
        <f t="shared" si="168"/>
        <v>0.1348675894791774</v>
      </c>
      <c r="Q1413">
        <v>7.5708399999999997E-3</v>
      </c>
      <c r="R1413">
        <f t="shared" si="169"/>
        <v>5.0526602297430591E-2</v>
      </c>
      <c r="CH1413">
        <v>7.00835E-3</v>
      </c>
      <c r="CI1413">
        <v>33.535699999999999</v>
      </c>
      <c r="CJ1413">
        <f t="shared" si="165"/>
        <v>2606.3612354495349</v>
      </c>
      <c r="CL1413">
        <v>7.00835E-3</v>
      </c>
      <c r="CM1413">
        <v>1.839E-2</v>
      </c>
      <c r="CN1413">
        <f t="shared" si="166"/>
        <v>1.4292525016599309</v>
      </c>
    </row>
    <row r="1414" spans="4:92" x14ac:dyDescent="0.35">
      <c r="D1414">
        <v>7.6688900000000003E-3</v>
      </c>
      <c r="E1414">
        <v>15.0764</v>
      </c>
      <c r="F1414">
        <v>25.683900000000001</v>
      </c>
      <c r="G1414">
        <v>15.4232</v>
      </c>
      <c r="I1414">
        <v>7.6688900000000003E-3</v>
      </c>
      <c r="J1414">
        <f t="shared" si="167"/>
        <v>2.6758270648218129E-2</v>
      </c>
      <c r="K1414">
        <v>0.13631062810578642</v>
      </c>
      <c r="L1414">
        <v>5.0706438009807821E-2</v>
      </c>
      <c r="N1414">
        <v>7.6688900000000003E-3</v>
      </c>
      <c r="O1414">
        <f t="shared" si="168"/>
        <v>0.13631062810578642</v>
      </c>
      <c r="Q1414">
        <v>7.6688900000000003E-3</v>
      </c>
      <c r="R1414">
        <f t="shared" si="169"/>
        <v>5.0706438009807821E-2</v>
      </c>
      <c r="CH1414">
        <v>7.0991099999999996E-3</v>
      </c>
      <c r="CI1414">
        <v>33.994799999999998</v>
      </c>
      <c r="CJ1414">
        <f t="shared" si="165"/>
        <v>2642.0420306377932</v>
      </c>
      <c r="CL1414">
        <v>7.0991099999999996E-3</v>
      </c>
      <c r="CM1414">
        <v>1.848E-2</v>
      </c>
      <c r="CN1414">
        <f t="shared" si="166"/>
        <v>1.4362472121085113</v>
      </c>
    </row>
    <row r="1415" spans="4:92" x14ac:dyDescent="0.35">
      <c r="D1415">
        <v>7.7682000000000003E-3</v>
      </c>
      <c r="E1415">
        <v>14.851000000000001</v>
      </c>
      <c r="F1415">
        <v>24.0855</v>
      </c>
      <c r="G1415">
        <v>15.207700000000001</v>
      </c>
      <c r="I1415">
        <v>7.7682000000000003E-3</v>
      </c>
      <c r="J1415">
        <f t="shared" si="167"/>
        <v>2.635822062274067E-2</v>
      </c>
      <c r="K1415">
        <v>0.127827535274702</v>
      </c>
      <c r="L1415">
        <v>4.9997944481155306E-2</v>
      </c>
      <c r="N1415">
        <v>7.7682000000000003E-3</v>
      </c>
      <c r="O1415">
        <f t="shared" si="168"/>
        <v>0.127827535274702</v>
      </c>
      <c r="Q1415">
        <v>7.7682000000000003E-3</v>
      </c>
      <c r="R1415">
        <f t="shared" si="169"/>
        <v>4.9997944481155306E-2</v>
      </c>
      <c r="CH1415">
        <v>7.19105E-3</v>
      </c>
      <c r="CI1415">
        <v>34.1066</v>
      </c>
      <c r="CJ1415">
        <f t="shared" si="165"/>
        <v>2650.7310153950298</v>
      </c>
      <c r="CL1415">
        <v>7.19105E-3</v>
      </c>
      <c r="CM1415">
        <v>2.2169999999999999E-2</v>
      </c>
      <c r="CN1415">
        <f t="shared" si="166"/>
        <v>1.7230303405003082</v>
      </c>
    </row>
    <row r="1416" spans="4:92" x14ac:dyDescent="0.35">
      <c r="D1416">
        <v>7.8688000000000004E-3</v>
      </c>
      <c r="E1416">
        <v>14.8865</v>
      </c>
      <c r="F1416">
        <v>25.7639</v>
      </c>
      <c r="G1416">
        <v>15.4529</v>
      </c>
      <c r="I1416">
        <v>7.8688000000000004E-3</v>
      </c>
      <c r="J1416">
        <f t="shared" si="167"/>
        <v>2.6421227614330953E-2</v>
      </c>
      <c r="K1416">
        <v>0.13673520732656141</v>
      </c>
      <c r="L1416">
        <v>5.0804081897515389E-2</v>
      </c>
      <c r="N1416">
        <v>7.8688000000000004E-3</v>
      </c>
      <c r="O1416">
        <f t="shared" si="168"/>
        <v>0.13673520732656141</v>
      </c>
      <c r="Q1416">
        <v>7.8688000000000004E-3</v>
      </c>
      <c r="R1416">
        <f t="shared" si="169"/>
        <v>5.0804081897515389E-2</v>
      </c>
      <c r="CH1416">
        <v>7.2841700000000004E-3</v>
      </c>
      <c r="CI1416">
        <v>34.005099999999999</v>
      </c>
      <c r="CJ1416">
        <f t="shared" si="165"/>
        <v>2642.8425363891306</v>
      </c>
      <c r="CL1416">
        <v>7.2841700000000004E-3</v>
      </c>
      <c r="CM1416">
        <v>1.9699999999999999E-2</v>
      </c>
      <c r="CN1416">
        <f t="shared" si="166"/>
        <v>1.531064398189268</v>
      </c>
    </row>
    <row r="1417" spans="4:92" x14ac:dyDescent="0.35">
      <c r="D1417">
        <v>7.9707000000000007E-3</v>
      </c>
      <c r="E1417">
        <v>15.250400000000001</v>
      </c>
      <c r="F1417">
        <v>26.055199999999999</v>
      </c>
      <c r="G1417">
        <v>15.474</v>
      </c>
      <c r="I1417">
        <v>7.9707000000000007E-3</v>
      </c>
      <c r="J1417">
        <f t="shared" si="167"/>
        <v>2.7067093649252194E-2</v>
      </c>
      <c r="K1417">
        <v>0.13828120641420838</v>
      </c>
      <c r="L1417">
        <v>5.0873451797536585E-2</v>
      </c>
      <c r="N1417">
        <v>7.9707000000000007E-3</v>
      </c>
      <c r="O1417">
        <f t="shared" si="168"/>
        <v>0.13828120641420838</v>
      </c>
      <c r="Q1417">
        <v>7.9707000000000007E-3</v>
      </c>
      <c r="R1417">
        <f t="shared" si="169"/>
        <v>5.0873451797536585E-2</v>
      </c>
      <c r="CH1417">
        <v>7.3784999999999996E-3</v>
      </c>
      <c r="CI1417">
        <v>33.951500000000003</v>
      </c>
      <c r="CJ1417">
        <f t="shared" si="165"/>
        <v>2638.6767977219765</v>
      </c>
      <c r="CL1417">
        <v>7.3784999999999996E-3</v>
      </c>
      <c r="CM1417">
        <v>1.8169999999999999E-2</v>
      </c>
      <c r="CN1417">
        <f t="shared" si="166"/>
        <v>1.4121543205634008</v>
      </c>
    </row>
    <row r="1418" spans="4:92" x14ac:dyDescent="0.35">
      <c r="D1418">
        <v>8.0739200000000001E-3</v>
      </c>
      <c r="E1418">
        <v>15.1722</v>
      </c>
      <c r="F1418">
        <v>26.447099999999999</v>
      </c>
      <c r="G1418">
        <v>15.499499999999999</v>
      </c>
      <c r="I1418">
        <v>8.0739200000000001E-3</v>
      </c>
      <c r="J1418">
        <f t="shared" si="167"/>
        <v>2.6928300783270215E-2</v>
      </c>
      <c r="K1418">
        <v>0.14036111387197989</v>
      </c>
      <c r="L1418">
        <v>5.0957287458699645E-2</v>
      </c>
      <c r="N1418">
        <v>8.0739200000000001E-3</v>
      </c>
      <c r="O1418">
        <f t="shared" si="168"/>
        <v>0.14036111387197989</v>
      </c>
      <c r="Q1418">
        <v>8.0739200000000001E-3</v>
      </c>
      <c r="R1418">
        <f t="shared" si="169"/>
        <v>5.0957287458699645E-2</v>
      </c>
      <c r="CH1418">
        <v>7.4740600000000003E-3</v>
      </c>
      <c r="CI1418">
        <v>34.474200000000003</v>
      </c>
      <c r="CJ1418">
        <f t="shared" ref="CJ1418:CJ1481" si="170">CI1418/$CG$9</f>
        <v>2679.3005216272318</v>
      </c>
      <c r="CL1418">
        <v>7.4740600000000003E-3</v>
      </c>
      <c r="CM1418">
        <v>2.0459999999999999E-2</v>
      </c>
      <c r="CN1418">
        <f t="shared" ref="CN1418:CN1481" si="171">CM1418/$CG$9</f>
        <v>1.5901308419772804</v>
      </c>
    </row>
    <row r="1419" spans="4:92" x14ac:dyDescent="0.35">
      <c r="D1419">
        <v>8.1784800000000001E-3</v>
      </c>
      <c r="E1419">
        <v>14.9405</v>
      </c>
      <c r="F1419">
        <v>25.1007</v>
      </c>
      <c r="G1419">
        <v>15.564500000000001</v>
      </c>
      <c r="I1419">
        <v>8.1784800000000001E-3</v>
      </c>
      <c r="J1419">
        <f t="shared" si="167"/>
        <v>2.6517069235341525E-2</v>
      </c>
      <c r="K1419">
        <v>0.13321544558633672</v>
      </c>
      <c r="L1419">
        <v>5.1170986202840774E-2</v>
      </c>
      <c r="N1419">
        <v>8.1784800000000001E-3</v>
      </c>
      <c r="O1419">
        <f t="shared" si="168"/>
        <v>0.13321544558633672</v>
      </c>
      <c r="Q1419">
        <v>8.1784800000000001E-3</v>
      </c>
      <c r="R1419">
        <f t="shared" si="169"/>
        <v>5.1170986202840774E-2</v>
      </c>
      <c r="CH1419">
        <v>7.5708399999999997E-3</v>
      </c>
      <c r="CI1419">
        <v>33.2361</v>
      </c>
      <c r="CJ1419">
        <f t="shared" si="170"/>
        <v>2583.0766215562603</v>
      </c>
      <c r="CL1419">
        <v>7.5708399999999997E-3</v>
      </c>
      <c r="CM1419">
        <v>2.247E-2</v>
      </c>
      <c r="CN1419">
        <f t="shared" si="171"/>
        <v>1.7463460419955763</v>
      </c>
    </row>
    <row r="1420" spans="4:92" x14ac:dyDescent="0.35">
      <c r="D1420">
        <v>8.2843900000000009E-3</v>
      </c>
      <c r="E1420">
        <v>15.044</v>
      </c>
      <c r="F1420">
        <v>24.696899999999999</v>
      </c>
      <c r="G1420">
        <v>15.3996</v>
      </c>
      <c r="I1420">
        <v>8.2843900000000009E-3</v>
      </c>
      <c r="J1420">
        <f t="shared" si="167"/>
        <v>2.670076567561179E-2</v>
      </c>
      <c r="K1420">
        <v>0.1310723819694749</v>
      </c>
      <c r="L1420">
        <v>5.0628848927319656E-2</v>
      </c>
      <c r="N1420">
        <v>8.2843900000000009E-3</v>
      </c>
      <c r="O1420">
        <f t="shared" si="168"/>
        <v>0.1310723819694749</v>
      </c>
      <c r="Q1420">
        <v>8.2843900000000009E-3</v>
      </c>
      <c r="R1420">
        <f t="shared" si="169"/>
        <v>5.0628848927319656E-2</v>
      </c>
      <c r="CH1420">
        <v>7.6688900000000003E-3</v>
      </c>
      <c r="CI1420">
        <v>34.406100000000002</v>
      </c>
      <c r="CJ1420">
        <f t="shared" si="170"/>
        <v>2674.0078573878059</v>
      </c>
      <c r="CL1420">
        <v>7.6688900000000003E-3</v>
      </c>
      <c r="CM1420">
        <v>2.0930000000000001E-2</v>
      </c>
      <c r="CN1420">
        <f t="shared" si="171"/>
        <v>1.6266587743198671</v>
      </c>
    </row>
    <row r="1421" spans="4:92" x14ac:dyDescent="0.35">
      <c r="D1421">
        <v>8.3916800000000003E-3</v>
      </c>
      <c r="E1421">
        <v>14.8803</v>
      </c>
      <c r="F1421">
        <v>25.703800000000001</v>
      </c>
      <c r="G1421">
        <v>15.502800000000001</v>
      </c>
      <c r="I1421">
        <v>8.3916800000000003E-3</v>
      </c>
      <c r="J1421">
        <f t="shared" si="167"/>
        <v>2.6410223576363072E-2</v>
      </c>
      <c r="K1421">
        <v>0.1364162421869542</v>
      </c>
      <c r="L1421">
        <v>5.0968136779556042E-2</v>
      </c>
      <c r="N1421">
        <v>8.3916800000000003E-3</v>
      </c>
      <c r="O1421">
        <f t="shared" si="168"/>
        <v>0.1364162421869542</v>
      </c>
      <c r="Q1421">
        <v>8.3916800000000003E-3</v>
      </c>
      <c r="R1421">
        <f t="shared" si="169"/>
        <v>5.0968136779556042E-2</v>
      </c>
      <c r="CH1421">
        <v>7.7682000000000003E-3</v>
      </c>
      <c r="CI1421">
        <v>33.566499999999998</v>
      </c>
      <c r="CJ1421">
        <f t="shared" si="170"/>
        <v>2608.754980803049</v>
      </c>
      <c r="CL1421">
        <v>7.7682000000000003E-3</v>
      </c>
      <c r="CM1421">
        <v>1.8419999999999999E-2</v>
      </c>
      <c r="CN1421">
        <f t="shared" si="171"/>
        <v>1.4315840718094577</v>
      </c>
    </row>
    <row r="1422" spans="4:92" x14ac:dyDescent="0.35">
      <c r="D1422">
        <v>8.5003500000000003E-3</v>
      </c>
      <c r="E1422">
        <v>14.778700000000001</v>
      </c>
      <c r="F1422">
        <v>25.179500000000001</v>
      </c>
      <c r="G1422">
        <v>15.4122</v>
      </c>
      <c r="I1422">
        <v>8.5003500000000003E-3</v>
      </c>
      <c r="J1422">
        <f t="shared" si="167"/>
        <v>2.6229899341276518E-2</v>
      </c>
      <c r="K1422">
        <v>0.13363365611880007</v>
      </c>
      <c r="L1422">
        <v>5.067027360695317E-2</v>
      </c>
      <c r="N1422">
        <v>8.5003500000000003E-3</v>
      </c>
      <c r="O1422">
        <f t="shared" si="168"/>
        <v>0.13363365611880007</v>
      </c>
      <c r="Q1422">
        <v>8.5003500000000003E-3</v>
      </c>
      <c r="R1422">
        <f t="shared" si="169"/>
        <v>5.067027360695317E-2</v>
      </c>
      <c r="CH1422">
        <v>7.8688000000000004E-3</v>
      </c>
      <c r="CI1422">
        <v>34.229100000000003</v>
      </c>
      <c r="CJ1422">
        <f t="shared" si="170"/>
        <v>2660.2515935055981</v>
      </c>
      <c r="CL1422">
        <v>7.8688000000000004E-3</v>
      </c>
      <c r="CM1422">
        <v>1.9740000000000001E-2</v>
      </c>
      <c r="CN1422">
        <f t="shared" si="171"/>
        <v>1.5341731583886371</v>
      </c>
    </row>
    <row r="1423" spans="4:92" x14ac:dyDescent="0.35">
      <c r="D1423">
        <v>8.6104300000000005E-3</v>
      </c>
      <c r="E1423">
        <v>15.180300000000001</v>
      </c>
      <c r="F1423">
        <v>25.281700000000001</v>
      </c>
      <c r="G1423">
        <v>15.160399999999999</v>
      </c>
      <c r="I1423">
        <v>8.6104300000000005E-3</v>
      </c>
      <c r="J1423">
        <f t="shared" si="167"/>
        <v>2.6942677026421804E-2</v>
      </c>
      <c r="K1423">
        <v>0.13417605607334013</v>
      </c>
      <c r="L1423">
        <v>4.9842437548880292E-2</v>
      </c>
      <c r="N1423">
        <v>8.6104300000000005E-3</v>
      </c>
      <c r="O1423">
        <f t="shared" si="168"/>
        <v>0.13417605607334013</v>
      </c>
      <c r="Q1423">
        <v>8.6104300000000005E-3</v>
      </c>
      <c r="R1423">
        <f t="shared" si="169"/>
        <v>4.9842437548880292E-2</v>
      </c>
      <c r="CH1423">
        <v>7.9707000000000007E-3</v>
      </c>
      <c r="CI1423">
        <v>33.552199999999999</v>
      </c>
      <c r="CJ1423">
        <f t="shared" si="170"/>
        <v>2607.6435990317746</v>
      </c>
      <c r="CL1423">
        <v>7.9707000000000007E-3</v>
      </c>
      <c r="CM1423">
        <v>2.0899999999999998E-2</v>
      </c>
      <c r="CN1423">
        <f t="shared" si="171"/>
        <v>1.62432720417034</v>
      </c>
    </row>
    <row r="1424" spans="4:92" x14ac:dyDescent="0.35">
      <c r="D1424">
        <v>8.7219299999999993E-3</v>
      </c>
      <c r="E1424">
        <v>14.964</v>
      </c>
      <c r="F1424">
        <v>25.893599999999999</v>
      </c>
      <c r="G1424">
        <v>15.7799</v>
      </c>
      <c r="I1424">
        <v>8.7219299999999993E-3</v>
      </c>
      <c r="J1424">
        <f t="shared" si="167"/>
        <v>2.6558778088929459E-2</v>
      </c>
      <c r="K1424">
        <v>0.13742355638824288</v>
      </c>
      <c r="L1424">
        <v>5.1879150964194619E-2</v>
      </c>
      <c r="N1424">
        <v>8.7219299999999993E-3</v>
      </c>
      <c r="O1424">
        <f t="shared" si="168"/>
        <v>0.13742355638824288</v>
      </c>
      <c r="Q1424">
        <v>8.7219299999999993E-3</v>
      </c>
      <c r="R1424">
        <f t="shared" si="169"/>
        <v>5.1879150964194619E-2</v>
      </c>
      <c r="CH1424">
        <v>8.0739200000000001E-3</v>
      </c>
      <c r="CI1424">
        <v>34.805999999999997</v>
      </c>
      <c r="CJ1424">
        <f t="shared" si="170"/>
        <v>2705.0876874809978</v>
      </c>
      <c r="CL1424">
        <v>8.0739200000000001E-3</v>
      </c>
      <c r="CM1424">
        <v>2.0619999999999999E-2</v>
      </c>
      <c r="CN1424">
        <f t="shared" si="171"/>
        <v>1.6025658827747566</v>
      </c>
    </row>
    <row r="1425" spans="4:92" x14ac:dyDescent="0.35">
      <c r="D1425">
        <v>8.8348799999999998E-3</v>
      </c>
      <c r="E1425">
        <v>15.095499999999999</v>
      </c>
      <c r="F1425">
        <v>25.573899999999998</v>
      </c>
      <c r="G1425">
        <v>15.485300000000001</v>
      </c>
      <c r="I1425">
        <v>8.8348799999999998E-3</v>
      </c>
      <c r="J1425">
        <f t="shared" si="167"/>
        <v>2.6792170184538531E-2</v>
      </c>
      <c r="K1425">
        <v>0.1357268316772208</v>
      </c>
      <c r="L1425">
        <v>5.0910602502287274E-2</v>
      </c>
      <c r="N1425">
        <v>8.8348799999999998E-3</v>
      </c>
      <c r="O1425">
        <f t="shared" si="168"/>
        <v>0.1357268316772208</v>
      </c>
      <c r="Q1425">
        <v>8.8348799999999998E-3</v>
      </c>
      <c r="R1425">
        <f t="shared" si="169"/>
        <v>5.0910602502287274E-2</v>
      </c>
      <c r="CH1425">
        <v>8.1784800000000001E-3</v>
      </c>
      <c r="CI1425">
        <v>33.447099999999999</v>
      </c>
      <c r="CJ1425">
        <f t="shared" si="170"/>
        <v>2599.4753316079323</v>
      </c>
      <c r="CL1425">
        <v>8.1784800000000001E-3</v>
      </c>
      <c r="CM1425">
        <v>1.8489999999999999E-2</v>
      </c>
      <c r="CN1425">
        <f t="shared" si="171"/>
        <v>1.4370244021583536</v>
      </c>
    </row>
    <row r="1426" spans="4:92" x14ac:dyDescent="0.35">
      <c r="D1426">
        <v>8.9493000000000003E-3</v>
      </c>
      <c r="E1426">
        <v>15.214</v>
      </c>
      <c r="F1426">
        <v>25.2849</v>
      </c>
      <c r="G1426">
        <v>15.493399999999999</v>
      </c>
      <c r="I1426">
        <v>8.9493000000000003E-3</v>
      </c>
      <c r="J1426">
        <f t="shared" si="167"/>
        <v>2.7002489297311735E-2</v>
      </c>
      <c r="K1426">
        <v>0.13419303924217113</v>
      </c>
      <c r="L1426">
        <v>5.0937232653480248E-2</v>
      </c>
      <c r="N1426">
        <v>8.9493000000000003E-3</v>
      </c>
      <c r="O1426">
        <f t="shared" si="168"/>
        <v>0.13419303924217113</v>
      </c>
      <c r="Q1426">
        <v>8.9493000000000003E-3</v>
      </c>
      <c r="R1426">
        <f t="shared" si="169"/>
        <v>5.0937232653480248E-2</v>
      </c>
      <c r="CH1426">
        <v>8.2843900000000009E-3</v>
      </c>
      <c r="CI1426">
        <v>34.013800000000003</v>
      </c>
      <c r="CJ1426">
        <f t="shared" si="170"/>
        <v>2643.5186917324941</v>
      </c>
      <c r="CL1426">
        <v>8.2843900000000009E-3</v>
      </c>
      <c r="CM1426">
        <v>2.061E-2</v>
      </c>
      <c r="CN1426">
        <f t="shared" si="171"/>
        <v>1.6017886927249143</v>
      </c>
    </row>
    <row r="1427" spans="4:92" x14ac:dyDescent="0.35">
      <c r="D1427">
        <v>9.0651900000000007E-3</v>
      </c>
      <c r="E1427">
        <v>15.016299999999999</v>
      </c>
      <c r="F1427">
        <v>25.3552</v>
      </c>
      <c r="G1427">
        <v>15.958299999999999</v>
      </c>
      <c r="I1427">
        <v>9.0651900000000007E-3</v>
      </c>
      <c r="J1427">
        <f t="shared" si="167"/>
        <v>2.6651602473723029E-2</v>
      </c>
      <c r="K1427">
        <v>0.13456613823242716</v>
      </c>
      <c r="L1427">
        <v>5.2465671825037356E-2</v>
      </c>
      <c r="N1427">
        <v>9.0651900000000007E-3</v>
      </c>
      <c r="O1427">
        <f t="shared" si="168"/>
        <v>0.13456613823242716</v>
      </c>
      <c r="Q1427">
        <v>9.0651900000000007E-3</v>
      </c>
      <c r="R1427">
        <f t="shared" si="169"/>
        <v>5.2465671825037356E-2</v>
      </c>
      <c r="CH1427">
        <v>8.3916800000000003E-3</v>
      </c>
      <c r="CI1427">
        <v>33.7607</v>
      </c>
      <c r="CJ1427">
        <f t="shared" si="170"/>
        <v>2623.8480115709858</v>
      </c>
      <c r="CL1427">
        <v>8.3916800000000003E-3</v>
      </c>
      <c r="CM1427">
        <v>1.7500000000000002E-2</v>
      </c>
      <c r="CN1427">
        <f t="shared" si="171"/>
        <v>1.3600825872239692</v>
      </c>
    </row>
    <row r="1428" spans="4:92" x14ac:dyDescent="0.35">
      <c r="D1428">
        <v>9.1825899999999992E-3</v>
      </c>
      <c r="E1428">
        <v>15.069000000000001</v>
      </c>
      <c r="F1428">
        <v>25.648</v>
      </c>
      <c r="G1428">
        <v>15.3209</v>
      </c>
      <c r="I1428">
        <v>9.1825899999999992E-3</v>
      </c>
      <c r="J1428">
        <f t="shared" si="167"/>
        <v>2.6745136796450016E-2</v>
      </c>
      <c r="K1428">
        <v>0.13612009818046364</v>
      </c>
      <c r="L1428">
        <v>5.0370109063259547E-2</v>
      </c>
      <c r="N1428">
        <v>9.1825899999999992E-3</v>
      </c>
      <c r="O1428">
        <f t="shared" si="168"/>
        <v>0.13612009818046364</v>
      </c>
      <c r="Q1428">
        <v>9.1825899999999992E-3</v>
      </c>
      <c r="R1428">
        <f t="shared" si="169"/>
        <v>5.0370109063259547E-2</v>
      </c>
      <c r="CH1428">
        <v>8.5003500000000003E-3</v>
      </c>
      <c r="CI1428">
        <v>35.028500000000001</v>
      </c>
      <c r="CJ1428">
        <f t="shared" si="170"/>
        <v>2722.3801660899885</v>
      </c>
      <c r="CL1428">
        <v>8.5003500000000003E-3</v>
      </c>
      <c r="CM1428">
        <v>2.1590000000000002E-2</v>
      </c>
      <c r="CN1428">
        <f t="shared" si="171"/>
        <v>1.6779533176094568</v>
      </c>
    </row>
    <row r="1429" spans="4:92" x14ac:dyDescent="0.35">
      <c r="D1429">
        <v>9.3015000000000007E-3</v>
      </c>
      <c r="E1429">
        <v>14.822800000000001</v>
      </c>
      <c r="F1429">
        <v>26.870100000000001</v>
      </c>
      <c r="G1429">
        <v>15.463800000000001</v>
      </c>
      <c r="I1429">
        <v>9.3015000000000007E-3</v>
      </c>
      <c r="J1429">
        <f t="shared" si="167"/>
        <v>2.630816999843515E-2</v>
      </c>
      <c r="K1429">
        <v>0.14260607650182769</v>
      </c>
      <c r="L1429">
        <v>5.0839917533071363E-2</v>
      </c>
      <c r="N1429">
        <v>9.3015000000000007E-3</v>
      </c>
      <c r="O1429">
        <f t="shared" si="168"/>
        <v>0.14260607650182769</v>
      </c>
      <c r="Q1429">
        <v>9.3015000000000007E-3</v>
      </c>
      <c r="R1429">
        <f t="shared" si="169"/>
        <v>5.0839917533071363E-2</v>
      </c>
      <c r="CH1429">
        <v>8.6104300000000005E-3</v>
      </c>
      <c r="CI1429">
        <v>34.731299999999997</v>
      </c>
      <c r="CJ1429">
        <f t="shared" si="170"/>
        <v>2699.2820778086761</v>
      </c>
      <c r="CL1429">
        <v>8.6104300000000005E-3</v>
      </c>
      <c r="CM1429">
        <v>1.951E-2</v>
      </c>
      <c r="CN1429">
        <f t="shared" si="171"/>
        <v>1.5162977872422649</v>
      </c>
    </row>
    <row r="1430" spans="4:92" x14ac:dyDescent="0.35">
      <c r="D1430">
        <v>9.4219600000000001E-3</v>
      </c>
      <c r="E1430">
        <v>15.295299999999999</v>
      </c>
      <c r="F1430">
        <v>25.896799999999999</v>
      </c>
      <c r="G1430">
        <v>15.4506</v>
      </c>
      <c r="I1430">
        <v>9.4219600000000001E-3</v>
      </c>
      <c r="J1430">
        <f t="shared" si="167"/>
        <v>2.7146784182277648E-2</v>
      </c>
      <c r="K1430">
        <v>0.13744053955707386</v>
      </c>
      <c r="L1430">
        <v>5.0796520249645781E-2</v>
      </c>
      <c r="N1430">
        <v>9.4219600000000001E-3</v>
      </c>
      <c r="O1430">
        <f t="shared" si="168"/>
        <v>0.13744053955707386</v>
      </c>
      <c r="Q1430">
        <v>9.4219600000000001E-3</v>
      </c>
      <c r="R1430">
        <f t="shared" si="169"/>
        <v>5.0796520249645781E-2</v>
      </c>
      <c r="CH1430">
        <v>8.7219299999999993E-3</v>
      </c>
      <c r="CI1430">
        <v>34.094900000000003</v>
      </c>
      <c r="CJ1430">
        <f t="shared" si="170"/>
        <v>2649.8217030367146</v>
      </c>
      <c r="CL1430">
        <v>8.7219299999999993E-3</v>
      </c>
      <c r="CM1430">
        <v>1.9050000000000001E-2</v>
      </c>
      <c r="CN1430">
        <f t="shared" si="171"/>
        <v>1.4805470449495206</v>
      </c>
    </row>
    <row r="1431" spans="4:92" x14ac:dyDescent="0.35">
      <c r="D1431">
        <v>9.5439700000000006E-3</v>
      </c>
      <c r="E1431">
        <v>15.1226</v>
      </c>
      <c r="F1431">
        <v>26.132000000000001</v>
      </c>
      <c r="G1431">
        <v>15.4489</v>
      </c>
      <c r="I1431">
        <v>9.5439700000000006E-3</v>
      </c>
      <c r="J1431">
        <f t="shared" si="167"/>
        <v>2.6840268479527175E-2</v>
      </c>
      <c r="K1431">
        <v>0.13868880246615237</v>
      </c>
      <c r="L1431">
        <v>5.079093120556824E-2</v>
      </c>
      <c r="N1431">
        <v>9.5439700000000006E-3</v>
      </c>
      <c r="O1431">
        <f t="shared" si="168"/>
        <v>0.13868880246615237</v>
      </c>
      <c r="Q1431">
        <v>9.5439700000000006E-3</v>
      </c>
      <c r="R1431">
        <f t="shared" si="169"/>
        <v>5.079093120556824E-2</v>
      </c>
      <c r="CH1431">
        <v>8.8348799999999998E-3</v>
      </c>
      <c r="CI1431">
        <v>34.889800000000001</v>
      </c>
      <c r="CJ1431">
        <f t="shared" si="170"/>
        <v>2711.6005400986764</v>
      </c>
      <c r="CL1431">
        <v>8.8348799999999998E-3</v>
      </c>
      <c r="CM1431">
        <v>1.9300000000000001E-2</v>
      </c>
      <c r="CN1431">
        <f t="shared" si="171"/>
        <v>1.4999767961955774</v>
      </c>
    </row>
    <row r="1432" spans="4:92" x14ac:dyDescent="0.35">
      <c r="D1432">
        <v>9.6675700000000003E-3</v>
      </c>
      <c r="E1432">
        <v>14.9061</v>
      </c>
      <c r="F1432">
        <v>25.597100000000001</v>
      </c>
      <c r="G1432">
        <v>15.4023</v>
      </c>
      <c r="I1432">
        <v>9.6675700000000003E-3</v>
      </c>
      <c r="J1432">
        <f t="shared" si="167"/>
        <v>2.6456014573068124E-2</v>
      </c>
      <c r="K1432">
        <v>0.13584995965124555</v>
      </c>
      <c r="L1432">
        <v>5.0637725644383985E-2</v>
      </c>
      <c r="N1432">
        <v>9.6675700000000003E-3</v>
      </c>
      <c r="O1432">
        <f t="shared" si="168"/>
        <v>0.13584995965124555</v>
      </c>
      <c r="Q1432">
        <v>9.6675700000000003E-3</v>
      </c>
      <c r="R1432">
        <f t="shared" si="169"/>
        <v>5.0637725644383985E-2</v>
      </c>
      <c r="CH1432">
        <v>8.9493000000000003E-3</v>
      </c>
      <c r="CI1432">
        <v>33.955800000000004</v>
      </c>
      <c r="CJ1432">
        <f t="shared" si="170"/>
        <v>2639.0109894434086</v>
      </c>
      <c r="CL1432">
        <v>8.9493000000000003E-3</v>
      </c>
      <c r="CM1432">
        <v>1.9730000000000001E-2</v>
      </c>
      <c r="CN1432">
        <f t="shared" si="171"/>
        <v>1.533395968338795</v>
      </c>
    </row>
    <row r="1433" spans="4:92" x14ac:dyDescent="0.35">
      <c r="D1433">
        <v>9.7927599999999993E-3</v>
      </c>
      <c r="E1433">
        <v>14.895200000000001</v>
      </c>
      <c r="F1433">
        <v>25.951000000000001</v>
      </c>
      <c r="G1433">
        <v>15.5616</v>
      </c>
      <c r="I1433">
        <v>9.7927599999999993E-3</v>
      </c>
      <c r="J1433">
        <f t="shared" si="167"/>
        <v>2.6436668764382658E-2</v>
      </c>
      <c r="K1433">
        <v>0.13772819197914893</v>
      </c>
      <c r="L1433">
        <v>5.1161451951179097E-2</v>
      </c>
      <c r="N1433">
        <v>9.7927599999999993E-3</v>
      </c>
      <c r="O1433">
        <f t="shared" si="168"/>
        <v>0.13772819197914893</v>
      </c>
      <c r="Q1433">
        <v>9.7927599999999993E-3</v>
      </c>
      <c r="R1433">
        <f t="shared" si="169"/>
        <v>5.1161451951179097E-2</v>
      </c>
      <c r="CH1433">
        <v>9.0651900000000007E-3</v>
      </c>
      <c r="CI1433">
        <v>34.073300000000003</v>
      </c>
      <c r="CJ1433">
        <f t="shared" si="170"/>
        <v>2648.1429725290554</v>
      </c>
      <c r="CL1433">
        <v>9.0651900000000007E-3</v>
      </c>
      <c r="CM1433">
        <v>2.0070000000000001E-2</v>
      </c>
      <c r="CN1433">
        <f t="shared" si="171"/>
        <v>1.559820430033432</v>
      </c>
    </row>
    <row r="1434" spans="4:92" x14ac:dyDescent="0.35">
      <c r="D1434">
        <v>9.9195800000000008E-3</v>
      </c>
      <c r="E1434">
        <v>15.2372</v>
      </c>
      <c r="F1434">
        <v>26.6937</v>
      </c>
      <c r="G1434">
        <v>15.782</v>
      </c>
      <c r="I1434">
        <v>9.9195800000000008E-3</v>
      </c>
      <c r="J1434">
        <f t="shared" si="167"/>
        <v>2.704366569744961E-2</v>
      </c>
      <c r="K1434">
        <v>0.14166987932001882</v>
      </c>
      <c r="L1434">
        <v>5.1886055077466867E-2</v>
      </c>
      <c r="N1434">
        <v>9.9195800000000008E-3</v>
      </c>
      <c r="O1434">
        <f t="shared" si="168"/>
        <v>0.14166987932001882</v>
      </c>
      <c r="Q1434">
        <v>9.9195800000000008E-3</v>
      </c>
      <c r="R1434">
        <f t="shared" si="169"/>
        <v>5.1886055077466867E-2</v>
      </c>
      <c r="CH1434">
        <v>9.1825899999999992E-3</v>
      </c>
      <c r="CI1434">
        <v>34.801900000000003</v>
      </c>
      <c r="CJ1434">
        <f t="shared" si="170"/>
        <v>2704.7690395605632</v>
      </c>
      <c r="CL1434">
        <v>9.1825899999999992E-3</v>
      </c>
      <c r="CM1434">
        <v>1.9619999999999999E-2</v>
      </c>
      <c r="CN1434">
        <f t="shared" si="171"/>
        <v>1.5248468777905297</v>
      </c>
    </row>
    <row r="1435" spans="4:92" x14ac:dyDescent="0.35">
      <c r="D1435">
        <v>1.0048E-2</v>
      </c>
      <c r="E1435">
        <v>15.0145</v>
      </c>
      <c r="F1435">
        <v>25.459900000000001</v>
      </c>
      <c r="G1435">
        <v>15.7197</v>
      </c>
      <c r="I1435">
        <v>1.0048E-2</v>
      </c>
      <c r="J1435">
        <f t="shared" si="167"/>
        <v>2.6648407753022681E-2</v>
      </c>
      <c r="K1435">
        <v>0.13512180628761644</v>
      </c>
      <c r="L1435">
        <v>5.1681233050390067E-2</v>
      </c>
      <c r="N1435">
        <v>1.0048E-2</v>
      </c>
      <c r="O1435">
        <f t="shared" si="168"/>
        <v>0.13512180628761644</v>
      </c>
      <c r="Q1435">
        <v>1.0048E-2</v>
      </c>
      <c r="R1435">
        <f t="shared" si="169"/>
        <v>5.1681233050390067E-2</v>
      </c>
      <c r="CH1435">
        <v>9.3015000000000007E-3</v>
      </c>
      <c r="CI1435">
        <v>33.791699999999999</v>
      </c>
      <c r="CJ1435">
        <f t="shared" si="170"/>
        <v>2626.2573007254969</v>
      </c>
      <c r="CL1435">
        <v>9.3015000000000007E-3</v>
      </c>
      <c r="CM1435">
        <v>1.788E-2</v>
      </c>
      <c r="CN1435">
        <f t="shared" si="171"/>
        <v>1.3896158091179753</v>
      </c>
    </row>
    <row r="1436" spans="4:92" x14ac:dyDescent="0.35">
      <c r="D1436">
        <v>1.01782E-2</v>
      </c>
      <c r="E1436">
        <v>15.037100000000001</v>
      </c>
      <c r="F1436">
        <v>26.6203</v>
      </c>
      <c r="G1436">
        <v>15.575100000000001</v>
      </c>
      <c r="I1436">
        <v>1.01782E-2</v>
      </c>
      <c r="J1436">
        <f t="shared" si="167"/>
        <v>2.6688519246260436E-2</v>
      </c>
      <c r="K1436">
        <v>0.14128032788495773</v>
      </c>
      <c r="L1436">
        <v>5.1205835536500724E-2</v>
      </c>
      <c r="N1436">
        <v>1.01782E-2</v>
      </c>
      <c r="O1436">
        <f t="shared" si="168"/>
        <v>0.14128032788495773</v>
      </c>
      <c r="Q1436">
        <v>1.01782E-2</v>
      </c>
      <c r="R1436">
        <f t="shared" si="169"/>
        <v>5.1205835536500724E-2</v>
      </c>
      <c r="CH1436">
        <v>9.4219600000000001E-3</v>
      </c>
      <c r="CI1436">
        <v>33.783999999999999</v>
      </c>
      <c r="CJ1436">
        <f t="shared" si="170"/>
        <v>2625.6588643871182</v>
      </c>
      <c r="CL1436">
        <v>9.4219600000000001E-3</v>
      </c>
      <c r="CM1436">
        <v>1.831E-2</v>
      </c>
      <c r="CN1436">
        <f t="shared" si="171"/>
        <v>1.4230349812611929</v>
      </c>
    </row>
    <row r="1437" spans="4:92" x14ac:dyDescent="0.35">
      <c r="D1437">
        <v>1.031E-2</v>
      </c>
      <c r="E1437">
        <v>14.978199999999999</v>
      </c>
      <c r="F1437">
        <v>25.199100000000001</v>
      </c>
      <c r="G1437">
        <v>15.135999999999999</v>
      </c>
      <c r="I1437">
        <v>1.031E-2</v>
      </c>
      <c r="J1437">
        <f t="shared" si="167"/>
        <v>2.6583980885565569E-2</v>
      </c>
      <c r="K1437">
        <v>0.13373767802788994</v>
      </c>
      <c r="L1437">
        <v>4.9762218328002691E-2</v>
      </c>
      <c r="N1437">
        <v>1.031E-2</v>
      </c>
      <c r="O1437">
        <f t="shared" si="168"/>
        <v>0.13373767802788994</v>
      </c>
      <c r="Q1437">
        <v>1.031E-2</v>
      </c>
      <c r="R1437">
        <f t="shared" si="169"/>
        <v>4.9762218328002691E-2</v>
      </c>
      <c r="CH1437">
        <v>9.5439700000000006E-3</v>
      </c>
      <c r="CI1437">
        <v>34.159799999999997</v>
      </c>
      <c r="CJ1437">
        <f t="shared" si="170"/>
        <v>2654.8656664601904</v>
      </c>
      <c r="CL1437">
        <v>9.5439700000000006E-3</v>
      </c>
      <c r="CM1437">
        <v>2.034E-2</v>
      </c>
      <c r="CN1437">
        <f t="shared" si="171"/>
        <v>1.5808045613791732</v>
      </c>
    </row>
    <row r="1438" spans="4:92" x14ac:dyDescent="0.35">
      <c r="D1438">
        <v>1.04435E-2</v>
      </c>
      <c r="E1438">
        <v>15.0624</v>
      </c>
      <c r="F1438">
        <v>25.648199999999999</v>
      </c>
      <c r="G1438">
        <v>15.6137</v>
      </c>
      <c r="I1438">
        <v>1.04435E-2</v>
      </c>
      <c r="J1438">
        <f t="shared" si="167"/>
        <v>2.6733422820548722E-2</v>
      </c>
      <c r="K1438">
        <v>0.13612115962851556</v>
      </c>
      <c r="L1438">
        <v>5.1332739713790675E-2</v>
      </c>
      <c r="N1438">
        <v>1.04435E-2</v>
      </c>
      <c r="O1438">
        <f t="shared" si="168"/>
        <v>0.13612115962851556</v>
      </c>
      <c r="Q1438">
        <v>1.04435E-2</v>
      </c>
      <c r="R1438">
        <f t="shared" si="169"/>
        <v>5.1332739713790675E-2</v>
      </c>
      <c r="CH1438">
        <v>9.6675700000000003E-3</v>
      </c>
      <c r="CI1438">
        <v>34.434399999999997</v>
      </c>
      <c r="CJ1438">
        <f t="shared" si="170"/>
        <v>2676.2073052288592</v>
      </c>
      <c r="CL1438">
        <v>9.6675700000000003E-3</v>
      </c>
      <c r="CM1438">
        <v>2.0820000000000002E-2</v>
      </c>
      <c r="CN1438">
        <f t="shared" si="171"/>
        <v>1.6181096837716022</v>
      </c>
    </row>
    <row r="1439" spans="4:92" x14ac:dyDescent="0.35">
      <c r="D1439">
        <v>1.05787E-2</v>
      </c>
      <c r="E1439">
        <v>14.997400000000001</v>
      </c>
      <c r="F1439">
        <v>26.057200000000002</v>
      </c>
      <c r="G1439">
        <v>15.334899999999999</v>
      </c>
      <c r="I1439">
        <v>1.05787E-2</v>
      </c>
      <c r="J1439">
        <f t="shared" si="167"/>
        <v>2.6618057906369331E-2</v>
      </c>
      <c r="K1439">
        <v>0.13829182089472775</v>
      </c>
      <c r="L1439">
        <v>5.0416136485074557E-2</v>
      </c>
      <c r="N1439">
        <v>1.05787E-2</v>
      </c>
      <c r="O1439">
        <f t="shared" si="168"/>
        <v>0.13829182089472775</v>
      </c>
      <c r="Q1439">
        <v>1.05787E-2</v>
      </c>
      <c r="R1439">
        <f t="shared" si="169"/>
        <v>5.0416136485074557E-2</v>
      </c>
      <c r="CH1439">
        <v>9.7927599999999993E-3</v>
      </c>
      <c r="CI1439">
        <v>33.930100000000003</v>
      </c>
      <c r="CJ1439">
        <f t="shared" si="170"/>
        <v>2637.0136110153139</v>
      </c>
      <c r="CL1439">
        <v>9.7927599999999993E-3</v>
      </c>
      <c r="CM1439">
        <v>2.0639999999999999E-2</v>
      </c>
      <c r="CN1439">
        <f t="shared" si="171"/>
        <v>1.6041202628744411</v>
      </c>
    </row>
    <row r="1440" spans="4:92" x14ac:dyDescent="0.35">
      <c r="D1440">
        <v>1.07157E-2</v>
      </c>
      <c r="E1440">
        <v>15.135899999999999</v>
      </c>
      <c r="F1440">
        <v>26.810500000000001</v>
      </c>
      <c r="G1440">
        <v>15.460800000000001</v>
      </c>
      <c r="I1440">
        <v>1.07157E-2</v>
      </c>
      <c r="J1440">
        <f t="shared" si="167"/>
        <v>2.6863873915813109E-2</v>
      </c>
      <c r="K1440">
        <v>0.1422897649823503</v>
      </c>
      <c r="L1440">
        <v>5.0830054514111003E-2</v>
      </c>
      <c r="N1440">
        <v>1.07157E-2</v>
      </c>
      <c r="O1440">
        <f t="shared" si="168"/>
        <v>0.1422897649823503</v>
      </c>
      <c r="Q1440">
        <v>1.07157E-2</v>
      </c>
      <c r="R1440">
        <f t="shared" si="169"/>
        <v>5.0830054514111003E-2</v>
      </c>
      <c r="CH1440">
        <v>9.9195800000000008E-3</v>
      </c>
      <c r="CI1440">
        <v>34.5548</v>
      </c>
      <c r="CJ1440">
        <f t="shared" si="170"/>
        <v>2685.5646734289603</v>
      </c>
      <c r="CL1440">
        <v>9.9195800000000008E-3</v>
      </c>
      <c r="CM1440">
        <v>1.9040000000000001E-2</v>
      </c>
      <c r="CN1440">
        <f t="shared" si="171"/>
        <v>1.4797698548996785</v>
      </c>
    </row>
    <row r="1441" spans="4:92" x14ac:dyDescent="0.35">
      <c r="D1441">
        <v>1.08545E-2</v>
      </c>
      <c r="E1441">
        <v>15.157299999999999</v>
      </c>
      <c r="F1441">
        <v>25.8429</v>
      </c>
      <c r="G1441">
        <v>15.6059</v>
      </c>
      <c r="I1441">
        <v>1.08545E-2</v>
      </c>
      <c r="J1441">
        <f t="shared" si="167"/>
        <v>2.6901855595250629E-2</v>
      </c>
      <c r="K1441">
        <v>0.13715447930707672</v>
      </c>
      <c r="L1441">
        <v>5.1307095864493744E-2</v>
      </c>
      <c r="N1441">
        <v>1.08545E-2</v>
      </c>
      <c r="O1441">
        <f t="shared" si="168"/>
        <v>0.13715447930707672</v>
      </c>
      <c r="Q1441">
        <v>1.08545E-2</v>
      </c>
      <c r="R1441">
        <f t="shared" si="169"/>
        <v>5.1307095864493744E-2</v>
      </c>
      <c r="CH1441">
        <v>1.0048E-2</v>
      </c>
      <c r="CI1441">
        <v>34.509300000000003</v>
      </c>
      <c r="CJ1441">
        <f t="shared" si="170"/>
        <v>2682.0284587021783</v>
      </c>
      <c r="CL1441">
        <v>1.0048E-2</v>
      </c>
      <c r="CM1441">
        <v>2.0910000000000002E-2</v>
      </c>
      <c r="CN1441">
        <f t="shared" si="171"/>
        <v>1.6251043942201826</v>
      </c>
    </row>
    <row r="1442" spans="4:92" x14ac:dyDescent="0.35">
      <c r="D1442">
        <v>1.0995100000000001E-2</v>
      </c>
      <c r="E1442">
        <v>14.984</v>
      </c>
      <c r="F1442">
        <v>26.499700000000001</v>
      </c>
      <c r="G1442">
        <v>15.597899999999999</v>
      </c>
      <c r="I1442">
        <v>1.0995100000000001E-2</v>
      </c>
      <c r="J1442">
        <f t="shared" si="167"/>
        <v>2.659427498560004E-2</v>
      </c>
      <c r="K1442">
        <v>0.14064027470963944</v>
      </c>
      <c r="L1442">
        <v>5.1280794480599447E-2</v>
      </c>
      <c r="N1442">
        <v>1.0995100000000001E-2</v>
      </c>
      <c r="O1442">
        <f t="shared" si="168"/>
        <v>0.14064027470963944</v>
      </c>
      <c r="Q1442">
        <v>1.0995100000000001E-2</v>
      </c>
      <c r="R1442">
        <f t="shared" si="169"/>
        <v>5.1280794480599447E-2</v>
      </c>
      <c r="CH1442">
        <v>1.01782E-2</v>
      </c>
      <c r="CI1442">
        <v>33.798200000000001</v>
      </c>
      <c r="CJ1442">
        <f t="shared" si="170"/>
        <v>2626.7624742578946</v>
      </c>
      <c r="CL1442">
        <v>1.01782E-2</v>
      </c>
      <c r="CM1442">
        <v>2.1649999999999999E-2</v>
      </c>
      <c r="CN1442">
        <f t="shared" si="171"/>
        <v>1.6826164579085103</v>
      </c>
    </row>
    <row r="1443" spans="4:92" x14ac:dyDescent="0.35">
      <c r="D1443">
        <v>1.11374E-2</v>
      </c>
      <c r="E1443">
        <v>15.267300000000001</v>
      </c>
      <c r="F1443">
        <v>26.081800000000001</v>
      </c>
      <c r="G1443">
        <v>15.6183</v>
      </c>
      <c r="I1443">
        <v>1.11374E-2</v>
      </c>
      <c r="J1443">
        <f t="shared" si="167"/>
        <v>2.7097088526938835E-2</v>
      </c>
      <c r="K1443">
        <v>0.13842237900511606</v>
      </c>
      <c r="L1443">
        <v>5.1347863009529898E-2</v>
      </c>
      <c r="N1443">
        <v>1.11374E-2</v>
      </c>
      <c r="O1443">
        <f t="shared" si="168"/>
        <v>0.13842237900511606</v>
      </c>
      <c r="Q1443">
        <v>1.11374E-2</v>
      </c>
      <c r="R1443">
        <f t="shared" si="169"/>
        <v>5.1347863009529898E-2</v>
      </c>
      <c r="CH1443">
        <v>1.031E-2</v>
      </c>
      <c r="CI1443">
        <v>33.881500000000003</v>
      </c>
      <c r="CJ1443">
        <f t="shared" si="170"/>
        <v>2633.2364673730808</v>
      </c>
      <c r="CL1443">
        <v>1.031E-2</v>
      </c>
      <c r="CM1443">
        <v>2.095E-2</v>
      </c>
      <c r="CN1443">
        <f t="shared" si="171"/>
        <v>1.6282131544195515</v>
      </c>
    </row>
    <row r="1444" spans="4:92" x14ac:dyDescent="0.35">
      <c r="D1444">
        <v>1.12817E-2</v>
      </c>
      <c r="E1444">
        <v>14.7148</v>
      </c>
      <c r="F1444">
        <v>26.161000000000001</v>
      </c>
      <c r="G1444">
        <v>15.227499999999999</v>
      </c>
      <c r="I1444">
        <v>1.12817E-2</v>
      </c>
      <c r="J1444">
        <f t="shared" si="167"/>
        <v>2.6116486756414006E-2</v>
      </c>
      <c r="K1444">
        <v>0.13884271243368332</v>
      </c>
      <c r="L1444">
        <v>5.0063040406293675E-2</v>
      </c>
      <c r="N1444">
        <v>1.12817E-2</v>
      </c>
      <c r="O1444">
        <f t="shared" si="168"/>
        <v>0.13884271243368332</v>
      </c>
      <c r="Q1444">
        <v>1.12817E-2</v>
      </c>
      <c r="R1444">
        <f t="shared" si="169"/>
        <v>5.0063040406293675E-2</v>
      </c>
      <c r="CH1444">
        <v>1.04435E-2</v>
      </c>
      <c r="CI1444">
        <v>34.958500000000001</v>
      </c>
      <c r="CJ1444">
        <f t="shared" si="170"/>
        <v>2716.9398357410928</v>
      </c>
      <c r="CL1444">
        <v>1.04435E-2</v>
      </c>
      <c r="CM1444">
        <v>2.1000000000000001E-2</v>
      </c>
      <c r="CN1444">
        <f t="shared" si="171"/>
        <v>1.632099104668763</v>
      </c>
    </row>
    <row r="1445" spans="4:92" x14ac:dyDescent="0.35">
      <c r="D1445">
        <v>1.14278E-2</v>
      </c>
      <c r="E1445">
        <v>15.1366</v>
      </c>
      <c r="F1445">
        <v>26.2928</v>
      </c>
      <c r="G1445">
        <v>15.238</v>
      </c>
      <c r="I1445">
        <v>1.14278E-2</v>
      </c>
      <c r="J1445">
        <f t="shared" si="167"/>
        <v>2.6865116307196579E-2</v>
      </c>
      <c r="K1445">
        <v>0.1395422066999101</v>
      </c>
      <c r="L1445">
        <v>5.0097560972654942E-2</v>
      </c>
      <c r="N1445">
        <v>1.14278E-2</v>
      </c>
      <c r="O1445">
        <f t="shared" si="168"/>
        <v>0.1395422066999101</v>
      </c>
      <c r="Q1445">
        <v>1.14278E-2</v>
      </c>
      <c r="R1445">
        <f t="shared" si="169"/>
        <v>5.0097560972654942E-2</v>
      </c>
      <c r="CH1445">
        <v>1.05787E-2</v>
      </c>
      <c r="CI1445">
        <v>35.104599999999998</v>
      </c>
      <c r="CJ1445">
        <f t="shared" si="170"/>
        <v>2728.294582369288</v>
      </c>
      <c r="CL1445">
        <v>1.05787E-2</v>
      </c>
      <c r="CM1445">
        <v>2.0709999999999999E-2</v>
      </c>
      <c r="CN1445">
        <f t="shared" si="171"/>
        <v>1.609560593223337</v>
      </c>
    </row>
    <row r="1446" spans="4:92" x14ac:dyDescent="0.35">
      <c r="D1446">
        <v>1.1575800000000001E-2</v>
      </c>
      <c r="E1446">
        <v>14.964499999999999</v>
      </c>
      <c r="F1446">
        <v>26.171299999999999</v>
      </c>
      <c r="G1446">
        <v>15.258900000000001</v>
      </c>
      <c r="I1446">
        <v>1.1575800000000001E-2</v>
      </c>
      <c r="J1446">
        <f t="shared" si="167"/>
        <v>2.6559665511346219E-2</v>
      </c>
      <c r="K1446">
        <v>0.13889737700835808</v>
      </c>
      <c r="L1446">
        <v>5.0166273338078778E-2</v>
      </c>
      <c r="N1446">
        <v>1.1575800000000001E-2</v>
      </c>
      <c r="O1446">
        <f t="shared" si="168"/>
        <v>0.13889737700835808</v>
      </c>
      <c r="Q1446">
        <v>1.1575800000000001E-2</v>
      </c>
      <c r="R1446">
        <f t="shared" si="169"/>
        <v>5.0166273338078778E-2</v>
      </c>
      <c r="CH1446">
        <v>1.07157E-2</v>
      </c>
      <c r="CI1446">
        <v>33.812600000000003</v>
      </c>
      <c r="CJ1446">
        <f t="shared" si="170"/>
        <v>2627.8816279296675</v>
      </c>
      <c r="CL1446">
        <v>1.07157E-2</v>
      </c>
      <c r="CM1446">
        <v>1.8579999999999999E-2</v>
      </c>
      <c r="CN1446">
        <f t="shared" si="171"/>
        <v>1.4440191126069339</v>
      </c>
    </row>
    <row r="1447" spans="4:92" x14ac:dyDescent="0.35">
      <c r="D1447">
        <v>1.17257E-2</v>
      </c>
      <c r="E1447">
        <v>15.026899999999999</v>
      </c>
      <c r="F1447">
        <v>26.3278</v>
      </c>
      <c r="G1447">
        <v>15.619400000000001</v>
      </c>
      <c r="I1447">
        <v>1.17257E-2</v>
      </c>
      <c r="J1447">
        <f t="shared" si="167"/>
        <v>2.6670415828958436E-2</v>
      </c>
      <c r="K1447">
        <v>0.13972796010899916</v>
      </c>
      <c r="L1447">
        <v>5.1351479449815371E-2</v>
      </c>
      <c r="N1447">
        <v>1.17257E-2</v>
      </c>
      <c r="O1447">
        <f t="shared" si="168"/>
        <v>0.13972796010899916</v>
      </c>
      <c r="Q1447">
        <v>1.17257E-2</v>
      </c>
      <c r="R1447">
        <f t="shared" si="169"/>
        <v>5.1351479449815371E-2</v>
      </c>
      <c r="CH1447">
        <v>1.08545E-2</v>
      </c>
      <c r="CI1447">
        <v>34.748800000000003</v>
      </c>
      <c r="CJ1447">
        <f t="shared" si="170"/>
        <v>2700.6421603959006</v>
      </c>
      <c r="CL1447">
        <v>1.08545E-2</v>
      </c>
      <c r="CM1447">
        <v>1.9740000000000001E-2</v>
      </c>
      <c r="CN1447">
        <f t="shared" si="171"/>
        <v>1.5341731583886371</v>
      </c>
    </row>
    <row r="1448" spans="4:92" x14ac:dyDescent="0.35">
      <c r="D1448">
        <v>1.1877499999999999E-2</v>
      </c>
      <c r="E1448">
        <v>15.269</v>
      </c>
      <c r="F1448">
        <v>26.263200000000001</v>
      </c>
      <c r="G1448">
        <v>15.9527</v>
      </c>
      <c r="I1448">
        <v>1.1877499999999999E-2</v>
      </c>
      <c r="J1448">
        <f t="shared" si="167"/>
        <v>2.7100105763155836E-2</v>
      </c>
      <c r="K1448">
        <v>0.13938511238822338</v>
      </c>
      <c r="L1448">
        <v>5.2447260856311358E-2</v>
      </c>
      <c r="N1448">
        <v>1.1877499999999999E-2</v>
      </c>
      <c r="O1448">
        <f t="shared" si="168"/>
        <v>0.13938511238822338</v>
      </c>
      <c r="Q1448">
        <v>1.1877499999999999E-2</v>
      </c>
      <c r="R1448">
        <f t="shared" si="169"/>
        <v>5.2447260856311358E-2</v>
      </c>
      <c r="CH1448">
        <v>1.0995100000000001E-2</v>
      </c>
      <c r="CI1448">
        <v>35.308799999999998</v>
      </c>
      <c r="CJ1448">
        <f t="shared" si="170"/>
        <v>2744.1648031870673</v>
      </c>
      <c r="CL1448">
        <v>1.0995100000000001E-2</v>
      </c>
      <c r="CM1448">
        <v>2.215E-2</v>
      </c>
      <c r="CN1448">
        <f t="shared" si="171"/>
        <v>1.7214759604006236</v>
      </c>
    </row>
    <row r="1449" spans="4:92" x14ac:dyDescent="0.35">
      <c r="D1449">
        <v>1.20313E-2</v>
      </c>
      <c r="E1449">
        <v>15.0572</v>
      </c>
      <c r="F1449">
        <v>27.2029</v>
      </c>
      <c r="G1449">
        <v>15.628500000000001</v>
      </c>
      <c r="I1449">
        <v>1.20313E-2</v>
      </c>
      <c r="J1449">
        <f t="shared" si="167"/>
        <v>2.6724193627414371E-2</v>
      </c>
      <c r="K1449">
        <v>0.14437232606025166</v>
      </c>
      <c r="L1449">
        <v>5.1381397273995127E-2</v>
      </c>
      <c r="N1449">
        <v>1.20313E-2</v>
      </c>
      <c r="O1449">
        <f t="shared" si="168"/>
        <v>0.14437232606025166</v>
      </c>
      <c r="Q1449">
        <v>1.20313E-2</v>
      </c>
      <c r="R1449">
        <f t="shared" si="169"/>
        <v>5.1381397273995127E-2</v>
      </c>
      <c r="CH1449">
        <v>1.11374E-2</v>
      </c>
      <c r="CI1449">
        <v>33.8461</v>
      </c>
      <c r="CJ1449">
        <f t="shared" si="170"/>
        <v>2630.4852145966388</v>
      </c>
      <c r="CL1449">
        <v>1.11374E-2</v>
      </c>
      <c r="CM1449">
        <v>1.9800000000000002E-2</v>
      </c>
      <c r="CN1449">
        <f t="shared" si="171"/>
        <v>1.5388362986876909</v>
      </c>
    </row>
    <row r="1450" spans="4:92" x14ac:dyDescent="0.35">
      <c r="D1450">
        <v>1.2187099999999999E-2</v>
      </c>
      <c r="E1450">
        <v>15.055400000000001</v>
      </c>
      <c r="F1450">
        <v>25.6937</v>
      </c>
      <c r="G1450">
        <v>15.6891</v>
      </c>
      <c r="I1450">
        <v>1.2187099999999999E-2</v>
      </c>
      <c r="J1450">
        <f t="shared" si="167"/>
        <v>2.6720998906714019E-2</v>
      </c>
      <c r="K1450">
        <v>0.13636263906033136</v>
      </c>
      <c r="L1450">
        <v>5.1580630256994386E-2</v>
      </c>
      <c r="N1450">
        <v>1.2187099999999999E-2</v>
      </c>
      <c r="O1450">
        <f t="shared" si="168"/>
        <v>0.13636263906033136</v>
      </c>
      <c r="Q1450">
        <v>1.2187099999999999E-2</v>
      </c>
      <c r="R1450">
        <f t="shared" si="169"/>
        <v>5.1580630256994386E-2</v>
      </c>
      <c r="CH1450">
        <v>1.12817E-2</v>
      </c>
      <c r="CI1450">
        <v>34.152900000000002</v>
      </c>
      <c r="CJ1450">
        <f t="shared" si="170"/>
        <v>2654.3294053257996</v>
      </c>
      <c r="CL1450">
        <v>1.12817E-2</v>
      </c>
      <c r="CM1450">
        <v>1.8589999999999999E-2</v>
      </c>
      <c r="CN1450">
        <f t="shared" si="171"/>
        <v>1.4447963026567763</v>
      </c>
    </row>
    <row r="1451" spans="4:92" x14ac:dyDescent="0.35">
      <c r="D1451">
        <v>1.2345E-2</v>
      </c>
      <c r="E1451">
        <v>15.133599999999999</v>
      </c>
      <c r="F1451">
        <v>26.8781</v>
      </c>
      <c r="G1451">
        <v>15.583299999999999</v>
      </c>
      <c r="I1451">
        <v>1.2345E-2</v>
      </c>
      <c r="J1451">
        <f t="shared" si="167"/>
        <v>2.6859791772695991E-2</v>
      </c>
      <c r="K1451">
        <v>0.14264853442390515</v>
      </c>
      <c r="L1451">
        <v>5.1232794454992368E-2</v>
      </c>
      <c r="N1451">
        <v>1.2345E-2</v>
      </c>
      <c r="O1451">
        <f t="shared" si="168"/>
        <v>0.14264853442390515</v>
      </c>
      <c r="Q1451">
        <v>1.2345E-2</v>
      </c>
      <c r="R1451">
        <f t="shared" si="169"/>
        <v>5.1232794454992368E-2</v>
      </c>
      <c r="CH1451">
        <v>1.14278E-2</v>
      </c>
      <c r="CI1451">
        <v>34.337400000000002</v>
      </c>
      <c r="CJ1451">
        <f t="shared" si="170"/>
        <v>2668.6685617453895</v>
      </c>
      <c r="CL1451">
        <v>1.14278E-2</v>
      </c>
      <c r="CM1451">
        <v>2.061E-2</v>
      </c>
      <c r="CN1451">
        <f t="shared" si="171"/>
        <v>1.6017886927249143</v>
      </c>
    </row>
    <row r="1452" spans="4:92" x14ac:dyDescent="0.35">
      <c r="D1452">
        <v>1.25048E-2</v>
      </c>
      <c r="E1452">
        <v>15.132199999999999</v>
      </c>
      <c r="F1452">
        <v>26.932099999999998</v>
      </c>
      <c r="G1452">
        <v>15.193199999999999</v>
      </c>
      <c r="I1452">
        <v>1.25048E-2</v>
      </c>
      <c r="J1452">
        <f t="shared" si="167"/>
        <v>2.6857306989929053E-2</v>
      </c>
      <c r="K1452">
        <v>0.14293512539792827</v>
      </c>
      <c r="L1452">
        <v>4.9950273222846897E-2</v>
      </c>
      <c r="N1452">
        <v>1.25048E-2</v>
      </c>
      <c r="O1452">
        <f t="shared" si="168"/>
        <v>0.14293512539792827</v>
      </c>
      <c r="Q1452">
        <v>1.25048E-2</v>
      </c>
      <c r="R1452">
        <f t="shared" si="169"/>
        <v>4.9950273222846897E-2</v>
      </c>
      <c r="CH1452">
        <v>1.1575800000000001E-2</v>
      </c>
      <c r="CI1452">
        <v>34.023000000000003</v>
      </c>
      <c r="CJ1452">
        <f t="shared" si="170"/>
        <v>2644.2337065783486</v>
      </c>
      <c r="CL1452">
        <v>1.1575800000000001E-2</v>
      </c>
      <c r="CM1452">
        <v>2.1010000000000001E-2</v>
      </c>
      <c r="CN1452">
        <f t="shared" si="171"/>
        <v>1.6328762947186053</v>
      </c>
    </row>
    <row r="1453" spans="4:92" x14ac:dyDescent="0.35">
      <c r="D1453">
        <v>1.2666800000000001E-2</v>
      </c>
      <c r="E1453">
        <v>14.9864</v>
      </c>
      <c r="F1453">
        <v>26.6145</v>
      </c>
      <c r="G1453">
        <v>15.1754</v>
      </c>
      <c r="I1453">
        <v>1.2666800000000001E-2</v>
      </c>
      <c r="J1453">
        <f t="shared" si="167"/>
        <v>2.6598534613200511E-2</v>
      </c>
      <c r="K1453">
        <v>0.14124954589145156</v>
      </c>
      <c r="L1453">
        <v>4.9891752643682091E-2</v>
      </c>
      <c r="N1453">
        <v>1.2666800000000001E-2</v>
      </c>
      <c r="O1453">
        <f t="shared" si="168"/>
        <v>0.14124954589145156</v>
      </c>
      <c r="Q1453">
        <v>1.2666800000000001E-2</v>
      </c>
      <c r="R1453">
        <f t="shared" si="169"/>
        <v>4.9891752643682091E-2</v>
      </c>
      <c r="CH1453">
        <v>1.17257E-2</v>
      </c>
      <c r="CI1453">
        <v>35.251800000000003</v>
      </c>
      <c r="CJ1453">
        <f t="shared" si="170"/>
        <v>2739.7348199029666</v>
      </c>
      <c r="CL1453">
        <v>1.17257E-2</v>
      </c>
      <c r="CM1453">
        <v>1.9550000000000001E-2</v>
      </c>
      <c r="CN1453">
        <f t="shared" si="171"/>
        <v>1.5194065474416341</v>
      </c>
    </row>
    <row r="1454" spans="4:92" x14ac:dyDescent="0.35">
      <c r="D1454">
        <v>1.28308E-2</v>
      </c>
      <c r="E1454">
        <v>14.8355</v>
      </c>
      <c r="F1454">
        <v>26.022300000000001</v>
      </c>
      <c r="G1454">
        <v>15.338900000000001</v>
      </c>
      <c r="I1454">
        <v>1.28308E-2</v>
      </c>
      <c r="J1454">
        <f t="shared" si="167"/>
        <v>2.6330710527820968E-2</v>
      </c>
      <c r="K1454">
        <v>0.13810659820966467</v>
      </c>
      <c r="L1454">
        <v>5.0429287177021713E-2</v>
      </c>
      <c r="N1454">
        <v>1.28308E-2</v>
      </c>
      <c r="O1454">
        <f t="shared" si="168"/>
        <v>0.13810659820966467</v>
      </c>
      <c r="Q1454">
        <v>1.28308E-2</v>
      </c>
      <c r="R1454">
        <f t="shared" si="169"/>
        <v>5.0429287177021713E-2</v>
      </c>
      <c r="CH1454">
        <v>1.1877499999999999E-2</v>
      </c>
      <c r="CI1454">
        <v>33.421399999999998</v>
      </c>
      <c r="CJ1454">
        <f t="shared" si="170"/>
        <v>2597.4779531798376</v>
      </c>
      <c r="CL1454">
        <v>1.1877499999999999E-2</v>
      </c>
      <c r="CM1454">
        <v>1.9939999999999999E-2</v>
      </c>
      <c r="CN1454">
        <f t="shared" si="171"/>
        <v>1.5497169593854825</v>
      </c>
    </row>
    <row r="1455" spans="4:92" x14ac:dyDescent="0.35">
      <c r="D1455">
        <v>1.2997E-2</v>
      </c>
      <c r="E1455">
        <v>15.214700000000001</v>
      </c>
      <c r="F1455">
        <v>27.013400000000001</v>
      </c>
      <c r="G1455">
        <v>15.3629</v>
      </c>
      <c r="I1455">
        <v>1.2997E-2</v>
      </c>
      <c r="J1455">
        <f t="shared" si="167"/>
        <v>2.7003731688695205E-2</v>
      </c>
      <c r="K1455">
        <v>0.14336660403104087</v>
      </c>
      <c r="L1455">
        <v>5.0508191328704592E-2</v>
      </c>
      <c r="N1455">
        <v>1.2997E-2</v>
      </c>
      <c r="O1455">
        <f t="shared" si="168"/>
        <v>0.14336660403104087</v>
      </c>
      <c r="Q1455">
        <v>1.2997E-2</v>
      </c>
      <c r="R1455">
        <f t="shared" si="169"/>
        <v>5.0508191328704592E-2</v>
      </c>
      <c r="CH1455">
        <v>1.20313E-2</v>
      </c>
      <c r="CI1455">
        <v>35.4983</v>
      </c>
      <c r="CJ1455">
        <f t="shared" si="170"/>
        <v>2758.8925546315786</v>
      </c>
      <c r="CL1455">
        <v>1.20313E-2</v>
      </c>
      <c r="CM1455">
        <v>2.2210000000000001E-2</v>
      </c>
      <c r="CN1455">
        <f t="shared" si="171"/>
        <v>1.7261391006996774</v>
      </c>
    </row>
    <row r="1456" spans="4:92" x14ac:dyDescent="0.35">
      <c r="D1456">
        <v>1.31653E-2</v>
      </c>
      <c r="E1456">
        <v>14.9955</v>
      </c>
      <c r="F1456">
        <v>26.137699999999999</v>
      </c>
      <c r="G1456">
        <v>15.4497</v>
      </c>
      <c r="I1456">
        <v>1.31653E-2</v>
      </c>
      <c r="J1456">
        <f t="shared" si="167"/>
        <v>2.6614685701185626E-2</v>
      </c>
      <c r="K1456">
        <v>0.13871905373563259</v>
      </c>
      <c r="L1456">
        <v>5.0793561343957669E-2</v>
      </c>
      <c r="N1456">
        <v>1.31653E-2</v>
      </c>
      <c r="O1456">
        <f t="shared" si="168"/>
        <v>0.13871905373563259</v>
      </c>
      <c r="Q1456">
        <v>1.31653E-2</v>
      </c>
      <c r="R1456">
        <f t="shared" si="169"/>
        <v>5.0793561343957669E-2</v>
      </c>
      <c r="CH1456">
        <v>1.2187099999999999E-2</v>
      </c>
      <c r="CI1456">
        <v>34.685200000000002</v>
      </c>
      <c r="CJ1456">
        <f t="shared" si="170"/>
        <v>2695.6992316789037</v>
      </c>
      <c r="CL1456">
        <v>1.2187099999999999E-2</v>
      </c>
      <c r="CM1456">
        <v>2.247E-2</v>
      </c>
      <c r="CN1456">
        <f t="shared" si="171"/>
        <v>1.7463460419955763</v>
      </c>
    </row>
    <row r="1457" spans="4:92" x14ac:dyDescent="0.35">
      <c r="D1457">
        <v>1.33358E-2</v>
      </c>
      <c r="E1457">
        <v>15.1905</v>
      </c>
      <c r="F1457">
        <v>27.127199999999998</v>
      </c>
      <c r="G1457">
        <v>15.362</v>
      </c>
      <c r="I1457">
        <v>1.33358E-2</v>
      </c>
      <c r="J1457">
        <f t="shared" si="167"/>
        <v>2.6960780443723797E-2</v>
      </c>
      <c r="K1457">
        <v>0.14397056797259331</v>
      </c>
      <c r="L1457">
        <v>5.0505232423016487E-2</v>
      </c>
      <c r="N1457">
        <v>1.33358E-2</v>
      </c>
      <c r="O1457">
        <f t="shared" si="168"/>
        <v>0.14397056797259331</v>
      </c>
      <c r="Q1457">
        <v>1.33358E-2</v>
      </c>
      <c r="R1457">
        <f t="shared" si="169"/>
        <v>5.0505232423016487E-2</v>
      </c>
      <c r="CH1457">
        <v>1.2345E-2</v>
      </c>
      <c r="CI1457">
        <v>33.805999999999997</v>
      </c>
      <c r="CJ1457">
        <f t="shared" si="170"/>
        <v>2627.3686824967713</v>
      </c>
      <c r="CL1457">
        <v>1.2345E-2</v>
      </c>
      <c r="CM1457">
        <v>1.865E-2</v>
      </c>
      <c r="CN1457">
        <f t="shared" si="171"/>
        <v>1.4494594429558298</v>
      </c>
    </row>
    <row r="1458" spans="4:92" x14ac:dyDescent="0.35">
      <c r="D1458">
        <v>1.35085E-2</v>
      </c>
      <c r="E1458">
        <v>15.134399999999999</v>
      </c>
      <c r="F1458">
        <v>25.8705</v>
      </c>
      <c r="G1458">
        <v>15.4594</v>
      </c>
      <c r="I1458">
        <v>1.35085E-2</v>
      </c>
      <c r="J1458">
        <f t="shared" si="167"/>
        <v>2.6861211648562817E-2</v>
      </c>
      <c r="K1458">
        <v>0.13730095913824411</v>
      </c>
      <c r="L1458">
        <v>5.08254517719295E-2</v>
      </c>
      <c r="N1458">
        <v>1.35085E-2</v>
      </c>
      <c r="O1458">
        <f t="shared" si="168"/>
        <v>0.13730095913824411</v>
      </c>
      <c r="Q1458">
        <v>1.35085E-2</v>
      </c>
      <c r="R1458">
        <f t="shared" si="169"/>
        <v>5.08254517719295E-2</v>
      </c>
      <c r="CH1458">
        <v>1.25048E-2</v>
      </c>
      <c r="CI1458">
        <v>34.886800000000001</v>
      </c>
      <c r="CJ1458">
        <f t="shared" si="170"/>
        <v>2711.3673830837238</v>
      </c>
      <c r="CL1458">
        <v>1.25048E-2</v>
      </c>
      <c r="CM1458">
        <v>1.856E-2</v>
      </c>
      <c r="CN1458">
        <f t="shared" si="171"/>
        <v>1.4424647325072495</v>
      </c>
    </row>
    <row r="1459" spans="4:92" x14ac:dyDescent="0.35">
      <c r="D1459">
        <v>1.36834E-2</v>
      </c>
      <c r="E1459">
        <v>14.8294</v>
      </c>
      <c r="F1459">
        <v>26.511800000000001</v>
      </c>
      <c r="G1459">
        <v>15.581300000000001</v>
      </c>
      <c r="I1459">
        <v>1.36834E-2</v>
      </c>
      <c r="J1459">
        <f t="shared" si="167"/>
        <v>2.631988397433644E-2</v>
      </c>
      <c r="K1459">
        <v>0.14070449231678164</v>
      </c>
      <c r="L1459">
        <v>5.1226219109018797E-2</v>
      </c>
      <c r="N1459">
        <v>1.36834E-2</v>
      </c>
      <c r="O1459">
        <f t="shared" si="168"/>
        <v>0.14070449231678164</v>
      </c>
      <c r="Q1459">
        <v>1.36834E-2</v>
      </c>
      <c r="R1459">
        <f t="shared" si="169"/>
        <v>5.1226219109018797E-2</v>
      </c>
      <c r="CH1459">
        <v>1.2666800000000001E-2</v>
      </c>
      <c r="CI1459">
        <v>34.598100000000002</v>
      </c>
      <c r="CJ1459">
        <f t="shared" si="170"/>
        <v>2688.9299063447775</v>
      </c>
      <c r="CL1459">
        <v>1.2666800000000001E-2</v>
      </c>
      <c r="CM1459">
        <v>1.9230000000000001E-2</v>
      </c>
      <c r="CN1459">
        <f t="shared" si="171"/>
        <v>1.4945364658466815</v>
      </c>
    </row>
    <row r="1460" spans="4:92" x14ac:dyDescent="0.35">
      <c r="D1460">
        <v>1.3860600000000001E-2</v>
      </c>
      <c r="E1460">
        <v>15.3081</v>
      </c>
      <c r="F1460">
        <v>27.0778</v>
      </c>
      <c r="G1460">
        <v>15.592700000000001</v>
      </c>
      <c r="I1460">
        <v>1.3860600000000001E-2</v>
      </c>
      <c r="J1460">
        <f t="shared" si="167"/>
        <v>2.7169502196146823E-2</v>
      </c>
      <c r="K1460">
        <v>0.14370839030376475</v>
      </c>
      <c r="L1460">
        <v>5.1263698581068162E-2</v>
      </c>
      <c r="N1460">
        <v>1.3860600000000001E-2</v>
      </c>
      <c r="O1460">
        <f t="shared" si="168"/>
        <v>0.14370839030376475</v>
      </c>
      <c r="Q1460">
        <v>1.3860600000000001E-2</v>
      </c>
      <c r="R1460">
        <f t="shared" si="169"/>
        <v>5.1263698581068162E-2</v>
      </c>
      <c r="CH1460">
        <v>1.28308E-2</v>
      </c>
      <c r="CI1460">
        <v>33.779800000000002</v>
      </c>
      <c r="CJ1460">
        <f t="shared" si="170"/>
        <v>2625.3324445661847</v>
      </c>
      <c r="CL1460">
        <v>1.28308E-2</v>
      </c>
      <c r="CM1460">
        <v>2.0039999999999999E-2</v>
      </c>
      <c r="CN1460">
        <f t="shared" si="171"/>
        <v>1.557488859883905</v>
      </c>
    </row>
    <row r="1461" spans="4:92" x14ac:dyDescent="0.35">
      <c r="D1461">
        <v>1.40401E-2</v>
      </c>
      <c r="E1461">
        <v>15.0235</v>
      </c>
      <c r="F1461">
        <v>26.6493</v>
      </c>
      <c r="G1461">
        <v>15.631</v>
      </c>
      <c r="I1461">
        <v>1.40401E-2</v>
      </c>
      <c r="J1461">
        <f t="shared" si="167"/>
        <v>2.6664381356524443E-2</v>
      </c>
      <c r="K1461">
        <v>0.14143423785248868</v>
      </c>
      <c r="L1461">
        <v>5.1389616456462089E-2</v>
      </c>
      <c r="N1461">
        <v>1.40401E-2</v>
      </c>
      <c r="O1461">
        <f t="shared" si="168"/>
        <v>0.14143423785248868</v>
      </c>
      <c r="Q1461">
        <v>1.40401E-2</v>
      </c>
      <c r="R1461">
        <f t="shared" si="169"/>
        <v>5.1389616456462089E-2</v>
      </c>
      <c r="CH1461">
        <v>1.2997E-2</v>
      </c>
      <c r="CI1461">
        <v>34.319299999999998</v>
      </c>
      <c r="CJ1461">
        <f t="shared" si="170"/>
        <v>2667.261847755175</v>
      </c>
      <c r="CL1461">
        <v>1.2997E-2</v>
      </c>
      <c r="CM1461">
        <v>1.9179999999999999E-2</v>
      </c>
      <c r="CN1461">
        <f t="shared" si="171"/>
        <v>1.4906505155974701</v>
      </c>
    </row>
    <row r="1462" spans="4:92" x14ac:dyDescent="0.35">
      <c r="D1462">
        <v>1.4221900000000001E-2</v>
      </c>
      <c r="E1462">
        <v>15.322900000000001</v>
      </c>
      <c r="F1462">
        <v>27.0017</v>
      </c>
      <c r="G1462">
        <v>15.472799999999999</v>
      </c>
      <c r="I1462">
        <v>1.4221900000000001E-2</v>
      </c>
      <c r="J1462">
        <f t="shared" si="167"/>
        <v>2.7195769899683055E-2</v>
      </c>
      <c r="K1462">
        <v>0.14330450932000252</v>
      </c>
      <c r="L1462">
        <v>5.0869506589952443E-2</v>
      </c>
      <c r="N1462">
        <v>1.4221900000000001E-2</v>
      </c>
      <c r="O1462">
        <f t="shared" si="168"/>
        <v>0.14330450932000252</v>
      </c>
      <c r="Q1462">
        <v>1.4221900000000001E-2</v>
      </c>
      <c r="R1462">
        <f t="shared" si="169"/>
        <v>5.0869506589952443E-2</v>
      </c>
      <c r="CH1462">
        <v>1.31653E-2</v>
      </c>
      <c r="CI1462">
        <v>33.990200000000002</v>
      </c>
      <c r="CJ1462">
        <f t="shared" si="170"/>
        <v>2641.6845232148662</v>
      </c>
      <c r="CL1462">
        <v>1.31653E-2</v>
      </c>
      <c r="CM1462">
        <v>2.1780000000000001E-2</v>
      </c>
      <c r="CN1462">
        <f t="shared" si="171"/>
        <v>1.6927199285564598</v>
      </c>
    </row>
    <row r="1463" spans="4:92" x14ac:dyDescent="0.35">
      <c r="D1463">
        <v>1.44061E-2</v>
      </c>
      <c r="E1463">
        <v>15.0291</v>
      </c>
      <c r="F1463">
        <v>26.6738</v>
      </c>
      <c r="G1463">
        <v>15.7963</v>
      </c>
      <c r="I1463">
        <v>1.44061E-2</v>
      </c>
      <c r="J1463">
        <f t="shared" si="167"/>
        <v>2.6674320487592204E-2</v>
      </c>
      <c r="K1463">
        <v>0.14156426523885102</v>
      </c>
      <c r="L1463">
        <v>5.1933068801177922E-2</v>
      </c>
      <c r="N1463">
        <v>1.44061E-2</v>
      </c>
      <c r="O1463">
        <f t="shared" si="168"/>
        <v>0.14156426523885102</v>
      </c>
      <c r="Q1463">
        <v>1.44061E-2</v>
      </c>
      <c r="R1463">
        <f t="shared" si="169"/>
        <v>5.1933068801177922E-2</v>
      </c>
      <c r="CH1463">
        <v>1.33358E-2</v>
      </c>
      <c r="CI1463">
        <v>34.0002</v>
      </c>
      <c r="CJ1463">
        <f t="shared" si="170"/>
        <v>2642.4617132647081</v>
      </c>
      <c r="CL1463">
        <v>1.33358E-2</v>
      </c>
      <c r="CM1463">
        <v>1.7760000000000001E-2</v>
      </c>
      <c r="CN1463">
        <f t="shared" si="171"/>
        <v>1.3802895285198682</v>
      </c>
    </row>
    <row r="1464" spans="4:92" x14ac:dyDescent="0.35">
      <c r="D1464">
        <v>1.45927E-2</v>
      </c>
      <c r="E1464">
        <v>15.0756</v>
      </c>
      <c r="F1464">
        <v>27.440899999999999</v>
      </c>
      <c r="G1464">
        <v>15.4246</v>
      </c>
      <c r="I1464">
        <v>1.45927E-2</v>
      </c>
      <c r="J1464">
        <f t="shared" si="167"/>
        <v>2.6756850772351307E-2</v>
      </c>
      <c r="K1464">
        <v>0.14563544924205726</v>
      </c>
      <c r="L1464">
        <v>5.0711040751989324E-2</v>
      </c>
      <c r="N1464">
        <v>1.45927E-2</v>
      </c>
      <c r="O1464">
        <f t="shared" si="168"/>
        <v>0.14563544924205726</v>
      </c>
      <c r="Q1464">
        <v>1.45927E-2</v>
      </c>
      <c r="R1464">
        <f t="shared" si="169"/>
        <v>5.0711040751989324E-2</v>
      </c>
      <c r="CH1464">
        <v>1.35085E-2</v>
      </c>
      <c r="CI1464">
        <v>34.683</v>
      </c>
      <c r="CJ1464">
        <f t="shared" si="170"/>
        <v>2695.528249867938</v>
      </c>
      <c r="CL1464">
        <v>1.35085E-2</v>
      </c>
      <c r="CM1464">
        <v>1.8950000000000002E-2</v>
      </c>
      <c r="CN1464">
        <f t="shared" si="171"/>
        <v>1.4727751444510981</v>
      </c>
    </row>
    <row r="1465" spans="4:92" x14ac:dyDescent="0.35">
      <c r="D1465">
        <v>1.4781600000000001E-2</v>
      </c>
      <c r="E1465">
        <v>15.1776</v>
      </c>
      <c r="F1465">
        <v>26.893699999999999</v>
      </c>
      <c r="G1465">
        <v>15.5479</v>
      </c>
      <c r="I1465">
        <v>1.4781600000000001E-2</v>
      </c>
      <c r="J1465">
        <f t="shared" si="167"/>
        <v>2.6937884945371273E-2</v>
      </c>
      <c r="K1465">
        <v>0.14273132737195629</v>
      </c>
      <c r="L1465">
        <v>5.1116410831260124E-2</v>
      </c>
      <c r="N1465">
        <v>1.4781600000000001E-2</v>
      </c>
      <c r="O1465">
        <f t="shared" si="168"/>
        <v>0.14273132737195629</v>
      </c>
      <c r="Q1465">
        <v>1.4781600000000001E-2</v>
      </c>
      <c r="R1465">
        <f t="shared" si="169"/>
        <v>5.1116410831260124E-2</v>
      </c>
      <c r="CH1465">
        <v>1.36834E-2</v>
      </c>
      <c r="CI1465">
        <v>35.057600000000001</v>
      </c>
      <c r="CJ1465">
        <f t="shared" si="170"/>
        <v>2724.6417891350297</v>
      </c>
      <c r="CL1465">
        <v>1.36834E-2</v>
      </c>
      <c r="CM1465">
        <v>2.3550000000000001E-2</v>
      </c>
      <c r="CN1465">
        <f t="shared" si="171"/>
        <v>1.8302825673785414</v>
      </c>
    </row>
    <row r="1466" spans="4:92" x14ac:dyDescent="0.35">
      <c r="D1466">
        <v>1.49731E-2</v>
      </c>
      <c r="E1466">
        <v>15.1304</v>
      </c>
      <c r="F1466">
        <v>27.109300000000001</v>
      </c>
      <c r="G1466">
        <v>15.891</v>
      </c>
      <c r="I1466">
        <v>1.49731E-2</v>
      </c>
      <c r="J1466">
        <f t="shared" si="167"/>
        <v>2.6854112269228701E-2</v>
      </c>
      <c r="K1466">
        <v>0.14387556837194493</v>
      </c>
      <c r="L1466">
        <v>5.2244411433026612E-2</v>
      </c>
      <c r="N1466">
        <v>1.49731E-2</v>
      </c>
      <c r="O1466">
        <f t="shared" si="168"/>
        <v>0.14387556837194493</v>
      </c>
      <c r="Q1466">
        <v>1.49731E-2</v>
      </c>
      <c r="R1466">
        <f t="shared" si="169"/>
        <v>5.2244411433026612E-2</v>
      </c>
      <c r="CH1466">
        <v>1.3860600000000001E-2</v>
      </c>
      <c r="CI1466">
        <v>34.707599999999999</v>
      </c>
      <c r="CJ1466">
        <f t="shared" si="170"/>
        <v>2697.4401373905503</v>
      </c>
      <c r="CL1466">
        <v>1.3860600000000001E-2</v>
      </c>
      <c r="CM1466">
        <v>1.8960000000000001E-2</v>
      </c>
      <c r="CN1466">
        <f t="shared" si="171"/>
        <v>1.4735523345009403</v>
      </c>
    </row>
    <row r="1467" spans="4:92" x14ac:dyDescent="0.35">
      <c r="D1467">
        <v>1.5167E-2</v>
      </c>
      <c r="E1467">
        <v>15.2544</v>
      </c>
      <c r="F1467">
        <v>26.8932</v>
      </c>
      <c r="G1467">
        <v>15.651400000000001</v>
      </c>
      <c r="I1467">
        <v>1.5167E-2</v>
      </c>
      <c r="J1467">
        <f t="shared" si="167"/>
        <v>2.707419302858631E-2</v>
      </c>
      <c r="K1467">
        <v>0.14272867375182646</v>
      </c>
      <c r="L1467">
        <v>5.1456684985392541E-2</v>
      </c>
      <c r="N1467">
        <v>1.5167E-2</v>
      </c>
      <c r="O1467">
        <f t="shared" si="168"/>
        <v>0.14272867375182646</v>
      </c>
      <c r="Q1467">
        <v>1.5167E-2</v>
      </c>
      <c r="R1467">
        <f t="shared" si="169"/>
        <v>5.1456684985392541E-2</v>
      </c>
      <c r="CH1467">
        <v>1.40401E-2</v>
      </c>
      <c r="CI1467">
        <v>34.239600000000003</v>
      </c>
      <c r="CJ1467">
        <f t="shared" si="170"/>
        <v>2661.0676430579324</v>
      </c>
      <c r="CL1467">
        <v>1.40401E-2</v>
      </c>
      <c r="CM1467">
        <v>1.7000000000000001E-2</v>
      </c>
      <c r="CN1467">
        <f t="shared" si="171"/>
        <v>1.3212230847318558</v>
      </c>
    </row>
    <row r="1468" spans="4:92" x14ac:dyDescent="0.35">
      <c r="D1468">
        <v>1.5363399999999999E-2</v>
      </c>
      <c r="E1468">
        <v>15.2972</v>
      </c>
      <c r="F1468">
        <v>27.334599999999998</v>
      </c>
      <c r="G1468">
        <v>15.696999999999999</v>
      </c>
      <c r="I1468">
        <v>1.5363399999999999E-2</v>
      </c>
      <c r="J1468">
        <f t="shared" si="167"/>
        <v>2.7150156387461356E-2</v>
      </c>
      <c r="K1468">
        <v>0.14507128960245247</v>
      </c>
      <c r="L1468">
        <v>5.160660287359E-2</v>
      </c>
      <c r="N1468">
        <v>1.5363399999999999E-2</v>
      </c>
      <c r="O1468">
        <f t="shared" si="168"/>
        <v>0.14507128960245247</v>
      </c>
      <c r="Q1468">
        <v>1.5363399999999999E-2</v>
      </c>
      <c r="R1468">
        <f t="shared" si="169"/>
        <v>5.160660287359E-2</v>
      </c>
      <c r="CH1468">
        <v>1.4221900000000001E-2</v>
      </c>
      <c r="CI1468">
        <v>34.642000000000003</v>
      </c>
      <c r="CJ1468">
        <f t="shared" si="170"/>
        <v>2692.3417706635851</v>
      </c>
      <c r="CL1468">
        <v>1.4221900000000001E-2</v>
      </c>
      <c r="CM1468">
        <v>1.8460000000000001E-2</v>
      </c>
      <c r="CN1468">
        <f t="shared" si="171"/>
        <v>1.4346928320088268</v>
      </c>
    </row>
    <row r="1469" spans="4:92" x14ac:dyDescent="0.35">
      <c r="D1469">
        <v>1.5562299999999999E-2</v>
      </c>
      <c r="E1469">
        <v>15.111700000000001</v>
      </c>
      <c r="F1469">
        <v>27.073799999999999</v>
      </c>
      <c r="G1469">
        <v>15.351800000000001</v>
      </c>
      <c r="I1469">
        <v>1.5562299999999999E-2</v>
      </c>
      <c r="J1469">
        <f t="shared" si="167"/>
        <v>2.6820922670841706E-2</v>
      </c>
      <c r="K1469">
        <v>0.14368716134272599</v>
      </c>
      <c r="L1469">
        <v>5.0471698158551265E-2</v>
      </c>
      <c r="N1469">
        <v>1.5562299999999999E-2</v>
      </c>
      <c r="O1469">
        <f t="shared" si="168"/>
        <v>0.14368716134272599</v>
      </c>
      <c r="Q1469">
        <v>1.5562299999999999E-2</v>
      </c>
      <c r="R1469">
        <f t="shared" si="169"/>
        <v>5.0471698158551265E-2</v>
      </c>
      <c r="CH1469">
        <v>1.44061E-2</v>
      </c>
      <c r="CI1469">
        <v>34.681100000000001</v>
      </c>
      <c r="CJ1469">
        <f t="shared" si="170"/>
        <v>2695.3805837584682</v>
      </c>
      <c r="CL1469">
        <v>1.44061E-2</v>
      </c>
      <c r="CM1469">
        <v>2.1180000000000001E-2</v>
      </c>
      <c r="CN1469">
        <f t="shared" si="171"/>
        <v>1.6460885255659237</v>
      </c>
    </row>
    <row r="1470" spans="4:92" x14ac:dyDescent="0.35">
      <c r="D1470">
        <v>1.5763900000000001E-2</v>
      </c>
      <c r="E1470">
        <v>15.1997</v>
      </c>
      <c r="F1470">
        <v>27.704799999999999</v>
      </c>
      <c r="G1470">
        <v>15.6936</v>
      </c>
      <c r="I1470">
        <v>1.5763900000000001E-2</v>
      </c>
      <c r="J1470">
        <f t="shared" si="167"/>
        <v>2.6977109016192269E-2</v>
      </c>
      <c r="K1470">
        <v>0.14703602994658879</v>
      </c>
      <c r="L1470">
        <v>5.1595424785434933E-2</v>
      </c>
      <c r="N1470">
        <v>1.5763900000000001E-2</v>
      </c>
      <c r="O1470">
        <f t="shared" si="168"/>
        <v>0.14703602994658879</v>
      </c>
      <c r="Q1470">
        <v>1.5763900000000001E-2</v>
      </c>
      <c r="R1470">
        <f t="shared" si="169"/>
        <v>5.1595424785434933E-2</v>
      </c>
      <c r="CH1470">
        <v>1.45927E-2</v>
      </c>
      <c r="CI1470">
        <v>34.621499999999997</v>
      </c>
      <c r="CJ1470">
        <f t="shared" si="170"/>
        <v>2690.7485310614079</v>
      </c>
      <c r="CL1470">
        <v>1.45927E-2</v>
      </c>
      <c r="CM1470">
        <v>2.248E-2</v>
      </c>
      <c r="CN1470">
        <f t="shared" si="171"/>
        <v>1.7471232320454186</v>
      </c>
    </row>
    <row r="1471" spans="4:92" x14ac:dyDescent="0.35">
      <c r="D1471">
        <v>1.5968E-2</v>
      </c>
      <c r="E1471">
        <v>15.2781</v>
      </c>
      <c r="F1471">
        <v>26.209099999999999</v>
      </c>
      <c r="G1471">
        <v>15.355</v>
      </c>
      <c r="I1471">
        <v>1.5968E-2</v>
      </c>
      <c r="J1471">
        <f t="shared" si="167"/>
        <v>2.7116256851140951E-2</v>
      </c>
      <c r="K1471">
        <v>0.13909799069017426</v>
      </c>
      <c r="L1471">
        <v>5.0482218712108978E-2</v>
      </c>
      <c r="N1471">
        <v>1.5968E-2</v>
      </c>
      <c r="O1471">
        <f t="shared" si="168"/>
        <v>0.13909799069017426</v>
      </c>
      <c r="Q1471">
        <v>1.5968E-2</v>
      </c>
      <c r="R1471">
        <f t="shared" si="169"/>
        <v>5.0482218712108978E-2</v>
      </c>
      <c r="CH1471">
        <v>1.4781600000000001E-2</v>
      </c>
      <c r="CI1471">
        <v>35.2774</v>
      </c>
      <c r="CJ1471">
        <f t="shared" si="170"/>
        <v>2741.7244264305627</v>
      </c>
      <c r="CL1471">
        <v>1.4781600000000001E-2</v>
      </c>
      <c r="CM1471">
        <v>1.9369999999999998E-2</v>
      </c>
      <c r="CN1471">
        <f t="shared" si="171"/>
        <v>1.5054171265444731</v>
      </c>
    </row>
    <row r="1472" spans="4:92" x14ac:dyDescent="0.35">
      <c r="D1472">
        <v>1.61748E-2</v>
      </c>
      <c r="E1472">
        <v>15.166600000000001</v>
      </c>
      <c r="F1472">
        <v>27.1389</v>
      </c>
      <c r="G1472">
        <v>15.6462</v>
      </c>
      <c r="I1472">
        <v>1.61748E-2</v>
      </c>
      <c r="J1472">
        <f t="shared" si="167"/>
        <v>2.6918361652202457E-2</v>
      </c>
      <c r="K1472">
        <v>0.14403266268363166</v>
      </c>
      <c r="L1472">
        <v>5.143958908586125E-2</v>
      </c>
      <c r="N1472">
        <v>1.61748E-2</v>
      </c>
      <c r="O1472">
        <f t="shared" si="168"/>
        <v>0.14403266268363166</v>
      </c>
      <c r="Q1472">
        <v>1.61748E-2</v>
      </c>
      <c r="R1472">
        <f t="shared" si="169"/>
        <v>5.143958908586125E-2</v>
      </c>
      <c r="CH1472">
        <v>1.49731E-2</v>
      </c>
      <c r="CI1472">
        <v>35.052999999999997</v>
      </c>
      <c r="CJ1472">
        <f t="shared" si="170"/>
        <v>2724.2842817121018</v>
      </c>
      <c r="CL1472">
        <v>1.49731E-2</v>
      </c>
      <c r="CM1472">
        <v>2.0750000000000001E-2</v>
      </c>
      <c r="CN1472">
        <f t="shared" si="171"/>
        <v>1.6126693534227063</v>
      </c>
    </row>
    <row r="1473" spans="4:92" x14ac:dyDescent="0.35">
      <c r="D1473">
        <v>1.6384300000000001E-2</v>
      </c>
      <c r="E1473">
        <v>15.411099999999999</v>
      </c>
      <c r="F1473">
        <v>27.574999999999999</v>
      </c>
      <c r="G1473">
        <v>15.684100000000001</v>
      </c>
      <c r="I1473">
        <v>1.6384300000000001E-2</v>
      </c>
      <c r="J1473">
        <f t="shared" si="167"/>
        <v>2.7352311214000318E-2</v>
      </c>
      <c r="K1473">
        <v>0.14634715016088135</v>
      </c>
      <c r="L1473">
        <v>5.1564191892060469E-2</v>
      </c>
      <c r="N1473">
        <v>1.6384300000000001E-2</v>
      </c>
      <c r="O1473">
        <f t="shared" si="168"/>
        <v>0.14634715016088135</v>
      </c>
      <c r="Q1473">
        <v>1.6384300000000001E-2</v>
      </c>
      <c r="R1473">
        <f t="shared" si="169"/>
        <v>5.1564191892060469E-2</v>
      </c>
      <c r="CH1473">
        <v>1.5167E-2</v>
      </c>
      <c r="CI1473">
        <v>34.691600000000001</v>
      </c>
      <c r="CJ1473">
        <f t="shared" si="170"/>
        <v>2696.1966333108026</v>
      </c>
      <c r="CL1473">
        <v>1.5167E-2</v>
      </c>
      <c r="CM1473">
        <v>2.0199999999999999E-2</v>
      </c>
      <c r="CN1473">
        <f t="shared" si="171"/>
        <v>1.5699239006813814</v>
      </c>
    </row>
    <row r="1474" spans="4:92" x14ac:dyDescent="0.35">
      <c r="D1474">
        <v>1.6596400000000001E-2</v>
      </c>
      <c r="E1474">
        <v>15.2964</v>
      </c>
      <c r="F1474">
        <v>26.662600000000001</v>
      </c>
      <c r="G1474">
        <v>15.6167</v>
      </c>
      <c r="I1474">
        <v>1.6596400000000001E-2</v>
      </c>
      <c r="J1474">
        <f t="shared" si="167"/>
        <v>2.714873651159453E-2</v>
      </c>
      <c r="K1474">
        <v>0.14150482414794255</v>
      </c>
      <c r="L1474">
        <v>5.1342602732751035E-2</v>
      </c>
      <c r="N1474">
        <v>1.6596400000000001E-2</v>
      </c>
      <c r="O1474">
        <f t="shared" si="168"/>
        <v>0.14150482414794255</v>
      </c>
      <c r="Q1474">
        <v>1.6596400000000001E-2</v>
      </c>
      <c r="R1474">
        <f t="shared" si="169"/>
        <v>5.1342602732751035E-2</v>
      </c>
      <c r="CH1474">
        <v>1.5363399999999999E-2</v>
      </c>
      <c r="CI1474">
        <v>33.271099999999997</v>
      </c>
      <c r="CJ1474">
        <f t="shared" si="170"/>
        <v>2585.7967867307084</v>
      </c>
      <c r="CL1474">
        <v>1.5363399999999999E-2</v>
      </c>
      <c r="CM1474">
        <v>1.9859999999999999E-2</v>
      </c>
      <c r="CN1474">
        <f t="shared" si="171"/>
        <v>1.5434994389867442</v>
      </c>
    </row>
    <row r="1475" spans="4:92" x14ac:dyDescent="0.35">
      <c r="D1475">
        <v>1.6811400000000001E-2</v>
      </c>
      <c r="E1475">
        <v>15.243</v>
      </c>
      <c r="F1475">
        <v>28.604299999999999</v>
      </c>
      <c r="G1475">
        <v>15.298400000000001</v>
      </c>
      <c r="I1475">
        <v>1.6811400000000001E-2</v>
      </c>
      <c r="J1475">
        <f t="shared" si="167"/>
        <v>2.7053959797484078E-2</v>
      </c>
      <c r="K1475">
        <v>0.15180989256017763</v>
      </c>
      <c r="L1475">
        <v>5.0296136421056854E-2</v>
      </c>
      <c r="N1475">
        <v>1.6811400000000001E-2</v>
      </c>
      <c r="O1475">
        <f t="shared" si="168"/>
        <v>0.15180989256017763</v>
      </c>
      <c r="Q1475">
        <v>1.6811400000000001E-2</v>
      </c>
      <c r="R1475">
        <f t="shared" si="169"/>
        <v>5.0296136421056854E-2</v>
      </c>
      <c r="CH1475">
        <v>1.5562299999999999E-2</v>
      </c>
      <c r="CI1475">
        <v>34.468600000000002</v>
      </c>
      <c r="CJ1475">
        <f t="shared" si="170"/>
        <v>2678.8652951993204</v>
      </c>
      <c r="CL1475">
        <v>1.5562299999999999E-2</v>
      </c>
      <c r="CM1475">
        <v>1.8530000000000001E-2</v>
      </c>
      <c r="CN1475">
        <f t="shared" si="171"/>
        <v>1.4401331623577227</v>
      </c>
    </row>
    <row r="1476" spans="4:92" x14ac:dyDescent="0.35">
      <c r="D1476">
        <v>1.7029099999999998E-2</v>
      </c>
      <c r="E1476">
        <v>15.2346</v>
      </c>
      <c r="F1476">
        <v>27.428100000000001</v>
      </c>
      <c r="G1476">
        <v>15.675800000000001</v>
      </c>
      <c r="I1476">
        <v>1.7029099999999998E-2</v>
      </c>
      <c r="J1476">
        <f t="shared" ref="J1476:J1539" si="172">E1476/SUM($E$3:$E$2002)/$C$3</f>
        <v>2.7039051100882436E-2</v>
      </c>
      <c r="K1476">
        <v>0.14556751656673328</v>
      </c>
      <c r="L1476">
        <v>5.1536904206270134E-2</v>
      </c>
      <c r="N1476">
        <v>1.7029099999999998E-2</v>
      </c>
      <c r="O1476">
        <f t="shared" ref="O1476:O1539" si="173">F1476/SUM($F$3:$F$2002)/$C$3</f>
        <v>0.14556751656673328</v>
      </c>
      <c r="Q1476">
        <v>1.7029099999999998E-2</v>
      </c>
      <c r="R1476">
        <f t="shared" ref="R1476:R1539" si="174">G1476/SUM($G$3:$G$2002)/$C$3</f>
        <v>5.1536904206270134E-2</v>
      </c>
      <c r="CH1476">
        <v>1.5763900000000001E-2</v>
      </c>
      <c r="CI1476">
        <v>34.128500000000003</v>
      </c>
      <c r="CJ1476">
        <f t="shared" si="170"/>
        <v>2652.4330616041848</v>
      </c>
      <c r="CL1476">
        <v>1.5763900000000001E-2</v>
      </c>
      <c r="CM1476">
        <v>2.0240000000000001E-2</v>
      </c>
      <c r="CN1476">
        <f t="shared" si="171"/>
        <v>1.5730326608807506</v>
      </c>
    </row>
    <row r="1477" spans="4:92" x14ac:dyDescent="0.35">
      <c r="D1477">
        <v>1.72496E-2</v>
      </c>
      <c r="E1477">
        <v>15.297499999999999</v>
      </c>
      <c r="F1477">
        <v>27.526499999999999</v>
      </c>
      <c r="G1477">
        <v>15.581899999999999</v>
      </c>
      <c r="I1477">
        <v>1.72496E-2</v>
      </c>
      <c r="J1477">
        <f t="shared" si="172"/>
        <v>2.7150688840911413E-2</v>
      </c>
      <c r="K1477">
        <v>0.1460897490082865</v>
      </c>
      <c r="L1477">
        <v>5.1228191712810865E-2</v>
      </c>
      <c r="N1477">
        <v>1.72496E-2</v>
      </c>
      <c r="O1477">
        <f t="shared" si="173"/>
        <v>0.1460897490082865</v>
      </c>
      <c r="Q1477">
        <v>1.72496E-2</v>
      </c>
      <c r="R1477">
        <f t="shared" si="174"/>
        <v>5.1228191712810865E-2</v>
      </c>
      <c r="CH1477">
        <v>1.5968E-2</v>
      </c>
      <c r="CI1477">
        <v>33.387099999999997</v>
      </c>
      <c r="CJ1477">
        <f t="shared" si="170"/>
        <v>2594.8121913088785</v>
      </c>
      <c r="CL1477">
        <v>1.5968E-2</v>
      </c>
      <c r="CM1477">
        <v>2.0500000000000001E-2</v>
      </c>
      <c r="CN1477">
        <f t="shared" si="171"/>
        <v>1.5932396021766495</v>
      </c>
    </row>
    <row r="1478" spans="4:92" x14ac:dyDescent="0.35">
      <c r="D1478">
        <v>1.7472999999999999E-2</v>
      </c>
      <c r="E1478">
        <v>15.039300000000001</v>
      </c>
      <c r="F1478">
        <v>27.716200000000001</v>
      </c>
      <c r="G1478">
        <v>15.439</v>
      </c>
      <c r="I1478">
        <v>1.7472999999999999E-2</v>
      </c>
      <c r="J1478">
        <f t="shared" si="172"/>
        <v>2.6692423904894201E-2</v>
      </c>
      <c r="K1478">
        <v>0.14709653248554921</v>
      </c>
      <c r="L1478">
        <v>5.0758383242999049E-2</v>
      </c>
      <c r="N1478">
        <v>1.7472999999999999E-2</v>
      </c>
      <c r="O1478">
        <f t="shared" si="173"/>
        <v>0.14709653248554921</v>
      </c>
      <c r="Q1478">
        <v>1.7472999999999999E-2</v>
      </c>
      <c r="R1478">
        <f t="shared" si="174"/>
        <v>5.0758383242999049E-2</v>
      </c>
      <c r="CH1478">
        <v>1.61748E-2</v>
      </c>
      <c r="CI1478">
        <v>35.652099999999997</v>
      </c>
      <c r="CJ1478">
        <f t="shared" si="170"/>
        <v>2770.845737598152</v>
      </c>
      <c r="CL1478">
        <v>1.61748E-2</v>
      </c>
      <c r="CM1478">
        <v>2.0979999999999999E-2</v>
      </c>
      <c r="CN1478">
        <f t="shared" si="171"/>
        <v>1.6305447245690783</v>
      </c>
    </row>
    <row r="1479" spans="4:92" x14ac:dyDescent="0.35">
      <c r="D1479">
        <v>1.7699300000000001E-2</v>
      </c>
      <c r="E1479">
        <v>14.986700000000001</v>
      </c>
      <c r="F1479">
        <v>27.875399999999999</v>
      </c>
      <c r="G1479">
        <v>15.702500000000001</v>
      </c>
      <c r="I1479">
        <v>1.7699300000000001E-2</v>
      </c>
      <c r="J1479">
        <f t="shared" si="172"/>
        <v>2.6599067066650571E-2</v>
      </c>
      <c r="K1479">
        <v>0.14794144513489146</v>
      </c>
      <c r="L1479">
        <v>5.1624685075017336E-2</v>
      </c>
      <c r="N1479">
        <v>1.7699300000000001E-2</v>
      </c>
      <c r="O1479">
        <f t="shared" si="173"/>
        <v>0.14794144513489146</v>
      </c>
      <c r="Q1479">
        <v>1.7699300000000001E-2</v>
      </c>
      <c r="R1479">
        <f t="shared" si="174"/>
        <v>5.1624685075017336E-2</v>
      </c>
      <c r="CH1479">
        <v>1.6384300000000001E-2</v>
      </c>
      <c r="CI1479">
        <v>34.814799999999998</v>
      </c>
      <c r="CJ1479">
        <f t="shared" si="170"/>
        <v>2705.7716147248593</v>
      </c>
      <c r="CL1479">
        <v>1.6384300000000001E-2</v>
      </c>
      <c r="CM1479">
        <v>2.0140000000000002E-2</v>
      </c>
      <c r="CN1479">
        <f t="shared" si="171"/>
        <v>1.5652607603823279</v>
      </c>
    </row>
    <row r="1480" spans="4:92" x14ac:dyDescent="0.35">
      <c r="D1480">
        <v>1.79285E-2</v>
      </c>
      <c r="E1480">
        <v>15.233499999999999</v>
      </c>
      <c r="F1480">
        <v>27.003799999999998</v>
      </c>
      <c r="G1480">
        <v>15.515700000000001</v>
      </c>
      <c r="I1480">
        <v>1.79285E-2</v>
      </c>
      <c r="J1480">
        <f t="shared" si="172"/>
        <v>2.703709877156555E-2</v>
      </c>
      <c r="K1480">
        <v>0.14331565452454786</v>
      </c>
      <c r="L1480">
        <v>5.1010547761085594E-2</v>
      </c>
      <c r="N1480">
        <v>1.79285E-2</v>
      </c>
      <c r="O1480">
        <f t="shared" si="173"/>
        <v>0.14331565452454786</v>
      </c>
      <c r="Q1480">
        <v>1.79285E-2</v>
      </c>
      <c r="R1480">
        <f t="shared" si="174"/>
        <v>5.1010547761085594E-2</v>
      </c>
      <c r="CH1480">
        <v>1.6596400000000001E-2</v>
      </c>
      <c r="CI1480">
        <v>35.992199999999997</v>
      </c>
      <c r="CJ1480">
        <f t="shared" si="170"/>
        <v>2797.2779711932876</v>
      </c>
      <c r="CL1480">
        <v>1.6596400000000001E-2</v>
      </c>
      <c r="CM1480">
        <v>1.787E-2</v>
      </c>
      <c r="CN1480">
        <f t="shared" si="171"/>
        <v>1.388838619068133</v>
      </c>
    </row>
    <row r="1481" spans="4:92" x14ac:dyDescent="0.35">
      <c r="D1481">
        <v>1.8160699999999998E-2</v>
      </c>
      <c r="E1481">
        <v>15.501799999999999</v>
      </c>
      <c r="F1481">
        <v>27.024699999999999</v>
      </c>
      <c r="G1481">
        <v>15.8642</v>
      </c>
      <c r="I1481">
        <v>1.8160699999999998E-2</v>
      </c>
      <c r="J1481">
        <f t="shared" si="172"/>
        <v>2.7513289640401409E-2</v>
      </c>
      <c r="K1481">
        <v>0.14342657584597535</v>
      </c>
      <c r="L1481">
        <v>5.2156301796980734E-2</v>
      </c>
      <c r="N1481">
        <v>1.8160699999999998E-2</v>
      </c>
      <c r="O1481">
        <f t="shared" si="173"/>
        <v>0.14342657584597535</v>
      </c>
      <c r="Q1481">
        <v>1.8160699999999998E-2</v>
      </c>
      <c r="R1481">
        <f t="shared" si="174"/>
        <v>5.2156301796980734E-2</v>
      </c>
      <c r="CH1481">
        <v>1.6811400000000001E-2</v>
      </c>
      <c r="CI1481">
        <v>34.696599999999997</v>
      </c>
      <c r="CJ1481">
        <f t="shared" si="170"/>
        <v>2696.5852283357235</v>
      </c>
      <c r="CL1481">
        <v>1.6811400000000001E-2</v>
      </c>
      <c r="CM1481">
        <v>2.0789999999999999E-2</v>
      </c>
      <c r="CN1481">
        <f t="shared" si="171"/>
        <v>1.6157781136220752</v>
      </c>
    </row>
    <row r="1482" spans="4:92" x14ac:dyDescent="0.35">
      <c r="D1482">
        <v>1.83958E-2</v>
      </c>
      <c r="E1482">
        <v>15.118600000000001</v>
      </c>
      <c r="F1482">
        <v>27.761399999999998</v>
      </c>
      <c r="G1482">
        <v>15.730399999999999</v>
      </c>
      <c r="I1482">
        <v>1.83958E-2</v>
      </c>
      <c r="J1482">
        <f t="shared" si="172"/>
        <v>2.6833169100193059E-2</v>
      </c>
      <c r="K1482">
        <v>0.14733641974528708</v>
      </c>
      <c r="L1482">
        <v>5.1716411151348687E-2</v>
      </c>
      <c r="N1482">
        <v>1.83958E-2</v>
      </c>
      <c r="O1482">
        <f t="shared" si="173"/>
        <v>0.14733641974528708</v>
      </c>
      <c r="Q1482">
        <v>1.83958E-2</v>
      </c>
      <c r="R1482">
        <f t="shared" si="174"/>
        <v>5.1716411151348687E-2</v>
      </c>
      <c r="CH1482">
        <v>1.7029099999999998E-2</v>
      </c>
      <c r="CI1482">
        <v>35.236499999999999</v>
      </c>
      <c r="CJ1482">
        <f t="shared" ref="CJ1482:CJ1545" si="175">CI1482/$CG$9</f>
        <v>2738.5457191267078</v>
      </c>
      <c r="CL1482">
        <v>1.7029099999999998E-2</v>
      </c>
      <c r="CM1482">
        <v>1.7500000000000002E-2</v>
      </c>
      <c r="CN1482">
        <f t="shared" ref="CN1482:CN1545" si="176">CM1482/$CG$9</f>
        <v>1.3600825872239692</v>
      </c>
    </row>
    <row r="1483" spans="4:92" x14ac:dyDescent="0.35">
      <c r="D1483">
        <v>1.8634100000000001E-2</v>
      </c>
      <c r="E1483">
        <v>15.117000000000001</v>
      </c>
      <c r="F1483">
        <v>27.864000000000001</v>
      </c>
      <c r="G1483">
        <v>15.523400000000001</v>
      </c>
      <c r="I1483">
        <v>1.8634100000000001E-2</v>
      </c>
      <c r="J1483">
        <f t="shared" si="172"/>
        <v>2.6830329348459411E-2</v>
      </c>
      <c r="K1483">
        <v>0.14788094259593104</v>
      </c>
      <c r="L1483">
        <v>5.1035862843083847E-2</v>
      </c>
      <c r="N1483">
        <v>1.8634100000000001E-2</v>
      </c>
      <c r="O1483">
        <f t="shared" si="173"/>
        <v>0.14788094259593104</v>
      </c>
      <c r="Q1483">
        <v>1.8634100000000001E-2</v>
      </c>
      <c r="R1483">
        <f t="shared" si="174"/>
        <v>5.1035862843083847E-2</v>
      </c>
      <c r="CH1483">
        <v>1.72496E-2</v>
      </c>
      <c r="CI1483">
        <v>34.424399999999999</v>
      </c>
      <c r="CJ1483">
        <f t="shared" si="175"/>
        <v>2675.4301151790169</v>
      </c>
      <c r="CL1483">
        <v>1.72496E-2</v>
      </c>
      <c r="CM1483">
        <v>2.078E-2</v>
      </c>
      <c r="CN1483">
        <f t="shared" si="176"/>
        <v>1.6150009235722329</v>
      </c>
    </row>
    <row r="1484" spans="4:92" x14ac:dyDescent="0.35">
      <c r="D1484">
        <v>1.8875400000000001E-2</v>
      </c>
      <c r="E1484">
        <v>15.3378</v>
      </c>
      <c r="F1484">
        <v>27.824400000000001</v>
      </c>
      <c r="G1484">
        <v>15.2422</v>
      </c>
      <c r="I1484">
        <v>1.8875400000000001E-2</v>
      </c>
      <c r="J1484">
        <f t="shared" si="172"/>
        <v>2.7222215087702634E-2</v>
      </c>
      <c r="K1484">
        <v>0.1476707758816474</v>
      </c>
      <c r="L1484">
        <v>5.0111369199199444E-2</v>
      </c>
      <c r="N1484">
        <v>1.8875400000000001E-2</v>
      </c>
      <c r="O1484">
        <f t="shared" si="173"/>
        <v>0.1476707758816474</v>
      </c>
      <c r="Q1484">
        <v>1.8875400000000001E-2</v>
      </c>
      <c r="R1484">
        <f t="shared" si="174"/>
        <v>5.0111369199199444E-2</v>
      </c>
      <c r="CH1484">
        <v>1.7472999999999999E-2</v>
      </c>
      <c r="CI1484">
        <v>34.507899999999999</v>
      </c>
      <c r="CJ1484">
        <f t="shared" si="175"/>
        <v>2681.9196520952</v>
      </c>
      <c r="CL1484">
        <v>1.7472999999999999E-2</v>
      </c>
      <c r="CM1484">
        <v>1.864E-2</v>
      </c>
      <c r="CN1484">
        <f t="shared" si="176"/>
        <v>1.4486822529059877</v>
      </c>
    </row>
    <row r="1485" spans="4:92" x14ac:dyDescent="0.35">
      <c r="D1485">
        <v>1.9119799999999999E-2</v>
      </c>
      <c r="E1485">
        <v>15.167299999999999</v>
      </c>
      <c r="F1485">
        <v>27.942399999999999</v>
      </c>
      <c r="G1485">
        <v>15.335800000000001</v>
      </c>
      <c r="I1485">
        <v>1.9119799999999999E-2</v>
      </c>
      <c r="J1485">
        <f t="shared" si="172"/>
        <v>2.6919604043585923E-2</v>
      </c>
      <c r="K1485">
        <v>0.14829703023229052</v>
      </c>
      <c r="L1485">
        <v>5.0419095390762669E-2</v>
      </c>
      <c r="N1485">
        <v>1.9119799999999999E-2</v>
      </c>
      <c r="O1485">
        <f t="shared" si="173"/>
        <v>0.14829703023229052</v>
      </c>
      <c r="Q1485">
        <v>1.9119799999999999E-2</v>
      </c>
      <c r="R1485">
        <f t="shared" si="174"/>
        <v>5.0419095390762669E-2</v>
      </c>
      <c r="CH1485">
        <v>1.7699300000000001E-2</v>
      </c>
      <c r="CI1485">
        <v>35.0747</v>
      </c>
      <c r="CJ1485">
        <f t="shared" si="175"/>
        <v>2725.9707841202599</v>
      </c>
      <c r="CL1485">
        <v>1.7699300000000001E-2</v>
      </c>
      <c r="CM1485">
        <v>1.9380000000000001E-2</v>
      </c>
      <c r="CN1485">
        <f t="shared" si="176"/>
        <v>1.5061943165943155</v>
      </c>
    </row>
    <row r="1486" spans="4:92" x14ac:dyDescent="0.35">
      <c r="D1486">
        <v>1.93674E-2</v>
      </c>
      <c r="E1486">
        <v>15.143000000000001</v>
      </c>
      <c r="F1486">
        <v>27.9602</v>
      </c>
      <c r="G1486">
        <v>15.356</v>
      </c>
      <c r="I1486">
        <v>1.93674E-2</v>
      </c>
      <c r="J1486">
        <f t="shared" si="172"/>
        <v>2.6876475314131169E-2</v>
      </c>
      <c r="K1486">
        <v>0.14839149910891297</v>
      </c>
      <c r="L1486">
        <v>5.048550638509576E-2</v>
      </c>
      <c r="N1486">
        <v>1.93674E-2</v>
      </c>
      <c r="O1486">
        <f t="shared" si="173"/>
        <v>0.14839149910891297</v>
      </c>
      <c r="Q1486">
        <v>1.93674E-2</v>
      </c>
      <c r="R1486">
        <f t="shared" si="174"/>
        <v>5.048550638509576E-2</v>
      </c>
      <c r="CH1486">
        <v>1.79285E-2</v>
      </c>
      <c r="CI1486">
        <v>35.055399999999999</v>
      </c>
      <c r="CJ1486">
        <f t="shared" si="175"/>
        <v>2724.470807324064</v>
      </c>
      <c r="CL1486">
        <v>1.79285E-2</v>
      </c>
      <c r="CM1486">
        <v>1.8689999999999998E-2</v>
      </c>
      <c r="CN1486">
        <f t="shared" si="176"/>
        <v>1.4525682031551987</v>
      </c>
    </row>
    <row r="1487" spans="4:92" x14ac:dyDescent="0.35">
      <c r="D1487">
        <v>1.9618199999999999E-2</v>
      </c>
      <c r="E1487">
        <v>14.998100000000001</v>
      </c>
      <c r="F1487">
        <v>28.765999999999998</v>
      </c>
      <c r="G1487">
        <v>15.5786</v>
      </c>
      <c r="I1487">
        <v>1.9618199999999999E-2</v>
      </c>
      <c r="J1487">
        <f t="shared" si="172"/>
        <v>2.6619300297752804E-2</v>
      </c>
      <c r="K1487">
        <v>0.1526680733101691</v>
      </c>
      <c r="L1487">
        <v>5.1217342391954475E-2</v>
      </c>
      <c r="N1487">
        <v>1.9618199999999999E-2</v>
      </c>
      <c r="O1487">
        <f t="shared" si="173"/>
        <v>0.1526680733101691</v>
      </c>
      <c r="Q1487">
        <v>1.9618199999999999E-2</v>
      </c>
      <c r="R1487">
        <f t="shared" si="174"/>
        <v>5.1217342391954475E-2</v>
      </c>
      <c r="CH1487">
        <v>1.8160699999999998E-2</v>
      </c>
      <c r="CI1487">
        <v>35.235399999999998</v>
      </c>
      <c r="CJ1487">
        <f t="shared" si="175"/>
        <v>2738.460228221225</v>
      </c>
      <c r="CL1487">
        <v>1.8160699999999998E-2</v>
      </c>
      <c r="CM1487">
        <v>2.2190000000000001E-2</v>
      </c>
      <c r="CN1487">
        <f t="shared" si="176"/>
        <v>1.7245847205999929</v>
      </c>
    </row>
    <row r="1488" spans="4:92" x14ac:dyDescent="0.35">
      <c r="D1488">
        <v>1.9872299999999999E-2</v>
      </c>
      <c r="E1488">
        <v>15.311</v>
      </c>
      <c r="F1488">
        <v>28.672499999999999</v>
      </c>
      <c r="G1488">
        <v>15.118</v>
      </c>
      <c r="I1488">
        <v>1.9872299999999999E-2</v>
      </c>
      <c r="J1488">
        <f t="shared" si="172"/>
        <v>2.7174649246164057E-2</v>
      </c>
      <c r="K1488">
        <v>0.15217184634588835</v>
      </c>
      <c r="L1488">
        <v>4.9703040214240539E-2</v>
      </c>
      <c r="N1488">
        <v>1.9872299999999999E-2</v>
      </c>
      <c r="O1488">
        <f t="shared" si="173"/>
        <v>0.15217184634588835</v>
      </c>
      <c r="Q1488">
        <v>1.9872299999999999E-2</v>
      </c>
      <c r="R1488">
        <f t="shared" si="174"/>
        <v>4.9703040214240539E-2</v>
      </c>
      <c r="CH1488">
        <v>1.83958E-2</v>
      </c>
      <c r="CI1488">
        <v>33.977499999999999</v>
      </c>
      <c r="CJ1488">
        <f t="shared" si="175"/>
        <v>2640.6974918515662</v>
      </c>
      <c r="CL1488">
        <v>1.83958E-2</v>
      </c>
      <c r="CM1488">
        <v>2.0789999999999999E-2</v>
      </c>
      <c r="CN1488">
        <f t="shared" si="176"/>
        <v>1.6157781136220752</v>
      </c>
    </row>
    <row r="1489" spans="4:92" x14ac:dyDescent="0.35">
      <c r="D1489">
        <v>2.0129600000000001E-2</v>
      </c>
      <c r="E1489">
        <v>14.9945</v>
      </c>
      <c r="F1489">
        <v>28.630600000000001</v>
      </c>
      <c r="G1489">
        <v>15.629</v>
      </c>
      <c r="I1489">
        <v>2.0129600000000001E-2</v>
      </c>
      <c r="J1489">
        <f t="shared" si="172"/>
        <v>2.6612910856352097E-2</v>
      </c>
      <c r="K1489">
        <v>0.15194947297900743</v>
      </c>
      <c r="L1489">
        <v>5.1383041110488512E-2</v>
      </c>
      <c r="N1489">
        <v>2.0129600000000001E-2</v>
      </c>
      <c r="O1489">
        <f t="shared" si="173"/>
        <v>0.15194947297900743</v>
      </c>
      <c r="Q1489">
        <v>2.0129600000000001E-2</v>
      </c>
      <c r="R1489">
        <f t="shared" si="174"/>
        <v>5.1383041110488512E-2</v>
      </c>
      <c r="CH1489">
        <v>1.8634100000000001E-2</v>
      </c>
      <c r="CI1489">
        <v>34.203800000000001</v>
      </c>
      <c r="CJ1489">
        <f t="shared" si="175"/>
        <v>2658.2853026794969</v>
      </c>
      <c r="CL1489">
        <v>1.8634100000000001E-2</v>
      </c>
      <c r="CM1489">
        <v>2.1309999999999999E-2</v>
      </c>
      <c r="CN1489">
        <f t="shared" si="176"/>
        <v>1.6561919962138731</v>
      </c>
    </row>
    <row r="1490" spans="4:92" x14ac:dyDescent="0.35">
      <c r="D1490">
        <v>2.03903E-2</v>
      </c>
      <c r="E1490">
        <v>14.957800000000001</v>
      </c>
      <c r="F1490">
        <v>28.952100000000002</v>
      </c>
      <c r="G1490">
        <v>15.558</v>
      </c>
      <c r="I1490">
        <v>2.03903E-2</v>
      </c>
      <c r="J1490">
        <f t="shared" si="172"/>
        <v>2.6547774050961578E-2</v>
      </c>
      <c r="K1490">
        <v>0.15365575072249693</v>
      </c>
      <c r="L1490">
        <v>5.1149616328426663E-2</v>
      </c>
      <c r="N1490">
        <v>2.03903E-2</v>
      </c>
      <c r="O1490">
        <f t="shared" si="173"/>
        <v>0.15365575072249693</v>
      </c>
      <c r="Q1490">
        <v>2.03903E-2</v>
      </c>
      <c r="R1490">
        <f t="shared" si="174"/>
        <v>5.1149616328426663E-2</v>
      </c>
      <c r="CH1490">
        <v>1.8875400000000001E-2</v>
      </c>
      <c r="CI1490">
        <v>34.878999999999998</v>
      </c>
      <c r="CJ1490">
        <f t="shared" si="175"/>
        <v>2710.7611748448467</v>
      </c>
      <c r="CL1490">
        <v>1.8875400000000001E-2</v>
      </c>
      <c r="CM1490">
        <v>2.1299999999999999E-2</v>
      </c>
      <c r="CN1490">
        <f t="shared" si="176"/>
        <v>1.6554148061640308</v>
      </c>
    </row>
    <row r="1491" spans="4:92" x14ac:dyDescent="0.35">
      <c r="D1491">
        <v>2.06544E-2</v>
      </c>
      <c r="E1491">
        <v>15.157299999999999</v>
      </c>
      <c r="F1491">
        <v>28.6022</v>
      </c>
      <c r="G1491">
        <v>15.445399999999999</v>
      </c>
      <c r="I1491">
        <v>2.06544E-2</v>
      </c>
      <c r="J1491">
        <f t="shared" si="172"/>
        <v>2.6901855595250629E-2</v>
      </c>
      <c r="K1491">
        <v>0.15179874735563231</v>
      </c>
      <c r="L1491">
        <v>5.0779424350114483E-2</v>
      </c>
      <c r="N1491">
        <v>2.06544E-2</v>
      </c>
      <c r="O1491">
        <f t="shared" si="173"/>
        <v>0.15179874735563231</v>
      </c>
      <c r="Q1491">
        <v>2.06544E-2</v>
      </c>
      <c r="R1491">
        <f t="shared" si="174"/>
        <v>5.0779424350114483E-2</v>
      </c>
      <c r="CH1491">
        <v>1.9119799999999999E-2</v>
      </c>
      <c r="CI1491">
        <v>34.902099999999997</v>
      </c>
      <c r="CJ1491">
        <f t="shared" si="175"/>
        <v>2712.5564838599821</v>
      </c>
      <c r="CL1491">
        <v>1.9119799999999999E-2</v>
      </c>
      <c r="CM1491">
        <v>1.831E-2</v>
      </c>
      <c r="CN1491">
        <f t="shared" si="176"/>
        <v>1.4230349812611929</v>
      </c>
    </row>
    <row r="1492" spans="4:92" x14ac:dyDescent="0.35">
      <c r="D1492">
        <v>2.0921800000000001E-2</v>
      </c>
      <c r="E1492">
        <v>15.1508</v>
      </c>
      <c r="F1492">
        <v>28.925899999999999</v>
      </c>
      <c r="G1492">
        <v>15.523099999999999</v>
      </c>
      <c r="I1492">
        <v>2.0921800000000001E-2</v>
      </c>
      <c r="J1492">
        <f t="shared" si="172"/>
        <v>2.6890319103832695E-2</v>
      </c>
      <c r="K1492">
        <v>0.15351670102769313</v>
      </c>
      <c r="L1492">
        <v>5.103487654118781E-2</v>
      </c>
      <c r="N1492">
        <v>2.0921800000000001E-2</v>
      </c>
      <c r="O1492">
        <f t="shared" si="173"/>
        <v>0.15351670102769313</v>
      </c>
      <c r="Q1492">
        <v>2.0921800000000001E-2</v>
      </c>
      <c r="R1492">
        <f t="shared" si="174"/>
        <v>5.103487654118781E-2</v>
      </c>
      <c r="CH1492">
        <v>1.93674E-2</v>
      </c>
      <c r="CI1492">
        <v>34.426900000000003</v>
      </c>
      <c r="CJ1492">
        <f t="shared" si="175"/>
        <v>2675.624412691478</v>
      </c>
      <c r="CL1492">
        <v>1.93674E-2</v>
      </c>
      <c r="CM1492">
        <v>1.9949999999999999E-2</v>
      </c>
      <c r="CN1492">
        <f t="shared" si="176"/>
        <v>1.5504941494353246</v>
      </c>
    </row>
    <row r="1493" spans="4:92" x14ac:dyDescent="0.35">
      <c r="D1493">
        <v>2.1192800000000001E-2</v>
      </c>
      <c r="E1493">
        <v>15.3055</v>
      </c>
      <c r="F1493">
        <v>28.570399999999999</v>
      </c>
      <c r="G1493">
        <v>15.784599999999999</v>
      </c>
      <c r="I1493">
        <v>2.1192800000000001E-2</v>
      </c>
      <c r="J1493">
        <f t="shared" si="172"/>
        <v>2.7164887599579645E-2</v>
      </c>
      <c r="K1493">
        <v>0.15162997711537424</v>
      </c>
      <c r="L1493">
        <v>5.1894603027232512E-2</v>
      </c>
      <c r="N1493">
        <v>2.1192800000000001E-2</v>
      </c>
      <c r="O1493">
        <f t="shared" si="173"/>
        <v>0.15162997711537424</v>
      </c>
      <c r="Q1493">
        <v>2.1192800000000001E-2</v>
      </c>
      <c r="R1493">
        <f t="shared" si="174"/>
        <v>5.1894603027232512E-2</v>
      </c>
      <c r="CH1493">
        <v>1.9618199999999999E-2</v>
      </c>
      <c r="CI1493">
        <v>33.625399999999999</v>
      </c>
      <c r="CJ1493">
        <f t="shared" si="175"/>
        <v>2613.3326301966199</v>
      </c>
      <c r="CL1493">
        <v>1.9618199999999999E-2</v>
      </c>
      <c r="CM1493">
        <v>2.0990000000000002E-2</v>
      </c>
      <c r="CN1493">
        <f t="shared" si="176"/>
        <v>1.6313219146189208</v>
      </c>
    </row>
    <row r="1494" spans="4:92" x14ac:dyDescent="0.35">
      <c r="D1494">
        <v>2.1467199999999999E-2</v>
      </c>
      <c r="E1494">
        <v>15.2517</v>
      </c>
      <c r="F1494">
        <v>29.356300000000001</v>
      </c>
      <c r="G1494">
        <v>15.763299999999999</v>
      </c>
      <c r="I1494">
        <v>2.1467199999999999E-2</v>
      </c>
      <c r="J1494">
        <f t="shared" si="172"/>
        <v>2.7069400947535779E-2</v>
      </c>
      <c r="K1494">
        <v>0.15580093723546262</v>
      </c>
      <c r="L1494">
        <v>5.1824575592613963E-2</v>
      </c>
      <c r="N1494">
        <v>2.1467199999999999E-2</v>
      </c>
      <c r="O1494">
        <f t="shared" si="173"/>
        <v>0.15580093723546262</v>
      </c>
      <c r="Q1494">
        <v>2.1467199999999999E-2</v>
      </c>
      <c r="R1494">
        <f t="shared" si="174"/>
        <v>5.1824575592613963E-2</v>
      </c>
      <c r="CH1494">
        <v>1.9872299999999999E-2</v>
      </c>
      <c r="CI1494">
        <v>33.096200000000003</v>
      </c>
      <c r="CJ1494">
        <f t="shared" si="175"/>
        <v>2572.2037327589674</v>
      </c>
      <c r="CL1494">
        <v>1.9872299999999999E-2</v>
      </c>
      <c r="CM1494">
        <v>2.009E-2</v>
      </c>
      <c r="CN1494">
        <f t="shared" si="176"/>
        <v>1.5613748101331164</v>
      </c>
    </row>
    <row r="1495" spans="4:92" x14ac:dyDescent="0.35">
      <c r="D1495">
        <v>2.1745199999999999E-2</v>
      </c>
      <c r="E1495">
        <v>15.112299999999999</v>
      </c>
      <c r="F1495">
        <v>29.921500000000002</v>
      </c>
      <c r="G1495">
        <v>16.217500000000001</v>
      </c>
      <c r="I1495">
        <v>2.1745199999999999E-2</v>
      </c>
      <c r="J1495">
        <f t="shared" si="172"/>
        <v>2.6821987577741825E-2</v>
      </c>
      <c r="K1495">
        <v>0.15880058943023798</v>
      </c>
      <c r="L1495">
        <v>5.3317836663212458E-2</v>
      </c>
      <c r="N1495">
        <v>2.1745199999999999E-2</v>
      </c>
      <c r="O1495">
        <f t="shared" si="173"/>
        <v>0.15880058943023798</v>
      </c>
      <c r="Q1495">
        <v>2.1745199999999999E-2</v>
      </c>
      <c r="R1495">
        <f t="shared" si="174"/>
        <v>5.3317836663212458E-2</v>
      </c>
      <c r="CH1495">
        <v>2.0129600000000001E-2</v>
      </c>
      <c r="CI1495">
        <v>33.362900000000003</v>
      </c>
      <c r="CJ1495">
        <f t="shared" si="175"/>
        <v>2592.9313913882606</v>
      </c>
      <c r="CL1495">
        <v>2.0129600000000001E-2</v>
      </c>
      <c r="CM1495">
        <v>1.8519999999999998E-2</v>
      </c>
      <c r="CN1495">
        <f t="shared" si="176"/>
        <v>1.4393559723078804</v>
      </c>
    </row>
    <row r="1496" spans="4:92" x14ac:dyDescent="0.35">
      <c r="D1496">
        <v>2.2026799999999999E-2</v>
      </c>
      <c r="E1496">
        <v>14.966900000000001</v>
      </c>
      <c r="F1496">
        <v>30.129100000000001</v>
      </c>
      <c r="G1496">
        <v>16.172599999999999</v>
      </c>
      <c r="I1496">
        <v>2.2026799999999999E-2</v>
      </c>
      <c r="J1496">
        <f t="shared" si="172"/>
        <v>2.6563925138946693E-2</v>
      </c>
      <c r="K1496">
        <v>0.15990237250814907</v>
      </c>
      <c r="L1496">
        <v>5.3170220146105736E-2</v>
      </c>
      <c r="N1496">
        <v>2.2026799999999999E-2</v>
      </c>
      <c r="O1496">
        <f t="shared" si="173"/>
        <v>0.15990237250814907</v>
      </c>
      <c r="Q1496">
        <v>2.2026799999999999E-2</v>
      </c>
      <c r="R1496">
        <f t="shared" si="174"/>
        <v>5.3170220146105736E-2</v>
      </c>
      <c r="CH1496">
        <v>2.03903E-2</v>
      </c>
      <c r="CI1496">
        <v>33.6267</v>
      </c>
      <c r="CJ1496">
        <f t="shared" si="175"/>
        <v>2613.4336649030993</v>
      </c>
      <c r="CL1496">
        <v>2.03903E-2</v>
      </c>
      <c r="CM1496">
        <v>1.6590000000000001E-2</v>
      </c>
      <c r="CN1496">
        <f t="shared" si="176"/>
        <v>1.2893582926883227</v>
      </c>
    </row>
    <row r="1497" spans="4:92" x14ac:dyDescent="0.35">
      <c r="D1497">
        <v>2.2312100000000001E-2</v>
      </c>
      <c r="E1497">
        <v>15.623200000000001</v>
      </c>
      <c r="F1497">
        <v>30.032699999999998</v>
      </c>
      <c r="G1497">
        <v>16.5335</v>
      </c>
      <c r="I1497">
        <v>2.2312100000000001E-2</v>
      </c>
      <c r="J1497">
        <f t="shared" si="172"/>
        <v>2.772875580319184E-2</v>
      </c>
      <c r="K1497">
        <v>0.15939075454711521</v>
      </c>
      <c r="L1497">
        <v>5.4356741327037036E-2</v>
      </c>
      <c r="N1497">
        <v>2.2312100000000001E-2</v>
      </c>
      <c r="O1497">
        <f t="shared" si="173"/>
        <v>0.15939075454711521</v>
      </c>
      <c r="Q1497">
        <v>2.2312100000000001E-2</v>
      </c>
      <c r="R1497">
        <f t="shared" si="174"/>
        <v>5.4356741327037036E-2</v>
      </c>
      <c r="CH1497">
        <v>2.06544E-2</v>
      </c>
      <c r="CI1497">
        <v>34.431399999999996</v>
      </c>
      <c r="CJ1497">
        <f t="shared" si="175"/>
        <v>2675.9741482139066</v>
      </c>
      <c r="CL1497">
        <v>2.06544E-2</v>
      </c>
      <c r="CM1497">
        <v>2.0990000000000002E-2</v>
      </c>
      <c r="CN1497">
        <f t="shared" si="176"/>
        <v>1.6313219146189208</v>
      </c>
    </row>
    <row r="1498" spans="4:92" x14ac:dyDescent="0.35">
      <c r="D1498">
        <v>2.2601E-2</v>
      </c>
      <c r="E1498">
        <v>15.4748</v>
      </c>
      <c r="F1498">
        <v>29.488299999999999</v>
      </c>
      <c r="G1498">
        <v>16.319400000000002</v>
      </c>
      <c r="I1498">
        <v>2.2601E-2</v>
      </c>
      <c r="J1498">
        <f t="shared" si="172"/>
        <v>2.7465368829896124E-2</v>
      </c>
      <c r="K1498">
        <v>0.15650149294974133</v>
      </c>
      <c r="L1498">
        <v>5.3652850540566024E-2</v>
      </c>
      <c r="N1498">
        <v>2.2601E-2</v>
      </c>
      <c r="O1498">
        <f t="shared" si="173"/>
        <v>0.15650149294974133</v>
      </c>
      <c r="Q1498">
        <v>2.2601E-2</v>
      </c>
      <c r="R1498">
        <f t="shared" si="174"/>
        <v>5.3652850540566024E-2</v>
      </c>
      <c r="CH1498">
        <v>2.0921800000000001E-2</v>
      </c>
      <c r="CI1498">
        <v>35.134999999999998</v>
      </c>
      <c r="CJ1498">
        <f t="shared" si="175"/>
        <v>2730.6572401208086</v>
      </c>
      <c r="CL1498">
        <v>2.0921800000000001E-2</v>
      </c>
      <c r="CM1498">
        <v>1.822E-2</v>
      </c>
      <c r="CN1498">
        <f t="shared" si="176"/>
        <v>1.4160402708126123</v>
      </c>
    </row>
    <row r="1499" spans="4:92" x14ac:dyDescent="0.35">
      <c r="D1499">
        <v>2.2893699999999999E-2</v>
      </c>
      <c r="E1499">
        <v>15.4535</v>
      </c>
      <c r="F1499">
        <v>29.3064</v>
      </c>
      <c r="G1499">
        <v>16.201799999999999</v>
      </c>
      <c r="I1499">
        <v>2.2893699999999999E-2</v>
      </c>
      <c r="J1499">
        <f t="shared" si="172"/>
        <v>2.7427564634941951E-2</v>
      </c>
      <c r="K1499">
        <v>0.15553610594650419</v>
      </c>
      <c r="L1499">
        <v>5.3266220197319906E-2</v>
      </c>
      <c r="N1499">
        <v>2.2893699999999999E-2</v>
      </c>
      <c r="O1499">
        <f t="shared" si="173"/>
        <v>0.15553610594650419</v>
      </c>
      <c r="Q1499">
        <v>2.2893699999999999E-2</v>
      </c>
      <c r="R1499">
        <f t="shared" si="174"/>
        <v>5.3266220197319906E-2</v>
      </c>
      <c r="CH1499">
        <v>2.1192800000000001E-2</v>
      </c>
      <c r="CI1499">
        <v>36.218600000000002</v>
      </c>
      <c r="CJ1499">
        <f t="shared" si="175"/>
        <v>2814.8735539217173</v>
      </c>
      <c r="CL1499">
        <v>2.1192800000000001E-2</v>
      </c>
      <c r="CM1499">
        <v>2.0840000000000001E-2</v>
      </c>
      <c r="CN1499">
        <f t="shared" si="176"/>
        <v>1.6196640638712867</v>
      </c>
    </row>
    <row r="1500" spans="4:92" x14ac:dyDescent="0.35">
      <c r="D1500">
        <v>2.3190200000000001E-2</v>
      </c>
      <c r="E1500">
        <v>15.226100000000001</v>
      </c>
      <c r="F1500">
        <v>29.287700000000001</v>
      </c>
      <c r="G1500">
        <v>16.241499999999998</v>
      </c>
      <c r="I1500">
        <v>2.3190200000000001E-2</v>
      </c>
      <c r="J1500">
        <f t="shared" si="172"/>
        <v>2.7023964919797437E-2</v>
      </c>
      <c r="K1500">
        <v>0.15543686055364805</v>
      </c>
      <c r="L1500">
        <v>5.339674081489533E-2</v>
      </c>
      <c r="N1500">
        <v>2.3190200000000001E-2</v>
      </c>
      <c r="O1500">
        <f t="shared" si="173"/>
        <v>0.15543686055364805</v>
      </c>
      <c r="Q1500">
        <v>2.3190200000000001E-2</v>
      </c>
      <c r="R1500">
        <f t="shared" si="174"/>
        <v>5.339674081489533E-2</v>
      </c>
      <c r="CH1500">
        <v>2.1467199999999999E-2</v>
      </c>
      <c r="CI1500">
        <v>35.684899999999999</v>
      </c>
      <c r="CJ1500">
        <f t="shared" si="175"/>
        <v>2773.3949209616349</v>
      </c>
      <c r="CL1500">
        <v>2.1467199999999999E-2</v>
      </c>
      <c r="CM1500">
        <v>2.1090000000000001E-2</v>
      </c>
      <c r="CN1500">
        <f t="shared" si="176"/>
        <v>1.6390938151173433</v>
      </c>
    </row>
    <row r="1501" spans="4:92" x14ac:dyDescent="0.35">
      <c r="D1501">
        <v>2.3490500000000001E-2</v>
      </c>
      <c r="E1501">
        <v>15.5542</v>
      </c>
      <c r="F1501">
        <v>28.9772</v>
      </c>
      <c r="G1501">
        <v>16.2652</v>
      </c>
      <c r="I1501">
        <v>2.3490500000000001E-2</v>
      </c>
      <c r="J1501">
        <f t="shared" si="172"/>
        <v>2.7606291509678336E-2</v>
      </c>
      <c r="K1501">
        <v>0.1537889624530151</v>
      </c>
      <c r="L1501">
        <v>5.3474658664682179E-2</v>
      </c>
      <c r="N1501">
        <v>2.3490500000000001E-2</v>
      </c>
      <c r="O1501">
        <f t="shared" si="173"/>
        <v>0.1537889624530151</v>
      </c>
      <c r="Q1501">
        <v>2.3490500000000001E-2</v>
      </c>
      <c r="R1501">
        <f t="shared" si="174"/>
        <v>5.3474658664682179E-2</v>
      </c>
      <c r="CH1501">
        <v>2.1745199999999999E-2</v>
      </c>
      <c r="CI1501">
        <v>36.232300000000002</v>
      </c>
      <c r="CJ1501">
        <f t="shared" si="175"/>
        <v>2815.9383042900008</v>
      </c>
      <c r="CL1501">
        <v>2.1745199999999999E-2</v>
      </c>
      <c r="CM1501">
        <v>1.9720000000000001E-2</v>
      </c>
      <c r="CN1501">
        <f t="shared" si="176"/>
        <v>1.5326187782889527</v>
      </c>
    </row>
    <row r="1502" spans="4:92" x14ac:dyDescent="0.35">
      <c r="D1502">
        <v>2.3794699999999998E-2</v>
      </c>
      <c r="E1502">
        <v>15.3466</v>
      </c>
      <c r="F1502">
        <v>29.284500000000001</v>
      </c>
      <c r="G1502">
        <v>16.238099999999999</v>
      </c>
      <c r="I1502">
        <v>2.3794699999999998E-2</v>
      </c>
      <c r="J1502">
        <f t="shared" si="172"/>
        <v>2.7237833722237693E-2</v>
      </c>
      <c r="K1502">
        <v>0.15541987738481705</v>
      </c>
      <c r="L1502">
        <v>5.3385562726740263E-2</v>
      </c>
      <c r="N1502">
        <v>2.3794699999999998E-2</v>
      </c>
      <c r="O1502">
        <f t="shared" si="173"/>
        <v>0.15541987738481705</v>
      </c>
      <c r="Q1502">
        <v>2.3794699999999998E-2</v>
      </c>
      <c r="R1502">
        <f t="shared" si="174"/>
        <v>5.3385562726740263E-2</v>
      </c>
      <c r="CH1502">
        <v>2.2026799999999999E-2</v>
      </c>
      <c r="CI1502">
        <v>38.083100000000002</v>
      </c>
      <c r="CJ1502">
        <f t="shared" si="175"/>
        <v>2959.780638714808</v>
      </c>
      <c r="CL1502">
        <v>2.2026799999999999E-2</v>
      </c>
      <c r="CM1502">
        <v>3.1669999999999997E-2</v>
      </c>
      <c r="CN1502">
        <f t="shared" si="176"/>
        <v>2.4613608878504625</v>
      </c>
    </row>
    <row r="1503" spans="4:92" x14ac:dyDescent="0.35">
      <c r="D1503">
        <v>2.41029E-2</v>
      </c>
      <c r="E1503">
        <v>15.3835</v>
      </c>
      <c r="F1503">
        <v>28.193300000000001</v>
      </c>
      <c r="G1503">
        <v>16.072099999999999</v>
      </c>
      <c r="I1503">
        <v>2.41029E-2</v>
      </c>
      <c r="J1503">
        <f t="shared" si="172"/>
        <v>2.7303325496594918E-2</v>
      </c>
      <c r="K1503">
        <v>0.14962861681344611</v>
      </c>
      <c r="L1503">
        <v>5.2839809010933672E-2</v>
      </c>
      <c r="N1503">
        <v>2.41029E-2</v>
      </c>
      <c r="O1503">
        <f t="shared" si="173"/>
        <v>0.14962861681344611</v>
      </c>
      <c r="Q1503">
        <v>2.41029E-2</v>
      </c>
      <c r="R1503">
        <f t="shared" si="174"/>
        <v>5.2839809010933672E-2</v>
      </c>
      <c r="CH1503">
        <v>2.2312100000000001E-2</v>
      </c>
      <c r="CI1503">
        <v>38.674399999999999</v>
      </c>
      <c r="CJ1503">
        <f t="shared" si="175"/>
        <v>3005.7358863619811</v>
      </c>
      <c r="CL1503">
        <v>2.2312100000000001E-2</v>
      </c>
      <c r="CM1503">
        <v>1.704E-2</v>
      </c>
      <c r="CN1503">
        <f t="shared" si="176"/>
        <v>1.3243318449312247</v>
      </c>
    </row>
    <row r="1504" spans="4:92" x14ac:dyDescent="0.35">
      <c r="D1504">
        <v>2.4414999999999999E-2</v>
      </c>
      <c r="E1504">
        <v>15.2913</v>
      </c>
      <c r="F1504">
        <v>27.6523</v>
      </c>
      <c r="G1504">
        <v>16.1252</v>
      </c>
      <c r="I1504">
        <v>2.4414999999999999E-2</v>
      </c>
      <c r="J1504">
        <f t="shared" si="172"/>
        <v>2.7139684802943532E-2</v>
      </c>
      <c r="K1504">
        <v>0.14675739983295519</v>
      </c>
      <c r="L1504">
        <v>5.3014384446532045E-2</v>
      </c>
      <c r="N1504">
        <v>2.4414999999999999E-2</v>
      </c>
      <c r="O1504">
        <f t="shared" si="173"/>
        <v>0.14675739983295519</v>
      </c>
      <c r="Q1504">
        <v>2.4414999999999999E-2</v>
      </c>
      <c r="R1504">
        <f t="shared" si="174"/>
        <v>5.3014384446532045E-2</v>
      </c>
      <c r="CH1504">
        <v>2.2601E-2</v>
      </c>
      <c r="CI1504">
        <v>38.419800000000002</v>
      </c>
      <c r="CJ1504">
        <f t="shared" si="175"/>
        <v>2985.948627692997</v>
      </c>
      <c r="CL1504">
        <v>2.2601E-2</v>
      </c>
      <c r="CM1504">
        <v>1.873E-2</v>
      </c>
      <c r="CN1504">
        <f t="shared" si="176"/>
        <v>1.4556769633545681</v>
      </c>
    </row>
    <row r="1505" spans="4:92" x14ac:dyDescent="0.35">
      <c r="D1505">
        <v>2.4731199999999998E-2</v>
      </c>
      <c r="E1505">
        <v>15.4481</v>
      </c>
      <c r="F1505">
        <v>26.2837</v>
      </c>
      <c r="G1505">
        <v>16.272400000000001</v>
      </c>
      <c r="I1505">
        <v>2.4731199999999998E-2</v>
      </c>
      <c r="J1505">
        <f t="shared" si="172"/>
        <v>2.7417980472840896E-2</v>
      </c>
      <c r="K1505">
        <v>0.13949391081354695</v>
      </c>
      <c r="L1505">
        <v>5.3498329910187048E-2</v>
      </c>
      <c r="N1505">
        <v>2.4731199999999998E-2</v>
      </c>
      <c r="O1505">
        <f t="shared" si="173"/>
        <v>0.13949391081354695</v>
      </c>
      <c r="Q1505">
        <v>2.4731199999999998E-2</v>
      </c>
      <c r="R1505">
        <f t="shared" si="174"/>
        <v>5.3498329910187048E-2</v>
      </c>
      <c r="CH1505">
        <v>2.2893699999999999E-2</v>
      </c>
      <c r="CI1505">
        <v>38.026299999999999</v>
      </c>
      <c r="CJ1505">
        <f t="shared" si="175"/>
        <v>2955.3661992317038</v>
      </c>
      <c r="CL1505">
        <v>2.2893699999999999E-2</v>
      </c>
      <c r="CM1505">
        <v>2.1440000000000001E-2</v>
      </c>
      <c r="CN1505">
        <f t="shared" si="176"/>
        <v>1.6662954668618228</v>
      </c>
    </row>
    <row r="1506" spans="4:92" x14ac:dyDescent="0.35">
      <c r="D1506">
        <v>2.5051400000000001E-2</v>
      </c>
      <c r="E1506">
        <v>15.63</v>
      </c>
      <c r="F1506">
        <v>24.994399999999999</v>
      </c>
      <c r="G1506">
        <v>15.940300000000001</v>
      </c>
      <c r="I1506">
        <v>2.5051400000000001E-2</v>
      </c>
      <c r="J1506">
        <f t="shared" si="172"/>
        <v>2.774082474805984E-2</v>
      </c>
      <c r="K1506">
        <v>0.13265128594673192</v>
      </c>
      <c r="L1506">
        <v>5.2406493711275204E-2</v>
      </c>
      <c r="N1506">
        <v>2.5051400000000001E-2</v>
      </c>
      <c r="O1506">
        <f t="shared" si="173"/>
        <v>0.13265128594673192</v>
      </c>
      <c r="Q1506">
        <v>2.5051400000000001E-2</v>
      </c>
      <c r="R1506">
        <f t="shared" si="174"/>
        <v>5.2406493711275204E-2</v>
      </c>
      <c r="CH1506">
        <v>2.3190200000000001E-2</v>
      </c>
      <c r="CI1506">
        <v>38.747199999999999</v>
      </c>
      <c r="CJ1506">
        <f t="shared" si="175"/>
        <v>3011.393829924833</v>
      </c>
      <c r="CL1506">
        <v>2.3190200000000001E-2</v>
      </c>
      <c r="CM1506">
        <v>1.8380000000000001E-2</v>
      </c>
      <c r="CN1506">
        <f t="shared" si="176"/>
        <v>1.4284753116100888</v>
      </c>
    </row>
    <row r="1507" spans="4:92" x14ac:dyDescent="0.35">
      <c r="D1507">
        <v>2.53759E-2</v>
      </c>
      <c r="E1507">
        <v>15.1158</v>
      </c>
      <c r="F1507">
        <v>22.292100000000001</v>
      </c>
      <c r="G1507">
        <v>15.549899999999999</v>
      </c>
      <c r="I1507">
        <v>2.53759E-2</v>
      </c>
      <c r="J1507">
        <f t="shared" si="172"/>
        <v>2.6828199534659175E-2</v>
      </c>
      <c r="K1507">
        <v>0.11830953059297854</v>
      </c>
      <c r="L1507">
        <v>5.1122986177233695E-2</v>
      </c>
      <c r="N1507">
        <v>2.53759E-2</v>
      </c>
      <c r="O1507">
        <f t="shared" si="173"/>
        <v>0.11830953059297854</v>
      </c>
      <c r="Q1507">
        <v>2.53759E-2</v>
      </c>
      <c r="R1507">
        <f t="shared" si="174"/>
        <v>5.1122986177233695E-2</v>
      </c>
      <c r="CH1507">
        <v>2.3490500000000001E-2</v>
      </c>
      <c r="CI1507">
        <v>37.4771</v>
      </c>
      <c r="CJ1507">
        <f t="shared" si="175"/>
        <v>2912.6829216943665</v>
      </c>
      <c r="CL1507">
        <v>2.3490500000000001E-2</v>
      </c>
      <c r="CM1507">
        <v>2.164E-2</v>
      </c>
      <c r="CN1507">
        <f t="shared" si="176"/>
        <v>1.681839267858668</v>
      </c>
    </row>
    <row r="1508" spans="4:92" x14ac:dyDescent="0.35">
      <c r="D1508">
        <v>2.5704500000000002E-2</v>
      </c>
      <c r="E1508">
        <v>15.4719</v>
      </c>
      <c r="F1508">
        <v>18.231400000000001</v>
      </c>
      <c r="G1508">
        <v>15.770300000000001</v>
      </c>
      <c r="I1508">
        <v>2.5704500000000002E-2</v>
      </c>
      <c r="J1508">
        <f t="shared" si="172"/>
        <v>2.7460221779878891E-2</v>
      </c>
      <c r="K1508">
        <v>9.6758420070465714E-2</v>
      </c>
      <c r="L1508">
        <v>5.1847589303521471E-2</v>
      </c>
      <c r="N1508">
        <v>2.5704500000000002E-2</v>
      </c>
      <c r="O1508">
        <f t="shared" si="173"/>
        <v>9.6758420070465714E-2</v>
      </c>
      <c r="Q1508">
        <v>2.5704500000000002E-2</v>
      </c>
      <c r="R1508">
        <f t="shared" si="174"/>
        <v>5.1847589303521471E-2</v>
      </c>
      <c r="CH1508">
        <v>2.3794699999999998E-2</v>
      </c>
      <c r="CI1508">
        <v>37.977699999999999</v>
      </c>
      <c r="CJ1508">
        <f t="shared" si="175"/>
        <v>2951.5890555894703</v>
      </c>
      <c r="CL1508">
        <v>2.3794699999999998E-2</v>
      </c>
      <c r="CM1508">
        <v>1.932E-2</v>
      </c>
      <c r="CN1508">
        <f t="shared" si="176"/>
        <v>1.5015311762952619</v>
      </c>
    </row>
    <row r="1509" spans="4:92" x14ac:dyDescent="0.35">
      <c r="D1509">
        <v>2.6037299999999999E-2</v>
      </c>
      <c r="E1509">
        <v>14.8408</v>
      </c>
      <c r="F1509">
        <v>13.0869</v>
      </c>
      <c r="G1509">
        <v>14.6645</v>
      </c>
      <c r="I1509">
        <v>2.6037299999999999E-2</v>
      </c>
      <c r="J1509">
        <f t="shared" si="172"/>
        <v>2.6340117205438673E-2</v>
      </c>
      <c r="K1509">
        <v>6.9455322554503651E-2</v>
      </c>
      <c r="L1509">
        <v>4.8212080514732795E-2</v>
      </c>
      <c r="N1509">
        <v>2.6037299999999999E-2</v>
      </c>
      <c r="O1509">
        <f t="shared" si="173"/>
        <v>6.9455322554503651E-2</v>
      </c>
      <c r="Q1509">
        <v>2.6037299999999999E-2</v>
      </c>
      <c r="R1509">
        <f t="shared" si="174"/>
        <v>4.8212080514732795E-2</v>
      </c>
      <c r="CH1509">
        <v>2.41029E-2</v>
      </c>
      <c r="CI1509">
        <v>37.543700000000001</v>
      </c>
      <c r="CJ1509">
        <f t="shared" si="175"/>
        <v>2917.8590074263161</v>
      </c>
      <c r="CL1509">
        <v>2.41029E-2</v>
      </c>
      <c r="CM1509">
        <v>1.762E-2</v>
      </c>
      <c r="CN1509">
        <f t="shared" si="176"/>
        <v>1.3694088678220764</v>
      </c>
    </row>
    <row r="1510" spans="4:92" x14ac:dyDescent="0.35">
      <c r="D1510">
        <v>2.6374499999999999E-2</v>
      </c>
      <c r="E1510">
        <v>14.358599999999999</v>
      </c>
      <c r="F1510">
        <v>6.5469999999999997</v>
      </c>
      <c r="G1510">
        <v>12.9377</v>
      </c>
      <c r="I1510">
        <v>2.6374499999999999E-2</v>
      </c>
      <c r="J1510">
        <f t="shared" si="172"/>
        <v>2.548428702671094E-2</v>
      </c>
      <c r="K1510">
        <v>3.4746501980173712E-2</v>
      </c>
      <c r="L1510">
        <v>4.2534926801149606E-2</v>
      </c>
      <c r="N1510">
        <v>2.6374499999999999E-2</v>
      </c>
      <c r="O1510">
        <f t="shared" si="173"/>
        <v>3.4746501980173712E-2</v>
      </c>
      <c r="Q1510">
        <v>2.6374499999999999E-2</v>
      </c>
      <c r="R1510">
        <f t="shared" si="174"/>
        <v>4.2534926801149606E-2</v>
      </c>
      <c r="CH1510">
        <v>2.4414999999999999E-2</v>
      </c>
      <c r="CI1510">
        <v>38.3033</v>
      </c>
      <c r="CJ1510">
        <f t="shared" si="175"/>
        <v>2976.8943636123345</v>
      </c>
      <c r="CL1510">
        <v>2.4414999999999999E-2</v>
      </c>
      <c r="CM1510">
        <v>1.9089999999999999E-2</v>
      </c>
      <c r="CN1510">
        <f t="shared" si="176"/>
        <v>1.4836558051488897</v>
      </c>
    </row>
    <row r="1511" spans="4:92" x14ac:dyDescent="0.35">
      <c r="D1511">
        <v>2.67161E-2</v>
      </c>
      <c r="E1511">
        <v>13.2127</v>
      </c>
      <c r="F1511">
        <v>1.72539</v>
      </c>
      <c r="G1511">
        <v>10.799200000000001</v>
      </c>
      <c r="I1511">
        <v>2.67161E-2</v>
      </c>
      <c r="J1511">
        <f t="shared" si="172"/>
        <v>2.3450492331969944E-2</v>
      </c>
      <c r="K1511">
        <v>9.1570592716621237E-3</v>
      </c>
      <c r="L1511">
        <v>3.5504238118906364E-2</v>
      </c>
      <c r="N1511">
        <v>2.67161E-2</v>
      </c>
      <c r="O1511">
        <f t="shared" si="173"/>
        <v>9.1570592716621237E-3</v>
      </c>
      <c r="Q1511">
        <v>2.67161E-2</v>
      </c>
      <c r="R1511">
        <f t="shared" si="174"/>
        <v>3.5504238118906364E-2</v>
      </c>
      <c r="CH1511">
        <v>2.4731199999999998E-2</v>
      </c>
      <c r="CI1511">
        <v>37.225700000000003</v>
      </c>
      <c r="CJ1511">
        <f t="shared" si="175"/>
        <v>2893.1443638413321</v>
      </c>
      <c r="CL1511">
        <v>2.4731199999999998E-2</v>
      </c>
      <c r="CM1511">
        <v>1.746E-2</v>
      </c>
      <c r="CN1511">
        <f t="shared" si="176"/>
        <v>1.3569738270245999</v>
      </c>
    </row>
    <row r="1512" spans="4:92" x14ac:dyDescent="0.35">
      <c r="D1512">
        <v>2.7062099999999999E-2</v>
      </c>
      <c r="E1512">
        <v>13.700900000000001</v>
      </c>
      <c r="F1512">
        <v>2.80918</v>
      </c>
      <c r="G1512">
        <v>11.2958</v>
      </c>
      <c r="I1512">
        <v>2.7062099999999999E-2</v>
      </c>
      <c r="J1512">
        <f t="shared" si="172"/>
        <v>2.4316971579698855E-2</v>
      </c>
      <c r="K1512">
        <v>1.4908993192708784E-2</v>
      </c>
      <c r="L1512">
        <v>3.7136896524144612E-2</v>
      </c>
      <c r="N1512">
        <v>2.7062099999999999E-2</v>
      </c>
      <c r="O1512">
        <f t="shared" si="173"/>
        <v>1.4908993192708784E-2</v>
      </c>
      <c r="Q1512">
        <v>2.7062099999999999E-2</v>
      </c>
      <c r="R1512">
        <f t="shared" si="174"/>
        <v>3.7136896524144612E-2</v>
      </c>
      <c r="CH1512">
        <v>2.5051400000000001E-2</v>
      </c>
      <c r="CI1512">
        <v>36.691800000000001</v>
      </c>
      <c r="CJ1512">
        <f t="shared" si="175"/>
        <v>2851.6501870802531</v>
      </c>
      <c r="CL1512">
        <v>2.5051400000000001E-2</v>
      </c>
      <c r="CM1512">
        <v>2.8719999999999999E-2</v>
      </c>
      <c r="CN1512">
        <f t="shared" si="176"/>
        <v>2.2320898231469939</v>
      </c>
    </row>
    <row r="1513" spans="4:92" x14ac:dyDescent="0.35">
      <c r="D1513">
        <v>2.7412499999999999E-2</v>
      </c>
      <c r="E1513">
        <v>14.7761</v>
      </c>
      <c r="F1513">
        <v>8.3348600000000008</v>
      </c>
      <c r="G1513">
        <v>13.561400000000001</v>
      </c>
      <c r="I1513">
        <v>2.7412499999999999E-2</v>
      </c>
      <c r="J1513">
        <f t="shared" si="172"/>
        <v>2.6225284744709341E-2</v>
      </c>
      <c r="K1513">
        <v>4.4235104550858516E-2</v>
      </c>
      <c r="L1513">
        <v>4.4585448443008442E-2</v>
      </c>
      <c r="N1513">
        <v>2.7412499999999999E-2</v>
      </c>
      <c r="O1513">
        <f t="shared" si="173"/>
        <v>4.4235104550858516E-2</v>
      </c>
      <c r="Q1513">
        <v>2.7412499999999999E-2</v>
      </c>
      <c r="R1513">
        <f t="shared" si="174"/>
        <v>4.4585448443008442E-2</v>
      </c>
      <c r="CH1513">
        <v>2.53759E-2</v>
      </c>
      <c r="CI1513">
        <v>34.639200000000002</v>
      </c>
      <c r="CJ1513">
        <f t="shared" si="175"/>
        <v>2692.1241574496294</v>
      </c>
      <c r="CL1513">
        <v>2.53759E-2</v>
      </c>
      <c r="CM1513">
        <v>1.9789999999999999E-2</v>
      </c>
      <c r="CN1513">
        <f t="shared" si="176"/>
        <v>1.5380591086378483</v>
      </c>
    </row>
    <row r="1514" spans="4:92" x14ac:dyDescent="0.35">
      <c r="D1514">
        <v>2.7767500000000001E-2</v>
      </c>
      <c r="E1514">
        <v>15.1258</v>
      </c>
      <c r="F1514">
        <v>13.644299999999999</v>
      </c>
      <c r="G1514">
        <v>14.592700000000001</v>
      </c>
      <c r="I1514">
        <v>2.7767500000000001E-2</v>
      </c>
      <c r="J1514">
        <f t="shared" si="172"/>
        <v>2.6845947982994466E-2</v>
      </c>
      <c r="K1514">
        <v>7.2413578275253437E-2</v>
      </c>
      <c r="L1514">
        <v>4.7976025594281518E-2</v>
      </c>
      <c r="N1514">
        <v>2.7767500000000001E-2</v>
      </c>
      <c r="O1514">
        <f t="shared" si="173"/>
        <v>7.2413578275253437E-2</v>
      </c>
      <c r="Q1514">
        <v>2.7767500000000001E-2</v>
      </c>
      <c r="R1514">
        <f t="shared" si="174"/>
        <v>4.7976025594281518E-2</v>
      </c>
      <c r="CH1514">
        <v>2.5704500000000002E-2</v>
      </c>
      <c r="CI1514">
        <v>32.804600000000001</v>
      </c>
      <c r="CJ1514">
        <f t="shared" si="175"/>
        <v>2549.5408709055669</v>
      </c>
      <c r="CL1514">
        <v>2.5704500000000002E-2</v>
      </c>
      <c r="CM1514">
        <v>1.9210000000000001E-2</v>
      </c>
      <c r="CN1514">
        <f t="shared" si="176"/>
        <v>1.4929820857469971</v>
      </c>
    </row>
    <row r="1515" spans="4:92" x14ac:dyDescent="0.35">
      <c r="D1515">
        <v>2.8127099999999999E-2</v>
      </c>
      <c r="E1515">
        <v>15.0572</v>
      </c>
      <c r="F1515">
        <v>17.5305</v>
      </c>
      <c r="G1515">
        <v>15.317500000000001</v>
      </c>
      <c r="I1515">
        <v>2.8127099999999999E-2</v>
      </c>
      <c r="J1515">
        <f t="shared" si="172"/>
        <v>2.6724193627414371E-2</v>
      </c>
      <c r="K1515">
        <v>9.3038575372450791E-2</v>
      </c>
      <c r="L1515">
        <v>5.0358930975104479E-2</v>
      </c>
      <c r="N1515">
        <v>2.8127099999999999E-2</v>
      </c>
      <c r="O1515">
        <f t="shared" si="173"/>
        <v>9.3038575372450791E-2</v>
      </c>
      <c r="Q1515">
        <v>2.8127099999999999E-2</v>
      </c>
      <c r="R1515">
        <f t="shared" si="174"/>
        <v>5.0358930975104479E-2</v>
      </c>
      <c r="CH1515">
        <v>2.6037299999999999E-2</v>
      </c>
      <c r="CI1515">
        <v>28.186800000000002</v>
      </c>
      <c r="CJ1515">
        <f t="shared" si="175"/>
        <v>2190.6500496894041</v>
      </c>
      <c r="CL1515">
        <v>2.6037299999999999E-2</v>
      </c>
      <c r="CM1515">
        <v>2.1850000000000001E-2</v>
      </c>
      <c r="CN1515">
        <f t="shared" si="176"/>
        <v>1.6981602589053557</v>
      </c>
    </row>
    <row r="1516" spans="4:92" x14ac:dyDescent="0.35">
      <c r="D1516">
        <v>2.84914E-2</v>
      </c>
      <c r="E1516">
        <v>15.196400000000001</v>
      </c>
      <c r="F1516">
        <v>20.3111</v>
      </c>
      <c r="G1516">
        <v>15.398099999999999</v>
      </c>
      <c r="I1516">
        <v>2.84914E-2</v>
      </c>
      <c r="J1516">
        <f t="shared" si="172"/>
        <v>2.6971252028241622E-2</v>
      </c>
      <c r="K1516">
        <v>0.10779588763853772</v>
      </c>
      <c r="L1516">
        <v>5.0623917417839483E-2</v>
      </c>
      <c r="N1516">
        <v>2.84914E-2</v>
      </c>
      <c r="O1516">
        <f t="shared" si="173"/>
        <v>0.10779588763853772</v>
      </c>
      <c r="Q1516">
        <v>2.84914E-2</v>
      </c>
      <c r="R1516">
        <f t="shared" si="174"/>
        <v>5.0623917417839483E-2</v>
      </c>
      <c r="CH1516">
        <v>2.6374499999999999E-2</v>
      </c>
      <c r="CI1516">
        <v>18.699200000000001</v>
      </c>
      <c r="CJ1516">
        <f t="shared" si="175"/>
        <v>1453.2832180010539</v>
      </c>
      <c r="CL1516">
        <v>2.6374499999999999E-2</v>
      </c>
      <c r="CM1516">
        <v>1.7809999999999999E-2</v>
      </c>
      <c r="CN1516">
        <f t="shared" si="176"/>
        <v>1.3841754787690794</v>
      </c>
    </row>
    <row r="1517" spans="4:92" x14ac:dyDescent="0.35">
      <c r="D1517">
        <v>2.8860299999999998E-2</v>
      </c>
      <c r="E1517">
        <v>15.011799999999999</v>
      </c>
      <c r="F1517">
        <v>22.326699999999999</v>
      </c>
      <c r="G1517">
        <v>15.3116</v>
      </c>
      <c r="I1517">
        <v>2.8860299999999998E-2</v>
      </c>
      <c r="J1517">
        <f t="shared" si="172"/>
        <v>2.6643615671972147E-2</v>
      </c>
      <c r="K1517">
        <v>0.11849316110596372</v>
      </c>
      <c r="L1517">
        <v>5.0339533704482436E-2</v>
      </c>
      <c r="N1517">
        <v>2.8860299999999998E-2</v>
      </c>
      <c r="O1517">
        <f t="shared" si="173"/>
        <v>0.11849316110596372</v>
      </c>
      <c r="Q1517">
        <v>2.8860299999999998E-2</v>
      </c>
      <c r="R1517">
        <f t="shared" si="174"/>
        <v>5.0339533704482436E-2</v>
      </c>
      <c r="CH1517">
        <v>2.67161E-2</v>
      </c>
      <c r="CI1517">
        <v>8.8876100000000005</v>
      </c>
      <c r="CJ1517">
        <f t="shared" si="175"/>
        <v>690.736205887864</v>
      </c>
      <c r="CL1517">
        <v>2.67161E-2</v>
      </c>
      <c r="CM1517">
        <v>2.0279999999999999E-2</v>
      </c>
      <c r="CN1517">
        <f t="shared" si="176"/>
        <v>1.5761414210801195</v>
      </c>
    </row>
    <row r="1518" spans="4:92" x14ac:dyDescent="0.35">
      <c r="D1518">
        <v>2.9234099999999999E-2</v>
      </c>
      <c r="E1518">
        <v>14.9093</v>
      </c>
      <c r="F1518">
        <v>24.150300000000001</v>
      </c>
      <c r="G1518">
        <v>15.2822</v>
      </c>
      <c r="I1518">
        <v>2.9234099999999999E-2</v>
      </c>
      <c r="J1518">
        <f t="shared" si="172"/>
        <v>2.6461694076535414E-2</v>
      </c>
      <c r="K1518">
        <v>0.12817144444352976</v>
      </c>
      <c r="L1518">
        <v>5.0242876118670905E-2</v>
      </c>
      <c r="N1518">
        <v>2.9234099999999999E-2</v>
      </c>
      <c r="O1518">
        <f t="shared" si="173"/>
        <v>0.12817144444352976</v>
      </c>
      <c r="Q1518">
        <v>2.9234099999999999E-2</v>
      </c>
      <c r="R1518">
        <f t="shared" si="174"/>
        <v>5.0242876118670905E-2</v>
      </c>
      <c r="CH1518">
        <v>2.7062099999999999E-2</v>
      </c>
      <c r="CI1518">
        <v>10.6556</v>
      </c>
      <c r="CJ1518">
        <f t="shared" si="175"/>
        <v>828.14262950992713</v>
      </c>
      <c r="CL1518">
        <v>2.7062099999999999E-2</v>
      </c>
      <c r="CM1518">
        <v>2.0459999999999999E-2</v>
      </c>
      <c r="CN1518">
        <f t="shared" si="176"/>
        <v>1.5901308419772804</v>
      </c>
    </row>
    <row r="1519" spans="4:92" x14ac:dyDescent="0.35">
      <c r="D1519">
        <v>2.9612599999999999E-2</v>
      </c>
      <c r="E1519">
        <v>15.2218</v>
      </c>
      <c r="F1519">
        <v>24.816500000000001</v>
      </c>
      <c r="G1519">
        <v>15.9046</v>
      </c>
      <c r="I1519">
        <v>2.9612599999999999E-2</v>
      </c>
      <c r="J1519">
        <f t="shared" si="172"/>
        <v>2.7016333087013261E-2</v>
      </c>
      <c r="K1519">
        <v>0.13170712790453354</v>
      </c>
      <c r="L1519">
        <v>5.2289123785646915E-2</v>
      </c>
      <c r="N1519">
        <v>2.9612599999999999E-2</v>
      </c>
      <c r="O1519">
        <f t="shared" si="173"/>
        <v>0.13170712790453354</v>
      </c>
      <c r="Q1519">
        <v>2.9612599999999999E-2</v>
      </c>
      <c r="R1519">
        <f t="shared" si="174"/>
        <v>5.2289123785646915E-2</v>
      </c>
      <c r="CH1519">
        <v>2.7412499999999999E-2</v>
      </c>
      <c r="CI1519">
        <v>21.328900000000001</v>
      </c>
      <c r="CJ1519">
        <f t="shared" si="175"/>
        <v>1657.660885408075</v>
      </c>
      <c r="CL1519">
        <v>2.7412499999999999E-2</v>
      </c>
      <c r="CM1519">
        <v>1.609E-2</v>
      </c>
      <c r="CN1519">
        <f t="shared" si="176"/>
        <v>1.2504987901962092</v>
      </c>
    </row>
    <row r="1520" spans="4:92" x14ac:dyDescent="0.35">
      <c r="D1520">
        <v>2.9996100000000001E-2</v>
      </c>
      <c r="E1520">
        <v>15.4491</v>
      </c>
      <c r="F1520">
        <v>25.146899999999999</v>
      </c>
      <c r="G1520">
        <v>15.321400000000001</v>
      </c>
      <c r="I1520">
        <v>2.9996100000000001E-2</v>
      </c>
      <c r="J1520">
        <f t="shared" si="172"/>
        <v>2.7419755317674425E-2</v>
      </c>
      <c r="K1520">
        <v>0.13346064008633426</v>
      </c>
      <c r="L1520">
        <v>5.0371752899752945E-2</v>
      </c>
      <c r="N1520">
        <v>2.9996100000000001E-2</v>
      </c>
      <c r="O1520">
        <f t="shared" si="173"/>
        <v>0.13346064008633426</v>
      </c>
      <c r="Q1520">
        <v>2.9996100000000001E-2</v>
      </c>
      <c r="R1520">
        <f t="shared" si="174"/>
        <v>5.0371752899752945E-2</v>
      </c>
      <c r="CH1520">
        <v>2.7767500000000001E-2</v>
      </c>
      <c r="CI1520">
        <v>26.3063</v>
      </c>
      <c r="CJ1520">
        <f t="shared" si="175"/>
        <v>2044.4994608165655</v>
      </c>
      <c r="CL1520">
        <v>2.7767500000000001E-2</v>
      </c>
      <c r="CM1520">
        <v>1.9709999999999998E-2</v>
      </c>
      <c r="CN1520">
        <f t="shared" si="176"/>
        <v>1.5318415882391101</v>
      </c>
    </row>
    <row r="1521" spans="4:92" x14ac:dyDescent="0.35">
      <c r="D1521">
        <v>3.0384600000000001E-2</v>
      </c>
      <c r="E1521">
        <v>15.35</v>
      </c>
      <c r="F1521">
        <v>25.86</v>
      </c>
      <c r="G1521">
        <v>15.4877</v>
      </c>
      <c r="I1521">
        <v>3.0384600000000001E-2</v>
      </c>
      <c r="J1521">
        <f t="shared" si="172"/>
        <v>2.7243868194671693E-2</v>
      </c>
      <c r="K1521">
        <v>0.1372452331155174</v>
      </c>
      <c r="L1521">
        <v>5.0918492917455559E-2</v>
      </c>
      <c r="N1521">
        <v>3.0384600000000001E-2</v>
      </c>
      <c r="O1521">
        <f t="shared" si="173"/>
        <v>0.1372452331155174</v>
      </c>
      <c r="Q1521">
        <v>3.0384600000000001E-2</v>
      </c>
      <c r="R1521">
        <f t="shared" si="174"/>
        <v>5.0918492917455559E-2</v>
      </c>
      <c r="CH1521">
        <v>2.8127099999999999E-2</v>
      </c>
      <c r="CI1521">
        <v>29.402000000000001</v>
      </c>
      <c r="CJ1521">
        <f t="shared" si="175"/>
        <v>2285.0941845462366</v>
      </c>
      <c r="CL1521">
        <v>2.8127099999999999E-2</v>
      </c>
      <c r="CM1521">
        <v>2.0160000000000001E-2</v>
      </c>
      <c r="CN1521">
        <f t="shared" si="176"/>
        <v>1.5668151404820125</v>
      </c>
    </row>
    <row r="1522" spans="4:92" x14ac:dyDescent="0.35">
      <c r="D1522">
        <v>3.0778099999999999E-2</v>
      </c>
      <c r="E1522">
        <v>14.9832</v>
      </c>
      <c r="F1522">
        <v>25.8599</v>
      </c>
      <c r="G1522">
        <v>15.9556</v>
      </c>
      <c r="I1522">
        <v>3.0778099999999999E-2</v>
      </c>
      <c r="J1522">
        <f t="shared" si="172"/>
        <v>2.6592855109733218E-2</v>
      </c>
      <c r="K1522">
        <v>0.13724470239149142</v>
      </c>
      <c r="L1522">
        <v>5.2456795107973041E-2</v>
      </c>
      <c r="N1522">
        <v>3.0778099999999999E-2</v>
      </c>
      <c r="O1522">
        <f t="shared" si="173"/>
        <v>0.13724470239149142</v>
      </c>
      <c r="Q1522">
        <v>3.0778099999999999E-2</v>
      </c>
      <c r="R1522">
        <f t="shared" si="174"/>
        <v>5.2456795107973041E-2</v>
      </c>
      <c r="CH1522">
        <v>2.84914E-2</v>
      </c>
      <c r="CI1522">
        <v>31.019400000000001</v>
      </c>
      <c r="CJ1522">
        <f t="shared" si="175"/>
        <v>2410.7969032077249</v>
      </c>
      <c r="CL1522">
        <v>2.84914E-2</v>
      </c>
      <c r="CM1522">
        <v>1.7420000000000001E-2</v>
      </c>
      <c r="CN1522">
        <f t="shared" si="176"/>
        <v>1.353865066825231</v>
      </c>
    </row>
    <row r="1523" spans="4:92" x14ac:dyDescent="0.35">
      <c r="D1523">
        <v>3.1176599999999999E-2</v>
      </c>
      <c r="E1523">
        <v>15.507</v>
      </c>
      <c r="F1523">
        <v>25.904900000000001</v>
      </c>
      <c r="G1523">
        <v>16.0288</v>
      </c>
      <c r="I1523">
        <v>3.1176599999999999E-2</v>
      </c>
      <c r="J1523">
        <f t="shared" si="172"/>
        <v>2.7522518833535761E-2</v>
      </c>
      <c r="K1523">
        <v>0.13748352820317736</v>
      </c>
      <c r="L1523">
        <v>5.2697452770605821E-2</v>
      </c>
      <c r="N1523">
        <v>3.1176599999999999E-2</v>
      </c>
      <c r="O1523">
        <f t="shared" si="173"/>
        <v>0.13748352820317736</v>
      </c>
      <c r="Q1523">
        <v>3.1176599999999999E-2</v>
      </c>
      <c r="R1523">
        <f t="shared" si="174"/>
        <v>5.2697452770605821E-2</v>
      </c>
      <c r="CH1523">
        <v>2.8860299999999998E-2</v>
      </c>
      <c r="CI1523">
        <v>32.971299999999999</v>
      </c>
      <c r="CJ1523">
        <f t="shared" si="175"/>
        <v>2562.4966290364373</v>
      </c>
      <c r="CL1523">
        <v>2.8860299999999998E-2</v>
      </c>
      <c r="CM1523">
        <v>1.9449999999999999E-2</v>
      </c>
      <c r="CN1523">
        <f t="shared" si="176"/>
        <v>1.5116346469432111</v>
      </c>
    </row>
    <row r="1524" spans="4:92" x14ac:dyDescent="0.35">
      <c r="D1524">
        <v>3.1580400000000002E-2</v>
      </c>
      <c r="E1524">
        <v>15.1112</v>
      </c>
      <c r="F1524">
        <v>26.593599999999999</v>
      </c>
      <c r="G1524">
        <v>15.9268</v>
      </c>
      <c r="I1524">
        <v>3.1580400000000002E-2</v>
      </c>
      <c r="J1524">
        <f t="shared" si="172"/>
        <v>2.6820035248424943E-2</v>
      </c>
      <c r="K1524">
        <v>0.14113862457002407</v>
      </c>
      <c r="L1524">
        <v>5.2362110125953584E-2</v>
      </c>
      <c r="N1524">
        <v>3.1580400000000002E-2</v>
      </c>
      <c r="O1524">
        <f t="shared" si="173"/>
        <v>0.14113862457002407</v>
      </c>
      <c r="Q1524">
        <v>3.1580400000000002E-2</v>
      </c>
      <c r="R1524">
        <f t="shared" si="174"/>
        <v>5.2362110125953584E-2</v>
      </c>
      <c r="CH1524">
        <v>2.9234099999999999E-2</v>
      </c>
      <c r="CI1524">
        <v>33.942900000000002</v>
      </c>
      <c r="CJ1524">
        <f t="shared" si="175"/>
        <v>2638.008414279112</v>
      </c>
      <c r="CL1524">
        <v>2.9234099999999999E-2</v>
      </c>
      <c r="CM1524">
        <v>1.601E-2</v>
      </c>
      <c r="CN1524">
        <f t="shared" si="176"/>
        <v>1.2442812697974712</v>
      </c>
    </row>
    <row r="1525" spans="4:92" x14ac:dyDescent="0.35">
      <c r="D1525">
        <v>3.1989400000000001E-2</v>
      </c>
      <c r="E1525">
        <v>15.2616</v>
      </c>
      <c r="F1525">
        <v>26.7789</v>
      </c>
      <c r="G1525">
        <v>15.633100000000001</v>
      </c>
      <c r="I1525">
        <v>3.1989400000000001E-2</v>
      </c>
      <c r="J1525">
        <f t="shared" si="172"/>
        <v>2.708697191138772E-2</v>
      </c>
      <c r="K1525">
        <v>0.14212205619014417</v>
      </c>
      <c r="L1525">
        <v>5.1396520569734337E-2</v>
      </c>
      <c r="N1525">
        <v>3.1989400000000001E-2</v>
      </c>
      <c r="O1525">
        <f t="shared" si="173"/>
        <v>0.14212205619014417</v>
      </c>
      <c r="Q1525">
        <v>3.1989400000000001E-2</v>
      </c>
      <c r="R1525">
        <f t="shared" si="174"/>
        <v>5.1396520569734337E-2</v>
      </c>
      <c r="CH1525">
        <v>2.9612599999999999E-2</v>
      </c>
      <c r="CI1525">
        <v>33.104900000000001</v>
      </c>
      <c r="CJ1525">
        <f t="shared" si="175"/>
        <v>2572.8798881023299</v>
      </c>
      <c r="CL1525">
        <v>2.9612599999999999E-2</v>
      </c>
      <c r="CM1525">
        <v>2.0240000000000001E-2</v>
      </c>
      <c r="CN1525">
        <f t="shared" si="176"/>
        <v>1.5730326608807506</v>
      </c>
    </row>
    <row r="1526" spans="4:92" x14ac:dyDescent="0.35">
      <c r="D1526">
        <v>3.2403599999999998E-2</v>
      </c>
      <c r="E1526">
        <v>15.611499999999999</v>
      </c>
      <c r="F1526">
        <v>26.839300000000001</v>
      </c>
      <c r="G1526">
        <v>15.672499999999999</v>
      </c>
      <c r="I1526">
        <v>3.2403599999999998E-2</v>
      </c>
      <c r="J1526">
        <f t="shared" si="172"/>
        <v>2.7707990118639548E-2</v>
      </c>
      <c r="K1526">
        <v>0.1424426135018293</v>
      </c>
      <c r="L1526">
        <v>5.1526054885413737E-2</v>
      </c>
      <c r="N1526">
        <v>3.2403599999999998E-2</v>
      </c>
      <c r="O1526">
        <f t="shared" si="173"/>
        <v>0.1424426135018293</v>
      </c>
      <c r="Q1526">
        <v>3.2403599999999998E-2</v>
      </c>
      <c r="R1526">
        <f t="shared" si="174"/>
        <v>5.1526054885413737E-2</v>
      </c>
      <c r="CH1526">
        <v>2.9996100000000001E-2</v>
      </c>
      <c r="CI1526">
        <v>34.503399999999999</v>
      </c>
      <c r="CJ1526">
        <f t="shared" si="175"/>
        <v>2681.569916572771</v>
      </c>
      <c r="CL1526">
        <v>2.9996100000000001E-2</v>
      </c>
      <c r="CM1526">
        <v>1.9800000000000002E-2</v>
      </c>
      <c r="CN1526">
        <f t="shared" si="176"/>
        <v>1.5388362986876909</v>
      </c>
    </row>
    <row r="1527" spans="4:92" x14ac:dyDescent="0.35">
      <c r="D1527">
        <v>3.2823199999999997E-2</v>
      </c>
      <c r="E1527">
        <v>15.338200000000001</v>
      </c>
      <c r="F1527">
        <v>27.053699999999999</v>
      </c>
      <c r="G1527">
        <v>15.8955</v>
      </c>
      <c r="I1527">
        <v>3.2823199999999997E-2</v>
      </c>
      <c r="J1527">
        <f t="shared" si="172"/>
        <v>2.7222925025636051E-2</v>
      </c>
      <c r="K1527">
        <v>0.1435804858135063</v>
      </c>
      <c r="L1527">
        <v>5.2259205961467159E-2</v>
      </c>
      <c r="N1527">
        <v>3.2823199999999997E-2</v>
      </c>
      <c r="O1527">
        <f t="shared" si="173"/>
        <v>0.1435804858135063</v>
      </c>
      <c r="Q1527">
        <v>3.2823199999999997E-2</v>
      </c>
      <c r="R1527">
        <f t="shared" si="174"/>
        <v>5.2259205961467159E-2</v>
      </c>
      <c r="CH1527">
        <v>3.0384600000000001E-2</v>
      </c>
      <c r="CI1527">
        <v>32.898699999999998</v>
      </c>
      <c r="CJ1527">
        <f t="shared" si="175"/>
        <v>2556.8542292745824</v>
      </c>
      <c r="CL1527">
        <v>3.0384600000000001E-2</v>
      </c>
      <c r="CM1527">
        <v>2.1600000000000001E-2</v>
      </c>
      <c r="CN1527">
        <f t="shared" si="176"/>
        <v>1.6787305076592991</v>
      </c>
    </row>
    <row r="1528" spans="4:92" x14ac:dyDescent="0.35">
      <c r="D1528">
        <v>3.3248300000000001E-2</v>
      </c>
      <c r="E1528">
        <v>15.5412</v>
      </c>
      <c r="F1528">
        <v>27.4086</v>
      </c>
      <c r="G1528">
        <v>15.894399999999999</v>
      </c>
      <c r="I1528">
        <v>3.3248300000000001E-2</v>
      </c>
      <c r="J1528">
        <f t="shared" si="172"/>
        <v>2.7583218526842458E-2</v>
      </c>
      <c r="K1528">
        <v>0.14546402538166936</v>
      </c>
      <c r="L1528">
        <v>5.2255589521181693E-2</v>
      </c>
      <c r="N1528">
        <v>3.3248300000000001E-2</v>
      </c>
      <c r="O1528">
        <f t="shared" si="173"/>
        <v>0.14546402538166936</v>
      </c>
      <c r="Q1528">
        <v>3.3248300000000001E-2</v>
      </c>
      <c r="R1528">
        <f t="shared" si="174"/>
        <v>5.2255589521181693E-2</v>
      </c>
      <c r="CH1528">
        <v>3.0778099999999999E-2</v>
      </c>
      <c r="CI1528">
        <v>34.9101</v>
      </c>
      <c r="CJ1528">
        <f t="shared" si="175"/>
        <v>2713.1782358998562</v>
      </c>
      <c r="CL1528">
        <v>3.0778099999999999E-2</v>
      </c>
      <c r="CM1528">
        <v>1.9939999999999999E-2</v>
      </c>
      <c r="CN1528">
        <f t="shared" si="176"/>
        <v>1.5497169593854825</v>
      </c>
    </row>
    <row r="1529" spans="4:92" x14ac:dyDescent="0.35">
      <c r="D1529">
        <v>3.3678899999999998E-2</v>
      </c>
      <c r="E1529">
        <v>15.1265</v>
      </c>
      <c r="F1529">
        <v>27.261399999999998</v>
      </c>
      <c r="G1529">
        <v>15.8141</v>
      </c>
      <c r="I1529">
        <v>3.3678899999999998E-2</v>
      </c>
      <c r="J1529">
        <f t="shared" si="172"/>
        <v>2.6847190374377938E-2</v>
      </c>
      <c r="K1529">
        <v>0.14468279961544336</v>
      </c>
      <c r="L1529">
        <v>5.1991589380342727E-2</v>
      </c>
      <c r="N1529">
        <v>3.3678899999999998E-2</v>
      </c>
      <c r="O1529">
        <f t="shared" si="173"/>
        <v>0.14468279961544336</v>
      </c>
      <c r="Q1529">
        <v>3.3678899999999998E-2</v>
      </c>
      <c r="R1529">
        <f t="shared" si="174"/>
        <v>5.1991589380342727E-2</v>
      </c>
      <c r="CH1529">
        <v>3.1176599999999999E-2</v>
      </c>
      <c r="CI1529">
        <v>34.400100000000002</v>
      </c>
      <c r="CJ1529">
        <f t="shared" si="175"/>
        <v>2673.5415433579005</v>
      </c>
      <c r="CL1529">
        <v>3.1176599999999999E-2</v>
      </c>
      <c r="CM1529">
        <v>3.3050000000000003E-2</v>
      </c>
      <c r="CN1529">
        <f t="shared" si="176"/>
        <v>2.5686131147286959</v>
      </c>
    </row>
    <row r="1530" spans="4:92" x14ac:dyDescent="0.35">
      <c r="D1530">
        <v>3.4114999999999999E-2</v>
      </c>
      <c r="E1530">
        <v>15.6607</v>
      </c>
      <c r="F1530">
        <v>27.781400000000001</v>
      </c>
      <c r="G1530">
        <v>16.082599999999999</v>
      </c>
      <c r="I1530">
        <v>3.4114999999999999E-2</v>
      </c>
      <c r="J1530">
        <f t="shared" si="172"/>
        <v>2.7795312484449185E-2</v>
      </c>
      <c r="K1530">
        <v>0.14744256455048085</v>
      </c>
      <c r="L1530">
        <v>5.2874329577294939E-2</v>
      </c>
      <c r="N1530">
        <v>3.4114999999999999E-2</v>
      </c>
      <c r="O1530">
        <f t="shared" si="173"/>
        <v>0.14744256455048085</v>
      </c>
      <c r="Q1530">
        <v>3.4114999999999999E-2</v>
      </c>
      <c r="R1530">
        <f t="shared" si="174"/>
        <v>5.2874329577294939E-2</v>
      </c>
      <c r="CH1530">
        <v>3.1580400000000002E-2</v>
      </c>
      <c r="CI1530">
        <v>35.2273</v>
      </c>
      <c r="CJ1530">
        <f t="shared" si="175"/>
        <v>2737.8307042808528</v>
      </c>
      <c r="CL1530">
        <v>3.1580400000000002E-2</v>
      </c>
      <c r="CM1530">
        <v>2.147E-2</v>
      </c>
      <c r="CN1530">
        <f t="shared" si="176"/>
        <v>1.6686270370113494</v>
      </c>
    </row>
    <row r="1531" spans="4:92" x14ac:dyDescent="0.35">
      <c r="D1531">
        <v>3.4556799999999999E-2</v>
      </c>
      <c r="E1531">
        <v>15.074199999999999</v>
      </c>
      <c r="F1531">
        <v>27.938199999999998</v>
      </c>
      <c r="G1531">
        <v>15.6625</v>
      </c>
      <c r="I1531">
        <v>3.4556799999999999E-2</v>
      </c>
      <c r="J1531">
        <f t="shared" si="172"/>
        <v>2.6754365989584365E-2</v>
      </c>
      <c r="K1531">
        <v>0.1482747398231998</v>
      </c>
      <c r="L1531">
        <v>5.1493178155545868E-2</v>
      </c>
      <c r="N1531">
        <v>3.4556799999999999E-2</v>
      </c>
      <c r="O1531">
        <f t="shared" si="173"/>
        <v>0.1482747398231998</v>
      </c>
      <c r="Q1531">
        <v>3.4556799999999999E-2</v>
      </c>
      <c r="R1531">
        <f t="shared" si="174"/>
        <v>5.1493178155545868E-2</v>
      </c>
      <c r="CH1531">
        <v>3.1989400000000001E-2</v>
      </c>
      <c r="CI1531">
        <v>35.126800000000003</v>
      </c>
      <c r="CJ1531">
        <f t="shared" si="175"/>
        <v>2730.0199442799385</v>
      </c>
      <c r="CL1531">
        <v>3.1989400000000001E-2</v>
      </c>
      <c r="CM1531">
        <v>2.147E-2</v>
      </c>
      <c r="CN1531">
        <f t="shared" si="176"/>
        <v>1.6686270370113494</v>
      </c>
    </row>
    <row r="1532" spans="4:92" x14ac:dyDescent="0.35">
      <c r="D1532">
        <v>3.5004300000000002E-2</v>
      </c>
      <c r="E1532">
        <v>15.152699999999999</v>
      </c>
      <c r="F1532">
        <v>27.984400000000001</v>
      </c>
      <c r="G1532">
        <v>15.881600000000001</v>
      </c>
      <c r="I1532">
        <v>3.5004300000000002E-2</v>
      </c>
      <c r="J1532">
        <f t="shared" si="172"/>
        <v>2.68936913090164E-2</v>
      </c>
      <c r="K1532">
        <v>0.14851993432319741</v>
      </c>
      <c r="L1532">
        <v>5.2213507306950825E-2</v>
      </c>
      <c r="N1532">
        <v>3.5004300000000002E-2</v>
      </c>
      <c r="O1532">
        <f t="shared" si="173"/>
        <v>0.14851993432319741</v>
      </c>
      <c r="Q1532">
        <v>3.5004300000000002E-2</v>
      </c>
      <c r="R1532">
        <f t="shared" si="174"/>
        <v>5.2213507306950825E-2</v>
      </c>
      <c r="CH1532">
        <v>3.2403599999999998E-2</v>
      </c>
      <c r="CI1532">
        <v>34.034599999999998</v>
      </c>
      <c r="CJ1532">
        <f t="shared" si="175"/>
        <v>2645.1352470361653</v>
      </c>
      <c r="CL1532">
        <v>3.2403599999999998E-2</v>
      </c>
      <c r="CM1532">
        <v>2.0709999999999999E-2</v>
      </c>
      <c r="CN1532">
        <f t="shared" si="176"/>
        <v>1.609560593223337</v>
      </c>
    </row>
    <row r="1533" spans="4:92" x14ac:dyDescent="0.35">
      <c r="D1533">
        <v>3.5457599999999999E-2</v>
      </c>
      <c r="E1533">
        <v>15.05</v>
      </c>
      <c r="F1533">
        <v>28.555099999999999</v>
      </c>
      <c r="G1533">
        <v>15.559900000000001</v>
      </c>
      <c r="I1533">
        <v>3.5457599999999999E-2</v>
      </c>
      <c r="J1533">
        <f t="shared" si="172"/>
        <v>2.6711414744612961E-2</v>
      </c>
      <c r="K1533">
        <v>0.151548776339401</v>
      </c>
      <c r="L1533">
        <v>5.1155862907101564E-2</v>
      </c>
      <c r="N1533">
        <v>3.5457599999999999E-2</v>
      </c>
      <c r="O1533">
        <f t="shared" si="173"/>
        <v>0.151548776339401</v>
      </c>
      <c r="Q1533">
        <v>3.5457599999999999E-2</v>
      </c>
      <c r="R1533">
        <f t="shared" si="174"/>
        <v>5.1155862907101564E-2</v>
      </c>
      <c r="CH1533">
        <v>3.2823199999999997E-2</v>
      </c>
      <c r="CI1533">
        <v>34.752600000000001</v>
      </c>
      <c r="CJ1533">
        <f t="shared" si="175"/>
        <v>2700.9374926148407</v>
      </c>
      <c r="CL1533">
        <v>3.2823199999999997E-2</v>
      </c>
      <c r="CM1533">
        <v>2.3570000000000001E-2</v>
      </c>
      <c r="CN1533">
        <f t="shared" si="176"/>
        <v>1.8318369474782259</v>
      </c>
    </row>
    <row r="1534" spans="4:92" x14ac:dyDescent="0.35">
      <c r="D1534">
        <v>3.5916799999999999E-2</v>
      </c>
      <c r="E1534">
        <v>15.34</v>
      </c>
      <c r="F1534">
        <v>28.51</v>
      </c>
      <c r="G1534">
        <v>15.667400000000001</v>
      </c>
      <c r="I1534">
        <v>3.5916799999999999E-2</v>
      </c>
      <c r="J1534">
        <f t="shared" si="172"/>
        <v>2.7226119746336399E-2</v>
      </c>
      <c r="K1534">
        <v>0.15130941980368912</v>
      </c>
      <c r="L1534">
        <v>5.1509287753181129E-2</v>
      </c>
      <c r="N1534">
        <v>3.5916799999999999E-2</v>
      </c>
      <c r="O1534">
        <f t="shared" si="173"/>
        <v>0.15130941980368912</v>
      </c>
      <c r="Q1534">
        <v>3.5916799999999999E-2</v>
      </c>
      <c r="R1534">
        <f t="shared" si="174"/>
        <v>5.1509287753181129E-2</v>
      </c>
      <c r="CH1534">
        <v>3.3248300000000001E-2</v>
      </c>
      <c r="CI1534">
        <v>35.064100000000003</v>
      </c>
      <c r="CJ1534">
        <f t="shared" si="175"/>
        <v>2725.1469626674275</v>
      </c>
      <c r="CL1534">
        <v>3.3248300000000001E-2</v>
      </c>
      <c r="CM1534">
        <v>1.8100000000000002E-2</v>
      </c>
      <c r="CN1534">
        <f t="shared" si="176"/>
        <v>1.4067139902145052</v>
      </c>
    </row>
    <row r="1535" spans="4:92" x14ac:dyDescent="0.35">
      <c r="D1535">
        <v>3.6381900000000002E-2</v>
      </c>
      <c r="E1535">
        <v>15.430999999999999</v>
      </c>
      <c r="F1535">
        <v>28.4435</v>
      </c>
      <c r="G1535">
        <v>15.4915</v>
      </c>
      <c r="I1535">
        <v>3.6381900000000002E-2</v>
      </c>
      <c r="J1535">
        <f t="shared" si="172"/>
        <v>2.7387630626187549E-2</v>
      </c>
      <c r="K1535">
        <v>0.15095648832641992</v>
      </c>
      <c r="L1535">
        <v>5.0930986074805347E-2</v>
      </c>
      <c r="N1535">
        <v>3.6381900000000002E-2</v>
      </c>
      <c r="O1535">
        <f t="shared" si="173"/>
        <v>0.15095648832641992</v>
      </c>
      <c r="Q1535">
        <v>3.6381900000000002E-2</v>
      </c>
      <c r="R1535">
        <f t="shared" si="174"/>
        <v>5.0930986074805347E-2</v>
      </c>
      <c r="CH1535">
        <v>3.3678899999999998E-2</v>
      </c>
      <c r="CI1535">
        <v>35.4983</v>
      </c>
      <c r="CJ1535">
        <f t="shared" si="175"/>
        <v>2758.8925546315786</v>
      </c>
      <c r="CL1535">
        <v>3.3678899999999998E-2</v>
      </c>
      <c r="CM1535">
        <v>5.0599999999999999E-2</v>
      </c>
      <c r="CN1535">
        <f t="shared" si="176"/>
        <v>3.9325816522018764</v>
      </c>
    </row>
    <row r="1536" spans="4:92" x14ac:dyDescent="0.35">
      <c r="D1536">
        <v>3.68531E-2</v>
      </c>
      <c r="E1536">
        <v>15.2197</v>
      </c>
      <c r="F1536">
        <v>27.974299999999999</v>
      </c>
      <c r="G1536">
        <v>15.776300000000001</v>
      </c>
      <c r="I1536">
        <v>3.68531E-2</v>
      </c>
      <c r="J1536">
        <f t="shared" si="172"/>
        <v>2.7012605912862846E-2</v>
      </c>
      <c r="K1536">
        <v>0.14846633119657454</v>
      </c>
      <c r="L1536">
        <v>5.1867315341442191E-2</v>
      </c>
      <c r="N1536">
        <v>3.68531E-2</v>
      </c>
      <c r="O1536">
        <f t="shared" si="173"/>
        <v>0.14846633119657454</v>
      </c>
      <c r="Q1536">
        <v>3.68531E-2</v>
      </c>
      <c r="R1536">
        <f t="shared" si="174"/>
        <v>5.1867315341442191E-2</v>
      </c>
      <c r="CH1536">
        <v>3.4114999999999999E-2</v>
      </c>
      <c r="CI1536">
        <v>34.479300000000002</v>
      </c>
      <c r="CJ1536">
        <f t="shared" si="175"/>
        <v>2679.6968885526512</v>
      </c>
      <c r="CL1536">
        <v>3.4114999999999999E-2</v>
      </c>
      <c r="CM1536">
        <v>2.0209999999999999E-2</v>
      </c>
      <c r="CN1536">
        <f t="shared" si="176"/>
        <v>1.5707010907312235</v>
      </c>
    </row>
    <row r="1537" spans="4:92" x14ac:dyDescent="0.35">
      <c r="D1537">
        <v>3.7330299999999997E-2</v>
      </c>
      <c r="E1537">
        <v>15.3314</v>
      </c>
      <c r="F1537">
        <v>28.268799999999999</v>
      </c>
      <c r="G1537">
        <v>15.7021</v>
      </c>
      <c r="I1537">
        <v>3.7330299999999997E-2</v>
      </c>
      <c r="J1537">
        <f t="shared" si="172"/>
        <v>2.7210856080768051E-2</v>
      </c>
      <c r="K1537">
        <v>0.15002931345305248</v>
      </c>
      <c r="L1537">
        <v>5.1623370005822622E-2</v>
      </c>
      <c r="N1537">
        <v>3.7330299999999997E-2</v>
      </c>
      <c r="O1537">
        <f t="shared" si="173"/>
        <v>0.15002931345305248</v>
      </c>
      <c r="Q1537">
        <v>3.7330299999999997E-2</v>
      </c>
      <c r="R1537">
        <f t="shared" si="174"/>
        <v>5.1623370005822622E-2</v>
      </c>
      <c r="CH1537">
        <v>3.4556799999999999E-2</v>
      </c>
      <c r="CI1537">
        <v>35.409500000000001</v>
      </c>
      <c r="CJ1537">
        <f t="shared" si="175"/>
        <v>2751.991106988979</v>
      </c>
      <c r="CL1537">
        <v>3.4556799999999999E-2</v>
      </c>
      <c r="CM1537">
        <v>2.0820000000000002E-2</v>
      </c>
      <c r="CN1537">
        <f t="shared" si="176"/>
        <v>1.6181096837716022</v>
      </c>
    </row>
    <row r="1538" spans="4:92" x14ac:dyDescent="0.35">
      <c r="D1538">
        <v>3.7813800000000002E-2</v>
      </c>
      <c r="E1538">
        <v>15.196199999999999</v>
      </c>
      <c r="F1538">
        <v>28.192499999999999</v>
      </c>
      <c r="G1538">
        <v>15.709199999999999</v>
      </c>
      <c r="I1538">
        <v>3.7813800000000002E-2</v>
      </c>
      <c r="J1538">
        <f t="shared" si="172"/>
        <v>2.6970897059274915E-2</v>
      </c>
      <c r="K1538">
        <v>0.14962437102123835</v>
      </c>
      <c r="L1538">
        <v>5.1646712484028801E-2</v>
      </c>
      <c r="N1538">
        <v>3.7813800000000002E-2</v>
      </c>
      <c r="O1538">
        <f t="shared" si="173"/>
        <v>0.14962437102123835</v>
      </c>
      <c r="Q1538">
        <v>3.7813800000000002E-2</v>
      </c>
      <c r="R1538">
        <f t="shared" si="174"/>
        <v>5.1646712484028801E-2</v>
      </c>
      <c r="CH1538">
        <v>3.5004300000000002E-2</v>
      </c>
      <c r="CI1538">
        <v>35.433700000000002</v>
      </c>
      <c r="CJ1538">
        <f t="shared" si="175"/>
        <v>2753.8719069095973</v>
      </c>
      <c r="CL1538">
        <v>3.5004300000000002E-2</v>
      </c>
      <c r="CM1538">
        <v>2.4930000000000001E-2</v>
      </c>
      <c r="CN1538">
        <f t="shared" si="176"/>
        <v>1.9375347942567742</v>
      </c>
    </row>
    <row r="1539" spans="4:92" x14ac:dyDescent="0.35">
      <c r="D1539">
        <v>3.8303499999999997E-2</v>
      </c>
      <c r="E1539">
        <v>15.3712</v>
      </c>
      <c r="F1539">
        <v>28.088999999999999</v>
      </c>
      <c r="G1539">
        <v>15.554600000000001</v>
      </c>
      <c r="I1539">
        <v>3.8303499999999997E-2</v>
      </c>
      <c r="J1539">
        <f t="shared" si="172"/>
        <v>2.7281494905142506E-2</v>
      </c>
      <c r="K1539">
        <v>0.14907507165436071</v>
      </c>
      <c r="L1539">
        <v>5.1138438240271596E-2</v>
      </c>
      <c r="N1539">
        <v>3.8303499999999997E-2</v>
      </c>
      <c r="O1539">
        <f t="shared" si="173"/>
        <v>0.14907507165436071</v>
      </c>
      <c r="Q1539">
        <v>3.8303499999999997E-2</v>
      </c>
      <c r="R1539">
        <f t="shared" si="174"/>
        <v>5.1138438240271596E-2</v>
      </c>
      <c r="CH1539">
        <v>3.5457599999999999E-2</v>
      </c>
      <c r="CI1539">
        <v>34.547800000000002</v>
      </c>
      <c r="CJ1539">
        <f t="shared" si="175"/>
        <v>2685.0206403940711</v>
      </c>
      <c r="CL1539">
        <v>3.5457599999999999E-2</v>
      </c>
      <c r="CM1539">
        <v>2.3980000000000001E-2</v>
      </c>
      <c r="CN1539">
        <f t="shared" si="176"/>
        <v>1.8637017395217588</v>
      </c>
    </row>
    <row r="1540" spans="4:92" x14ac:dyDescent="0.35">
      <c r="D1540">
        <v>3.8799500000000001E-2</v>
      </c>
      <c r="E1540">
        <v>15.4826</v>
      </c>
      <c r="F1540">
        <v>28.792200000000001</v>
      </c>
      <c r="G1540">
        <v>16.150300000000001</v>
      </c>
      <c r="I1540">
        <v>3.8799500000000001E-2</v>
      </c>
      <c r="J1540">
        <f t="shared" ref="J1540:J1603" si="177">E1540/SUM($E$3:$E$2002)/$C$3</f>
        <v>2.747921261959765E-2</v>
      </c>
      <c r="K1540">
        <v>0.15280712300497293</v>
      </c>
      <c r="L1540">
        <v>5.3096905038500397E-2</v>
      </c>
      <c r="N1540">
        <v>3.8799500000000001E-2</v>
      </c>
      <c r="O1540">
        <f t="shared" ref="O1540:O1603" si="178">F1540/SUM($F$3:$F$2002)/$C$3</f>
        <v>0.15280712300497293</v>
      </c>
      <c r="Q1540">
        <v>3.8799500000000001E-2</v>
      </c>
      <c r="R1540">
        <f t="shared" ref="R1540:R1603" si="179">G1540/SUM($G$3:$G$2002)/$C$3</f>
        <v>5.3096905038500397E-2</v>
      </c>
      <c r="CH1540">
        <v>3.5916799999999999E-2</v>
      </c>
      <c r="CI1540">
        <v>33.560099999999998</v>
      </c>
      <c r="CJ1540">
        <f t="shared" si="175"/>
        <v>2608.2575791711497</v>
      </c>
      <c r="CL1540">
        <v>3.5916799999999999E-2</v>
      </c>
      <c r="CM1540">
        <v>1.533E-2</v>
      </c>
      <c r="CN1540">
        <f t="shared" si="176"/>
        <v>1.1914323464081968</v>
      </c>
    </row>
    <row r="1541" spans="4:92" x14ac:dyDescent="0.35">
      <c r="D1541">
        <v>3.9301999999999997E-2</v>
      </c>
      <c r="E1541">
        <v>15.351699999999999</v>
      </c>
      <c r="F1541">
        <v>28.641200000000001</v>
      </c>
      <c r="G1541">
        <v>16.030899999999999</v>
      </c>
      <c r="I1541">
        <v>3.9301999999999997E-2</v>
      </c>
      <c r="J1541">
        <f t="shared" si="177"/>
        <v>2.7246885430888688E-2</v>
      </c>
      <c r="K1541">
        <v>0.15200572972576012</v>
      </c>
      <c r="L1541">
        <v>5.2704356883878069E-2</v>
      </c>
      <c r="N1541">
        <v>3.9301999999999997E-2</v>
      </c>
      <c r="O1541">
        <f t="shared" si="178"/>
        <v>0.15200572972576012</v>
      </c>
      <c r="Q1541">
        <v>3.9301999999999997E-2</v>
      </c>
      <c r="R1541">
        <f t="shared" si="179"/>
        <v>5.2704356883878069E-2</v>
      </c>
      <c r="CH1541">
        <v>3.6381900000000002E-2</v>
      </c>
      <c r="CI1541">
        <v>34.853999999999999</v>
      </c>
      <c r="CJ1541">
        <f t="shared" si="175"/>
        <v>2708.818199720241</v>
      </c>
      <c r="CL1541">
        <v>3.6381900000000002E-2</v>
      </c>
      <c r="CM1541">
        <v>2.2270000000000002E-2</v>
      </c>
      <c r="CN1541">
        <f t="shared" si="176"/>
        <v>1.7308022409987311</v>
      </c>
    </row>
    <row r="1542" spans="4:92" x14ac:dyDescent="0.35">
      <c r="D1542">
        <v>3.9810900000000003E-2</v>
      </c>
      <c r="E1542">
        <v>15.3066</v>
      </c>
      <c r="F1542">
        <v>28.690999999999999</v>
      </c>
      <c r="G1542">
        <v>16.578099999999999</v>
      </c>
      <c r="I1542">
        <v>3.9810900000000003E-2</v>
      </c>
      <c r="J1542">
        <f t="shared" si="177"/>
        <v>2.7166839928896527E-2</v>
      </c>
      <c r="K1542">
        <v>0.15227003029069253</v>
      </c>
      <c r="L1542">
        <v>5.4503371542247714E-2</v>
      </c>
      <c r="N1542">
        <v>3.9810900000000003E-2</v>
      </c>
      <c r="O1542">
        <f t="shared" si="178"/>
        <v>0.15227003029069253</v>
      </c>
      <c r="Q1542">
        <v>3.9810900000000003E-2</v>
      </c>
      <c r="R1542">
        <f t="shared" si="179"/>
        <v>5.4503371542247714E-2</v>
      </c>
      <c r="CH1542">
        <v>3.68531E-2</v>
      </c>
      <c r="CI1542">
        <v>34.871200000000002</v>
      </c>
      <c r="CJ1542">
        <f t="shared" si="175"/>
        <v>2710.15496660597</v>
      </c>
      <c r="CL1542">
        <v>3.68531E-2</v>
      </c>
      <c r="CM1542">
        <v>2.078E-2</v>
      </c>
      <c r="CN1542">
        <f t="shared" si="176"/>
        <v>1.6150009235722329</v>
      </c>
    </row>
    <row r="1543" spans="4:92" x14ac:dyDescent="0.35">
      <c r="D1543">
        <v>4.0326500000000001E-2</v>
      </c>
      <c r="E1543">
        <v>15.9247</v>
      </c>
      <c r="F1543">
        <v>28.341000000000001</v>
      </c>
      <c r="G1543">
        <v>16.465800000000002</v>
      </c>
      <c r="I1543">
        <v>4.0326500000000001E-2</v>
      </c>
      <c r="J1543">
        <f t="shared" si="177"/>
        <v>2.8263871520500864E-2</v>
      </c>
      <c r="K1543">
        <v>0.15041249619980193</v>
      </c>
      <c r="L1543">
        <v>5.4134165865831592E-2</v>
      </c>
      <c r="N1543">
        <v>4.0326500000000001E-2</v>
      </c>
      <c r="O1543">
        <f t="shared" si="178"/>
        <v>0.15041249619980193</v>
      </c>
      <c r="Q1543">
        <v>4.0326500000000001E-2</v>
      </c>
      <c r="R1543">
        <f t="shared" si="179"/>
        <v>5.4134165865831592E-2</v>
      </c>
      <c r="CH1543">
        <v>3.7330299999999997E-2</v>
      </c>
      <c r="CI1543">
        <v>35.668900000000001</v>
      </c>
      <c r="CJ1543">
        <f t="shared" si="175"/>
        <v>2772.1514168818876</v>
      </c>
      <c r="CL1543">
        <v>3.7330299999999997E-2</v>
      </c>
      <c r="CM1543">
        <v>1.9789999999999999E-2</v>
      </c>
      <c r="CN1543">
        <f t="shared" si="176"/>
        <v>1.5380591086378483</v>
      </c>
    </row>
    <row r="1544" spans="4:92" x14ac:dyDescent="0.35">
      <c r="D1544">
        <v>4.0848700000000002E-2</v>
      </c>
      <c r="E1544">
        <v>15.810700000000001</v>
      </c>
      <c r="F1544">
        <v>27.786100000000001</v>
      </c>
      <c r="G1544">
        <v>16.583300000000001</v>
      </c>
      <c r="I1544">
        <v>4.0848700000000002E-2</v>
      </c>
      <c r="J1544">
        <f t="shared" si="177"/>
        <v>2.8061539209478546E-2</v>
      </c>
      <c r="K1544">
        <v>0.14746750857970137</v>
      </c>
      <c r="L1544">
        <v>5.4520467441779012E-2</v>
      </c>
      <c r="N1544">
        <v>4.0848700000000002E-2</v>
      </c>
      <c r="O1544">
        <f t="shared" si="178"/>
        <v>0.14746750857970137</v>
      </c>
      <c r="Q1544">
        <v>4.0848700000000002E-2</v>
      </c>
      <c r="R1544">
        <f t="shared" si="179"/>
        <v>5.4520467441779012E-2</v>
      </c>
      <c r="CH1544">
        <v>3.7813800000000002E-2</v>
      </c>
      <c r="CI1544">
        <v>35.594999999999999</v>
      </c>
      <c r="CJ1544">
        <f t="shared" si="175"/>
        <v>2766.4079824135529</v>
      </c>
      <c r="CL1544">
        <v>3.7813800000000002E-2</v>
      </c>
      <c r="CM1544">
        <v>1.959E-2</v>
      </c>
      <c r="CN1544">
        <f t="shared" si="176"/>
        <v>1.522515307641003</v>
      </c>
    </row>
    <row r="1545" spans="4:92" x14ac:dyDescent="0.35">
      <c r="D1545">
        <v>4.1377700000000003E-2</v>
      </c>
      <c r="E1545">
        <v>15.367699999999999</v>
      </c>
      <c r="F1545">
        <v>27.744499999999999</v>
      </c>
      <c r="G1545">
        <v>16.745200000000001</v>
      </c>
      <c r="I1545">
        <v>4.1377700000000003E-2</v>
      </c>
      <c r="J1545">
        <f t="shared" si="177"/>
        <v>2.7275282948225153E-2</v>
      </c>
      <c r="K1545">
        <v>0.14724672738489838</v>
      </c>
      <c r="L1545">
        <v>5.5052741698339777E-2</v>
      </c>
      <c r="N1545">
        <v>4.1377700000000003E-2</v>
      </c>
      <c r="O1545">
        <f t="shared" si="178"/>
        <v>0.14724672738489838</v>
      </c>
      <c r="Q1545">
        <v>4.1377700000000003E-2</v>
      </c>
      <c r="R1545">
        <f t="shared" si="179"/>
        <v>5.5052741698339777E-2</v>
      </c>
      <c r="CH1545">
        <v>3.8303499999999997E-2</v>
      </c>
      <c r="CI1545">
        <v>37.315199999999997</v>
      </c>
      <c r="CJ1545">
        <f t="shared" si="175"/>
        <v>2900.1002147874196</v>
      </c>
      <c r="CL1545">
        <v>3.8303499999999997E-2</v>
      </c>
      <c r="CM1545">
        <v>3.6540000000000003E-2</v>
      </c>
      <c r="CN1545">
        <f t="shared" si="176"/>
        <v>2.8398524421236475</v>
      </c>
    </row>
    <row r="1546" spans="4:92" x14ac:dyDescent="0.35">
      <c r="D1546">
        <v>4.1913499999999999E-2</v>
      </c>
      <c r="E1546">
        <v>15.635400000000001</v>
      </c>
      <c r="F1546">
        <v>26.538799999999998</v>
      </c>
      <c r="G1546">
        <v>16.845700000000001</v>
      </c>
      <c r="I1546">
        <v>4.1913499999999999E-2</v>
      </c>
      <c r="J1546">
        <f t="shared" si="177"/>
        <v>2.7750408910160899E-2</v>
      </c>
      <c r="K1546">
        <v>0.1408477878037932</v>
      </c>
      <c r="L1546">
        <v>5.5383152833511834E-2</v>
      </c>
      <c r="N1546">
        <v>4.1913499999999999E-2</v>
      </c>
      <c r="O1546">
        <f t="shared" si="178"/>
        <v>0.1408477878037932</v>
      </c>
      <c r="Q1546">
        <v>4.1913499999999999E-2</v>
      </c>
      <c r="R1546">
        <f t="shared" si="179"/>
        <v>5.5383152833511834E-2</v>
      </c>
      <c r="CH1546">
        <v>3.8799500000000001E-2</v>
      </c>
      <c r="CI1546">
        <v>35.877499999999998</v>
      </c>
      <c r="CJ1546">
        <f t="shared" ref="CJ1546:CJ1609" si="180">CI1546/$CG$9</f>
        <v>2788.3636013215969</v>
      </c>
      <c r="CL1546">
        <v>3.8799500000000001E-2</v>
      </c>
      <c r="CM1546">
        <v>1.9689999999999999E-2</v>
      </c>
      <c r="CN1546">
        <f t="shared" ref="CN1546:CN1609" si="181">CM1546/$CG$9</f>
        <v>1.5302872081394256</v>
      </c>
    </row>
    <row r="1547" spans="4:92" x14ac:dyDescent="0.35">
      <c r="D1547">
        <v>4.2456300000000002E-2</v>
      </c>
      <c r="E1547">
        <v>15.6172</v>
      </c>
      <c r="F1547">
        <v>25.247900000000001</v>
      </c>
      <c r="G1547">
        <v>16.261900000000001</v>
      </c>
      <c r="I1547">
        <v>4.2456300000000002E-2</v>
      </c>
      <c r="J1547">
        <f t="shared" si="177"/>
        <v>2.7718106734190669E-2</v>
      </c>
      <c r="K1547">
        <v>0.13399667135256269</v>
      </c>
      <c r="L1547">
        <v>5.3463809343825788E-2</v>
      </c>
      <c r="N1547">
        <v>4.2456300000000002E-2</v>
      </c>
      <c r="O1547">
        <f t="shared" si="178"/>
        <v>0.13399667135256269</v>
      </c>
      <c r="Q1547">
        <v>4.2456300000000002E-2</v>
      </c>
      <c r="R1547">
        <f t="shared" si="179"/>
        <v>5.3463809343825788E-2</v>
      </c>
      <c r="CH1547">
        <v>3.9301999999999997E-2</v>
      </c>
      <c r="CI1547">
        <v>38.7622</v>
      </c>
      <c r="CJ1547">
        <f t="shared" si="180"/>
        <v>3012.5596149995963</v>
      </c>
      <c r="CL1547">
        <v>3.9301999999999997E-2</v>
      </c>
      <c r="CM1547">
        <v>2.1559999999999999E-2</v>
      </c>
      <c r="CN1547">
        <f t="shared" si="181"/>
        <v>1.6756217474599298</v>
      </c>
    </row>
    <row r="1548" spans="4:92" x14ac:dyDescent="0.35">
      <c r="D1548">
        <v>4.3006099999999998E-2</v>
      </c>
      <c r="E1548">
        <v>15.5029</v>
      </c>
      <c r="F1548">
        <v>24.6203</v>
      </c>
      <c r="G1548">
        <v>16.2134</v>
      </c>
      <c r="I1548">
        <v>4.3006099999999998E-2</v>
      </c>
      <c r="J1548">
        <f t="shared" si="177"/>
        <v>2.7515241969718291E-2</v>
      </c>
      <c r="K1548">
        <v>0.13066584736558284</v>
      </c>
      <c r="L1548">
        <v>5.3304357203966632E-2</v>
      </c>
      <c r="N1548">
        <v>4.3006099999999998E-2</v>
      </c>
      <c r="O1548">
        <f t="shared" si="178"/>
        <v>0.13066584736558284</v>
      </c>
      <c r="Q1548">
        <v>4.3006099999999998E-2</v>
      </c>
      <c r="R1548">
        <f t="shared" si="179"/>
        <v>5.3304357203966632E-2</v>
      </c>
      <c r="CH1548">
        <v>3.9810900000000003E-2</v>
      </c>
      <c r="CI1548">
        <v>38.164400000000001</v>
      </c>
      <c r="CJ1548">
        <f t="shared" si="180"/>
        <v>2966.0991938200254</v>
      </c>
      <c r="CL1548">
        <v>3.9810900000000003E-2</v>
      </c>
      <c r="CM1548">
        <v>1.8929999999999999E-2</v>
      </c>
      <c r="CN1548">
        <f t="shared" si="181"/>
        <v>1.4712207643514132</v>
      </c>
    </row>
    <row r="1549" spans="4:92" x14ac:dyDescent="0.35">
      <c r="D1549">
        <v>4.35631E-2</v>
      </c>
      <c r="E1549">
        <v>15.438000000000001</v>
      </c>
      <c r="F1549">
        <v>23.438099999999999</v>
      </c>
      <c r="G1549">
        <v>16.2821</v>
      </c>
      <c r="I1549">
        <v>4.35631E-2</v>
      </c>
      <c r="J1549">
        <f t="shared" si="177"/>
        <v>2.7400054540022253E-2</v>
      </c>
      <c r="K1549">
        <v>0.12439162793058034</v>
      </c>
      <c r="L1549">
        <v>5.3530220338158879E-2</v>
      </c>
      <c r="N1549">
        <v>4.35631E-2</v>
      </c>
      <c r="O1549">
        <f t="shared" si="178"/>
        <v>0.12439162793058034</v>
      </c>
      <c r="Q1549">
        <v>4.35631E-2</v>
      </c>
      <c r="R1549">
        <f t="shared" si="179"/>
        <v>5.3530220338158879E-2</v>
      </c>
      <c r="CH1549">
        <v>4.0326500000000001E-2</v>
      </c>
      <c r="CI1549">
        <v>38.088099999999997</v>
      </c>
      <c r="CJ1549">
        <f t="shared" si="180"/>
        <v>2960.1692337397285</v>
      </c>
      <c r="CL1549">
        <v>4.0326500000000001E-2</v>
      </c>
      <c r="CM1549">
        <v>2.0140000000000002E-2</v>
      </c>
      <c r="CN1549">
        <f t="shared" si="181"/>
        <v>1.5652607603823279</v>
      </c>
    </row>
    <row r="1550" spans="4:92" x14ac:dyDescent="0.35">
      <c r="D1550">
        <v>4.4127199999999998E-2</v>
      </c>
      <c r="E1550">
        <v>15.3131</v>
      </c>
      <c r="F1550">
        <v>21.927</v>
      </c>
      <c r="G1550">
        <v>16.0716</v>
      </c>
      <c r="I1550">
        <v>4.4127199999999998E-2</v>
      </c>
      <c r="J1550">
        <f t="shared" si="177"/>
        <v>2.7178376420314468E-2</v>
      </c>
      <c r="K1550">
        <v>0.11637185717416665</v>
      </c>
      <c r="L1550">
        <v>5.2838165174440288E-2</v>
      </c>
      <c r="N1550">
        <v>4.4127199999999998E-2</v>
      </c>
      <c r="O1550">
        <f t="shared" si="178"/>
        <v>0.11637185717416665</v>
      </c>
      <c r="Q1550">
        <v>4.4127199999999998E-2</v>
      </c>
      <c r="R1550">
        <f t="shared" si="179"/>
        <v>5.2838165174440288E-2</v>
      </c>
      <c r="CH1550">
        <v>4.0848700000000002E-2</v>
      </c>
      <c r="CI1550">
        <v>38.308</v>
      </c>
      <c r="CJ1550">
        <f t="shared" si="180"/>
        <v>2977.2596429357604</v>
      </c>
      <c r="CL1550">
        <v>4.0848700000000002E-2</v>
      </c>
      <c r="CM1550">
        <v>1.9709999999999998E-2</v>
      </c>
      <c r="CN1550">
        <f t="shared" si="181"/>
        <v>1.5318415882391101</v>
      </c>
    </row>
    <row r="1551" spans="4:92" x14ac:dyDescent="0.35">
      <c r="D1551">
        <v>4.4698700000000001E-2</v>
      </c>
      <c r="E1551">
        <v>15.7844</v>
      </c>
      <c r="F1551">
        <v>20.4038</v>
      </c>
      <c r="G1551">
        <v>16.069800000000001</v>
      </c>
      <c r="I1551">
        <v>4.4698700000000001E-2</v>
      </c>
      <c r="J1551">
        <f t="shared" si="177"/>
        <v>2.8014860790356731E-2</v>
      </c>
      <c r="K1551">
        <v>0.10828786881061073</v>
      </c>
      <c r="L1551">
        <v>5.2832247363064078E-2</v>
      </c>
      <c r="N1551">
        <v>4.4698700000000001E-2</v>
      </c>
      <c r="O1551">
        <f t="shared" si="178"/>
        <v>0.10828786881061073</v>
      </c>
      <c r="Q1551">
        <v>4.4698700000000001E-2</v>
      </c>
      <c r="R1551">
        <f t="shared" si="179"/>
        <v>5.2832247363064078E-2</v>
      </c>
      <c r="CH1551">
        <v>4.1377700000000003E-2</v>
      </c>
      <c r="CI1551">
        <v>37.948599999999999</v>
      </c>
      <c r="CJ1551">
        <f t="shared" si="180"/>
        <v>2949.327432544429</v>
      </c>
      <c r="CL1551">
        <v>4.1377700000000003E-2</v>
      </c>
      <c r="CM1551">
        <v>2.0320000000000001E-2</v>
      </c>
      <c r="CN1551">
        <f t="shared" si="181"/>
        <v>1.5792501812794888</v>
      </c>
    </row>
    <row r="1552" spans="4:92" x14ac:dyDescent="0.35">
      <c r="D1552">
        <v>4.5277499999999998E-2</v>
      </c>
      <c r="E1552">
        <v>15.610300000000001</v>
      </c>
      <c r="F1552">
        <v>18.457899999999999</v>
      </c>
      <c r="G1552">
        <v>15.695499999999999</v>
      </c>
      <c r="I1552">
        <v>4.5277499999999998E-2</v>
      </c>
      <c r="J1552">
        <f t="shared" si="177"/>
        <v>2.7705860304839316E-2</v>
      </c>
      <c r="K1552">
        <v>9.7960509989284919E-2</v>
      </c>
      <c r="L1552">
        <v>5.160167136410982E-2</v>
      </c>
      <c r="N1552">
        <v>4.5277499999999998E-2</v>
      </c>
      <c r="O1552">
        <f t="shared" si="178"/>
        <v>9.7960509989284919E-2</v>
      </c>
      <c r="Q1552">
        <v>4.5277499999999998E-2</v>
      </c>
      <c r="R1552">
        <f t="shared" si="179"/>
        <v>5.160167136410982E-2</v>
      </c>
      <c r="CH1552">
        <v>4.1913499999999999E-2</v>
      </c>
      <c r="CI1552">
        <v>38.882399999999997</v>
      </c>
      <c r="CJ1552">
        <f t="shared" si="180"/>
        <v>3021.9014393986999</v>
      </c>
      <c r="CL1552">
        <v>4.1913499999999999E-2</v>
      </c>
      <c r="CM1552">
        <v>2.01E-2</v>
      </c>
      <c r="CN1552">
        <f t="shared" si="181"/>
        <v>1.5621520001829587</v>
      </c>
    </row>
    <row r="1553" spans="4:92" x14ac:dyDescent="0.35">
      <c r="D1553">
        <v>4.5863899999999999E-2</v>
      </c>
      <c r="E1553">
        <v>15.1807</v>
      </c>
      <c r="F1553">
        <v>15.8103</v>
      </c>
      <c r="G1553">
        <v>15.3049</v>
      </c>
      <c r="I1553">
        <v>4.5863899999999999E-2</v>
      </c>
      <c r="J1553">
        <f t="shared" si="177"/>
        <v>2.6943386964355213E-2</v>
      </c>
      <c r="K1553">
        <v>8.3909060677736444E-2</v>
      </c>
      <c r="L1553">
        <v>5.0317506295470965E-2</v>
      </c>
      <c r="N1553">
        <v>4.5863899999999999E-2</v>
      </c>
      <c r="O1553">
        <f t="shared" si="178"/>
        <v>8.3909060677736444E-2</v>
      </c>
      <c r="Q1553">
        <v>4.5863899999999999E-2</v>
      </c>
      <c r="R1553">
        <f t="shared" si="179"/>
        <v>5.0317506295470965E-2</v>
      </c>
      <c r="CH1553">
        <v>4.2456300000000002E-2</v>
      </c>
      <c r="CI1553">
        <v>37.664000000000001</v>
      </c>
      <c r="CJ1553">
        <f t="shared" si="180"/>
        <v>2927.2086037259182</v>
      </c>
      <c r="CL1553">
        <v>4.2456300000000002E-2</v>
      </c>
      <c r="CM1553">
        <v>2.018E-2</v>
      </c>
      <c r="CN1553">
        <f t="shared" si="181"/>
        <v>1.568369520581697</v>
      </c>
    </row>
    <row r="1554" spans="4:92" x14ac:dyDescent="0.35">
      <c r="D1554">
        <v>4.64578E-2</v>
      </c>
      <c r="E1554">
        <v>14.937799999999999</v>
      </c>
      <c r="F1554">
        <v>12.4269</v>
      </c>
      <c r="G1554">
        <v>14.7399</v>
      </c>
      <c r="I1554">
        <v>4.64578E-2</v>
      </c>
      <c r="J1554">
        <f t="shared" si="177"/>
        <v>2.6512277154290997E-2</v>
      </c>
      <c r="K1554">
        <v>6.5952543983109929E-2</v>
      </c>
      <c r="L1554">
        <v>4.8459971057936507E-2</v>
      </c>
      <c r="N1554">
        <v>4.64578E-2</v>
      </c>
      <c r="O1554">
        <f t="shared" si="178"/>
        <v>6.5952543983109929E-2</v>
      </c>
      <c r="Q1554">
        <v>4.64578E-2</v>
      </c>
      <c r="R1554">
        <f t="shared" si="179"/>
        <v>4.8459971057936507E-2</v>
      </c>
      <c r="CH1554">
        <v>4.3006099999999998E-2</v>
      </c>
      <c r="CI1554">
        <v>36.617400000000004</v>
      </c>
      <c r="CJ1554">
        <f t="shared" si="180"/>
        <v>2845.8678931094269</v>
      </c>
      <c r="CL1554">
        <v>4.3006099999999998E-2</v>
      </c>
      <c r="CM1554">
        <v>2.0650000000000002E-2</v>
      </c>
      <c r="CN1554">
        <f t="shared" si="181"/>
        <v>1.6048974529242837</v>
      </c>
    </row>
    <row r="1555" spans="4:92" x14ac:dyDescent="0.35">
      <c r="D1555">
        <v>4.7059400000000001E-2</v>
      </c>
      <c r="E1555">
        <v>15.0471</v>
      </c>
      <c r="F1555">
        <v>8.7842300000000009</v>
      </c>
      <c r="G1555">
        <v>14.1995</v>
      </c>
      <c r="I1555">
        <v>4.7059400000000001E-2</v>
      </c>
      <c r="J1555">
        <f t="shared" si="177"/>
        <v>2.6706267694595727E-2</v>
      </c>
      <c r="K1555">
        <v>4.6620019106354264E-2</v>
      </c>
      <c r="L1555">
        <v>4.6683312575877003E-2</v>
      </c>
      <c r="N1555">
        <v>4.7059400000000001E-2</v>
      </c>
      <c r="O1555">
        <f t="shared" si="178"/>
        <v>4.6620019106354264E-2</v>
      </c>
      <c r="Q1555">
        <v>4.7059400000000001E-2</v>
      </c>
      <c r="R1555">
        <f t="shared" si="179"/>
        <v>4.6683312575877003E-2</v>
      </c>
      <c r="CH1555">
        <v>4.35631E-2</v>
      </c>
      <c r="CI1555">
        <v>36.560099999999998</v>
      </c>
      <c r="CJ1555">
        <f t="shared" si="180"/>
        <v>2841.4145941238303</v>
      </c>
      <c r="CL1555">
        <v>4.35631E-2</v>
      </c>
      <c r="CM1555">
        <v>1.8339999999999999E-2</v>
      </c>
      <c r="CN1555">
        <f t="shared" si="181"/>
        <v>1.4253665514107194</v>
      </c>
    </row>
    <row r="1556" spans="4:92" x14ac:dyDescent="0.35">
      <c r="D1556">
        <v>4.76689E-2</v>
      </c>
      <c r="E1556">
        <v>14.5579</v>
      </c>
      <c r="F1556">
        <v>5.62357</v>
      </c>
      <c r="G1556">
        <v>12.6035</v>
      </c>
      <c r="I1556">
        <v>4.76689E-2</v>
      </c>
      <c r="J1556">
        <f t="shared" si="177"/>
        <v>2.5838013602033291E-2</v>
      </c>
      <c r="K1556">
        <v>2.9845637107170534E-2</v>
      </c>
      <c r="L1556">
        <v>4.1436186488965514E-2</v>
      </c>
      <c r="N1556">
        <v>4.76689E-2</v>
      </c>
      <c r="O1556">
        <f t="shared" si="178"/>
        <v>2.9845637107170534E-2</v>
      </c>
      <c r="Q1556">
        <v>4.76689E-2</v>
      </c>
      <c r="R1556">
        <f t="shared" si="179"/>
        <v>4.1436186488965514E-2</v>
      </c>
      <c r="CH1556">
        <v>4.4127199999999998E-2</v>
      </c>
      <c r="CI1556">
        <v>36.043500000000002</v>
      </c>
      <c r="CJ1556">
        <f t="shared" si="180"/>
        <v>2801.2649561489789</v>
      </c>
      <c r="CL1556">
        <v>4.4127199999999998E-2</v>
      </c>
      <c r="CM1556">
        <v>2.0400000000000001E-2</v>
      </c>
      <c r="CN1556">
        <f t="shared" si="181"/>
        <v>1.5854677016782268</v>
      </c>
    </row>
    <row r="1557" spans="4:92" x14ac:dyDescent="0.35">
      <c r="D1557">
        <v>4.8286200000000001E-2</v>
      </c>
      <c r="E1557">
        <v>14.1044</v>
      </c>
      <c r="F1557">
        <v>3.4191699999999998</v>
      </c>
      <c r="G1557">
        <v>11.824999999999999</v>
      </c>
      <c r="I1557">
        <v>4.8286200000000001E-2</v>
      </c>
      <c r="J1557">
        <f t="shared" si="177"/>
        <v>2.5033121470027845E-2</v>
      </c>
      <c r="K1557">
        <v>1.8146356678715527E-2</v>
      </c>
      <c r="L1557">
        <v>3.8876733068752105E-2</v>
      </c>
      <c r="N1557">
        <v>4.8286200000000001E-2</v>
      </c>
      <c r="O1557">
        <f t="shared" si="178"/>
        <v>1.8146356678715527E-2</v>
      </c>
      <c r="Q1557">
        <v>4.8286200000000001E-2</v>
      </c>
      <c r="R1557">
        <f t="shared" si="179"/>
        <v>3.8876733068752105E-2</v>
      </c>
      <c r="CH1557">
        <v>4.4698700000000001E-2</v>
      </c>
      <c r="CI1557">
        <v>34.2928</v>
      </c>
      <c r="CJ1557">
        <f t="shared" si="180"/>
        <v>2665.202294123093</v>
      </c>
      <c r="CL1557">
        <v>4.4698700000000001E-2</v>
      </c>
      <c r="CM1557">
        <v>1.8489999999999999E-2</v>
      </c>
      <c r="CN1557">
        <f t="shared" si="181"/>
        <v>1.4370244021583536</v>
      </c>
    </row>
    <row r="1558" spans="4:92" x14ac:dyDescent="0.35">
      <c r="D1558">
        <v>4.8911499999999997E-2</v>
      </c>
      <c r="E1558">
        <v>13.98</v>
      </c>
      <c r="F1558">
        <v>3.3577300000000001</v>
      </c>
      <c r="G1558">
        <v>12.0739</v>
      </c>
      <c r="I1558">
        <v>4.8911499999999997E-2</v>
      </c>
      <c r="J1558">
        <f t="shared" si="177"/>
        <v>2.4812330772736823E-2</v>
      </c>
      <c r="K1558">
        <v>1.7820279837160332E-2</v>
      </c>
      <c r="L1558">
        <v>3.96950348751633E-2</v>
      </c>
      <c r="N1558">
        <v>4.8911499999999997E-2</v>
      </c>
      <c r="O1558">
        <f t="shared" si="178"/>
        <v>1.7820279837160332E-2</v>
      </c>
      <c r="Q1558">
        <v>4.8911499999999997E-2</v>
      </c>
      <c r="R1558">
        <f t="shared" si="179"/>
        <v>3.96950348751633E-2</v>
      </c>
      <c r="CH1558">
        <v>4.5277499999999998E-2</v>
      </c>
      <c r="CI1558">
        <v>32.609499999999997</v>
      </c>
      <c r="CJ1558">
        <f t="shared" si="180"/>
        <v>2534.3778930331437</v>
      </c>
      <c r="CL1558">
        <v>4.5277499999999998E-2</v>
      </c>
      <c r="CM1558">
        <v>1.9040000000000001E-2</v>
      </c>
      <c r="CN1558">
        <f t="shared" si="181"/>
        <v>1.4797698548996785</v>
      </c>
    </row>
    <row r="1559" spans="4:92" x14ac:dyDescent="0.35">
      <c r="D1559">
        <v>4.9544900000000003E-2</v>
      </c>
      <c r="E1559">
        <v>14.5236</v>
      </c>
      <c r="F1559">
        <v>5.9558499999999999</v>
      </c>
      <c r="G1559">
        <v>13.1374</v>
      </c>
      <c r="I1559">
        <v>4.9544900000000003E-2</v>
      </c>
      <c r="J1559">
        <f t="shared" si="177"/>
        <v>2.577713642424324E-2</v>
      </c>
      <c r="K1559">
        <v>3.1609126900659479E-2</v>
      </c>
      <c r="L1559">
        <v>4.3191475096610907E-2</v>
      </c>
      <c r="N1559">
        <v>4.9544900000000003E-2</v>
      </c>
      <c r="O1559">
        <f t="shared" si="178"/>
        <v>3.1609126900659479E-2</v>
      </c>
      <c r="Q1559">
        <v>4.9544900000000003E-2</v>
      </c>
      <c r="R1559">
        <f t="shared" si="179"/>
        <v>4.3191475096610907E-2</v>
      </c>
      <c r="CH1559">
        <v>4.5863899999999999E-2</v>
      </c>
      <c r="CI1559">
        <v>30.918299999999999</v>
      </c>
      <c r="CJ1559">
        <f t="shared" si="180"/>
        <v>2402.9395118038196</v>
      </c>
      <c r="CL1559">
        <v>4.5863899999999999E-2</v>
      </c>
      <c r="CM1559">
        <v>1.8759999999999999E-2</v>
      </c>
      <c r="CN1559">
        <f t="shared" si="181"/>
        <v>1.4580085335040947</v>
      </c>
    </row>
    <row r="1560" spans="4:92" x14ac:dyDescent="0.35">
      <c r="D1560">
        <v>5.0186500000000002E-2</v>
      </c>
      <c r="E1560">
        <v>15.0932</v>
      </c>
      <c r="F1560">
        <v>10.2324</v>
      </c>
      <c r="G1560">
        <v>14.360099999999999</v>
      </c>
      <c r="I1560">
        <v>5.0186500000000002E-2</v>
      </c>
      <c r="J1560">
        <f t="shared" si="177"/>
        <v>2.678808804142142E-2</v>
      </c>
      <c r="K1560">
        <v>5.430580523322584E-2</v>
      </c>
      <c r="L1560">
        <v>4.7211312857554935E-2</v>
      </c>
      <c r="N1560">
        <v>5.0186500000000002E-2</v>
      </c>
      <c r="O1560">
        <f t="shared" si="178"/>
        <v>5.430580523322584E-2</v>
      </c>
      <c r="Q1560">
        <v>5.0186500000000002E-2</v>
      </c>
      <c r="R1560">
        <f t="shared" si="179"/>
        <v>4.7211312857554935E-2</v>
      </c>
      <c r="CH1560">
        <v>4.64578E-2</v>
      </c>
      <c r="CI1560">
        <v>27.366</v>
      </c>
      <c r="CJ1560">
        <f t="shared" si="180"/>
        <v>2126.8582903983506</v>
      </c>
      <c r="CL1560">
        <v>4.64578E-2</v>
      </c>
      <c r="CM1560">
        <v>1.8020000000000001E-2</v>
      </c>
      <c r="CN1560">
        <f t="shared" si="181"/>
        <v>1.4004964698157671</v>
      </c>
    </row>
    <row r="1561" spans="4:92" x14ac:dyDescent="0.35">
      <c r="D1561">
        <v>5.0836399999999997E-2</v>
      </c>
      <c r="E1561">
        <v>15.204800000000001</v>
      </c>
      <c r="F1561">
        <v>14.9328</v>
      </c>
      <c r="G1561">
        <v>14.6067</v>
      </c>
      <c r="I1561">
        <v>5.0836399999999997E-2</v>
      </c>
      <c r="J1561">
        <f t="shared" si="177"/>
        <v>2.6986160724843267E-2</v>
      </c>
      <c r="K1561">
        <v>7.9251957349860708E-2</v>
      </c>
      <c r="L1561">
        <v>4.8022053016096529E-2</v>
      </c>
      <c r="N1561">
        <v>5.0836399999999997E-2</v>
      </c>
      <c r="O1561">
        <f t="shared" si="178"/>
        <v>7.9251957349860708E-2</v>
      </c>
      <c r="Q1561">
        <v>5.0836399999999997E-2</v>
      </c>
      <c r="R1561">
        <f t="shared" si="179"/>
        <v>4.8022053016096529E-2</v>
      </c>
      <c r="CH1561">
        <v>4.7059400000000001E-2</v>
      </c>
      <c r="CI1561">
        <v>23.3005</v>
      </c>
      <c r="CJ1561">
        <f t="shared" si="180"/>
        <v>1810.8916756349765</v>
      </c>
      <c r="CL1561">
        <v>4.7059400000000001E-2</v>
      </c>
      <c r="CM1561">
        <v>1.9050000000000001E-2</v>
      </c>
      <c r="CN1561">
        <f t="shared" si="181"/>
        <v>1.4805470449495206</v>
      </c>
    </row>
    <row r="1562" spans="4:92" x14ac:dyDescent="0.35">
      <c r="D1562">
        <v>5.14948E-2</v>
      </c>
      <c r="E1562">
        <v>15.2643</v>
      </c>
      <c r="F1562">
        <v>19.001799999999999</v>
      </c>
      <c r="G1562">
        <v>15.437900000000001</v>
      </c>
      <c r="I1562">
        <v>5.14948E-2</v>
      </c>
      <c r="J1562">
        <f t="shared" si="177"/>
        <v>2.7091763992438248E-2</v>
      </c>
      <c r="K1562">
        <v>0.10084711796652893</v>
      </c>
      <c r="L1562">
        <v>5.0754766802713597E-2</v>
      </c>
      <c r="N1562">
        <v>5.14948E-2</v>
      </c>
      <c r="O1562">
        <f t="shared" si="178"/>
        <v>0.10084711796652893</v>
      </c>
      <c r="Q1562">
        <v>5.14948E-2</v>
      </c>
      <c r="R1562">
        <f t="shared" si="179"/>
        <v>5.0754766802713597E-2</v>
      </c>
      <c r="CH1562">
        <v>4.76689E-2</v>
      </c>
      <c r="CI1562">
        <v>17.373200000000001</v>
      </c>
      <c r="CJ1562">
        <f t="shared" si="180"/>
        <v>1350.2278173919692</v>
      </c>
      <c r="CL1562">
        <v>4.76689E-2</v>
      </c>
      <c r="CM1562">
        <v>1.9230000000000001E-2</v>
      </c>
      <c r="CN1562">
        <f t="shared" si="181"/>
        <v>1.4945364658466815</v>
      </c>
    </row>
    <row r="1563" spans="4:92" x14ac:dyDescent="0.35">
      <c r="D1563">
        <v>5.2161600000000002E-2</v>
      </c>
      <c r="E1563">
        <v>15.7118</v>
      </c>
      <c r="F1563">
        <v>21.904399999999999</v>
      </c>
      <c r="G1563">
        <v>15.5794</v>
      </c>
      <c r="I1563">
        <v>5.2161600000000002E-2</v>
      </c>
      <c r="J1563">
        <f t="shared" si="177"/>
        <v>2.7886007055442519E-2</v>
      </c>
      <c r="K1563">
        <v>0.11625191354429772</v>
      </c>
      <c r="L1563">
        <v>5.1219972530343896E-2</v>
      </c>
      <c r="N1563">
        <v>5.2161600000000002E-2</v>
      </c>
      <c r="O1563">
        <f t="shared" si="178"/>
        <v>0.11625191354429772</v>
      </c>
      <c r="Q1563">
        <v>5.2161600000000002E-2</v>
      </c>
      <c r="R1563">
        <f t="shared" si="179"/>
        <v>5.1219972530343896E-2</v>
      </c>
      <c r="CH1563">
        <v>4.8286200000000001E-2</v>
      </c>
      <c r="CI1563">
        <v>12.176399999999999</v>
      </c>
      <c r="CJ1563">
        <f t="shared" si="180"/>
        <v>946.33769228993924</v>
      </c>
      <c r="CL1563">
        <v>4.8286200000000001E-2</v>
      </c>
      <c r="CM1563">
        <v>1.7330000000000002E-2</v>
      </c>
      <c r="CN1563">
        <f t="shared" si="181"/>
        <v>1.3468703563766506</v>
      </c>
    </row>
    <row r="1564" spans="4:92" x14ac:dyDescent="0.35">
      <c r="D1564">
        <v>5.2837099999999998E-2</v>
      </c>
      <c r="E1564">
        <v>15.3756</v>
      </c>
      <c r="F1564">
        <v>23.9999</v>
      </c>
      <c r="G1564">
        <v>15.7225</v>
      </c>
      <c r="I1564">
        <v>5.2837099999999998E-2</v>
      </c>
      <c r="J1564">
        <f t="shared" si="177"/>
        <v>2.7289304222410039E-2</v>
      </c>
      <c r="K1564">
        <v>0.12737323550847277</v>
      </c>
      <c r="L1564">
        <v>5.1690438534753073E-2</v>
      </c>
      <c r="N1564">
        <v>5.2837099999999998E-2</v>
      </c>
      <c r="O1564">
        <f t="shared" si="178"/>
        <v>0.12737323550847277</v>
      </c>
      <c r="Q1564">
        <v>5.2837099999999998E-2</v>
      </c>
      <c r="R1564">
        <f t="shared" si="179"/>
        <v>5.1690438534753073E-2</v>
      </c>
      <c r="CH1564">
        <v>4.8911499999999997E-2</v>
      </c>
      <c r="CI1564">
        <v>13.1556</v>
      </c>
      <c r="CJ1564">
        <f t="shared" si="180"/>
        <v>1022.4401419704941</v>
      </c>
      <c r="CL1564">
        <v>4.8911499999999997E-2</v>
      </c>
      <c r="CM1564">
        <v>2.0320000000000001E-2</v>
      </c>
      <c r="CN1564">
        <f t="shared" si="181"/>
        <v>1.5792501812794888</v>
      </c>
    </row>
    <row r="1565" spans="4:92" x14ac:dyDescent="0.35">
      <c r="D1565">
        <v>5.3521399999999997E-2</v>
      </c>
      <c r="E1565">
        <v>15.8848</v>
      </c>
      <c r="F1565">
        <v>25.542400000000001</v>
      </c>
      <c r="G1565">
        <v>15.682700000000001</v>
      </c>
      <c r="I1565">
        <v>5.3521399999999997E-2</v>
      </c>
      <c r="J1565">
        <f t="shared" si="177"/>
        <v>2.8193055211643055E-2</v>
      </c>
      <c r="K1565">
        <v>0.13555965360904065</v>
      </c>
      <c r="L1565">
        <v>5.1559589149878959E-2</v>
      </c>
      <c r="N1565">
        <v>5.3521399999999997E-2</v>
      </c>
      <c r="O1565">
        <f t="shared" si="178"/>
        <v>0.13555965360904065</v>
      </c>
      <c r="Q1565">
        <v>5.3521399999999997E-2</v>
      </c>
      <c r="R1565">
        <f t="shared" si="179"/>
        <v>5.1559589149878959E-2</v>
      </c>
      <c r="CH1565">
        <v>4.9544900000000003E-2</v>
      </c>
      <c r="CI1565">
        <v>16.979099999999999</v>
      </c>
      <c r="CJ1565">
        <f t="shared" si="180"/>
        <v>1319.5987575276852</v>
      </c>
      <c r="CL1565">
        <v>4.9544900000000003E-2</v>
      </c>
      <c r="CM1565">
        <v>1.9019999999999999E-2</v>
      </c>
      <c r="CN1565">
        <f t="shared" si="181"/>
        <v>1.4782154747999936</v>
      </c>
    </row>
    <row r="1566" spans="4:92" x14ac:dyDescent="0.35">
      <c r="D1566">
        <v>5.4214499999999999E-2</v>
      </c>
      <c r="E1566">
        <v>15.4694</v>
      </c>
      <c r="F1566">
        <v>26.897600000000001</v>
      </c>
      <c r="G1566">
        <v>15.9945</v>
      </c>
      <c r="I1566">
        <v>5.4214499999999999E-2</v>
      </c>
      <c r="J1566">
        <f t="shared" si="177"/>
        <v>2.7455784667795066E-2</v>
      </c>
      <c r="K1566">
        <v>0.14275202560896907</v>
      </c>
      <c r="L1566">
        <v>5.2584685587159043E-2</v>
      </c>
      <c r="N1566">
        <v>5.4214499999999999E-2</v>
      </c>
      <c r="O1566">
        <f t="shared" si="178"/>
        <v>0.14275202560896907</v>
      </c>
      <c r="Q1566">
        <v>5.4214499999999999E-2</v>
      </c>
      <c r="R1566">
        <f t="shared" si="179"/>
        <v>5.2584685587159043E-2</v>
      </c>
      <c r="CH1566">
        <v>5.0186500000000002E-2</v>
      </c>
      <c r="CI1566">
        <v>24.0014</v>
      </c>
      <c r="CJ1566">
        <f t="shared" si="180"/>
        <v>1865.3649262284212</v>
      </c>
      <c r="CL1566">
        <v>5.0186500000000002E-2</v>
      </c>
      <c r="CM1566">
        <v>2.1270000000000001E-2</v>
      </c>
      <c r="CN1566">
        <f t="shared" si="181"/>
        <v>1.6530832360145042</v>
      </c>
    </row>
    <row r="1567" spans="4:92" x14ac:dyDescent="0.35">
      <c r="D1567">
        <v>5.4916600000000003E-2</v>
      </c>
      <c r="E1567">
        <v>15.8878</v>
      </c>
      <c r="F1567">
        <v>27.8809</v>
      </c>
      <c r="G1567">
        <v>15.742000000000001</v>
      </c>
      <c r="I1567">
        <v>5.4916600000000003E-2</v>
      </c>
      <c r="J1567">
        <f t="shared" si="177"/>
        <v>2.8198379746143639E-2</v>
      </c>
      <c r="K1567">
        <v>0.14797063495631974</v>
      </c>
      <c r="L1567">
        <v>5.1754548157995413E-2</v>
      </c>
      <c r="N1567">
        <v>5.4916600000000003E-2</v>
      </c>
      <c r="O1567">
        <f t="shared" si="178"/>
        <v>0.14797063495631974</v>
      </c>
      <c r="Q1567">
        <v>5.4916600000000003E-2</v>
      </c>
      <c r="R1567">
        <f t="shared" si="179"/>
        <v>5.1754548157995413E-2</v>
      </c>
      <c r="CH1567">
        <v>5.0836399999999997E-2</v>
      </c>
      <c r="CI1567">
        <v>27.672599999999999</v>
      </c>
      <c r="CJ1567">
        <f t="shared" si="180"/>
        <v>2150.6869373265145</v>
      </c>
      <c r="CL1567">
        <v>5.0836399999999997E-2</v>
      </c>
      <c r="CM1567">
        <v>2.0469999999999999E-2</v>
      </c>
      <c r="CN1567">
        <f t="shared" si="181"/>
        <v>1.5909080320271225</v>
      </c>
    </row>
    <row r="1568" spans="4:92" x14ac:dyDescent="0.35">
      <c r="D1568">
        <v>5.5627700000000002E-2</v>
      </c>
      <c r="E1568">
        <v>15.433299999999999</v>
      </c>
      <c r="F1568">
        <v>28.261900000000001</v>
      </c>
      <c r="G1568">
        <v>15.938800000000001</v>
      </c>
      <c r="I1568">
        <v>5.5627700000000002E-2</v>
      </c>
      <c r="J1568">
        <f t="shared" si="177"/>
        <v>2.7391712769304667E-2</v>
      </c>
      <c r="K1568">
        <v>0.14999269349526068</v>
      </c>
      <c r="L1568">
        <v>5.2401562201795017E-2</v>
      </c>
      <c r="N1568">
        <v>5.5627700000000002E-2</v>
      </c>
      <c r="O1568">
        <f t="shared" si="178"/>
        <v>0.14999269349526068</v>
      </c>
      <c r="Q1568">
        <v>5.5627700000000002E-2</v>
      </c>
      <c r="R1568">
        <f t="shared" si="179"/>
        <v>5.2401562201795017E-2</v>
      </c>
      <c r="CH1568">
        <v>5.14948E-2</v>
      </c>
      <c r="CI1568">
        <v>30.6205</v>
      </c>
      <c r="CJ1568">
        <f t="shared" si="180"/>
        <v>2379.7947921195168</v>
      </c>
      <c r="CL1568">
        <v>5.14948E-2</v>
      </c>
      <c r="CM1568">
        <v>1.7819999999999999E-2</v>
      </c>
      <c r="CN1568">
        <f t="shared" si="181"/>
        <v>1.3849526688189215</v>
      </c>
    </row>
    <row r="1569" spans="4:92" x14ac:dyDescent="0.35">
      <c r="D1569">
        <v>5.6348099999999998E-2</v>
      </c>
      <c r="E1569">
        <v>15.767200000000001</v>
      </c>
      <c r="F1569">
        <v>28.360499999999998</v>
      </c>
      <c r="G1569">
        <v>15.988799999999999</v>
      </c>
      <c r="I1569">
        <v>5.6348099999999998E-2</v>
      </c>
      <c r="J1569">
        <f t="shared" si="177"/>
        <v>2.7984333459220034E-2</v>
      </c>
      <c r="K1569">
        <v>0.15051598738486585</v>
      </c>
      <c r="L1569">
        <v>5.2565945851134353E-2</v>
      </c>
      <c r="N1569">
        <v>5.6348099999999998E-2</v>
      </c>
      <c r="O1569">
        <f t="shared" si="178"/>
        <v>0.15051598738486585</v>
      </c>
      <c r="Q1569">
        <v>5.6348099999999998E-2</v>
      </c>
      <c r="R1569">
        <f t="shared" si="179"/>
        <v>5.2565945851134353E-2</v>
      </c>
      <c r="CH1569">
        <v>5.2161600000000002E-2</v>
      </c>
      <c r="CI1569">
        <v>32.943600000000004</v>
      </c>
      <c r="CJ1569">
        <f t="shared" si="180"/>
        <v>2560.3438125983744</v>
      </c>
      <c r="CL1569">
        <v>5.2161600000000002E-2</v>
      </c>
      <c r="CM1569">
        <v>1.8200000000000001E-2</v>
      </c>
      <c r="CN1569">
        <f t="shared" si="181"/>
        <v>1.4144858907129279</v>
      </c>
    </row>
    <row r="1570" spans="4:92" x14ac:dyDescent="0.35">
      <c r="D1570">
        <v>5.7077799999999998E-2</v>
      </c>
      <c r="E1570">
        <v>15.3131</v>
      </c>
      <c r="F1570">
        <v>29.115200000000002</v>
      </c>
      <c r="G1570">
        <v>16.260200000000001</v>
      </c>
      <c r="I1570">
        <v>5.7077799999999998E-2</v>
      </c>
      <c r="J1570">
        <f t="shared" si="177"/>
        <v>2.7178376420314468E-2</v>
      </c>
      <c r="K1570">
        <v>0.15452136160885196</v>
      </c>
      <c r="L1570">
        <v>5.3458220299748248E-2</v>
      </c>
      <c r="N1570">
        <v>5.7077799999999998E-2</v>
      </c>
      <c r="O1570">
        <f t="shared" si="178"/>
        <v>0.15452136160885196</v>
      </c>
      <c r="Q1570">
        <v>5.7077799999999998E-2</v>
      </c>
      <c r="R1570">
        <f t="shared" si="179"/>
        <v>5.3458220299748248E-2</v>
      </c>
      <c r="CH1570">
        <v>5.2837099999999998E-2</v>
      </c>
      <c r="CI1570">
        <v>33.815199999999997</v>
      </c>
      <c r="CJ1570">
        <f t="shared" si="180"/>
        <v>2628.0836973426258</v>
      </c>
      <c r="CL1570">
        <v>5.2837099999999998E-2</v>
      </c>
      <c r="CM1570">
        <v>2.1600000000000001E-2</v>
      </c>
      <c r="CN1570">
        <f t="shared" si="181"/>
        <v>1.6787305076592991</v>
      </c>
    </row>
    <row r="1571" spans="4:92" x14ac:dyDescent="0.35">
      <c r="D1571">
        <v>5.7817E-2</v>
      </c>
      <c r="E1571">
        <v>15.497299999999999</v>
      </c>
      <c r="F1571">
        <v>28.847999999999999</v>
      </c>
      <c r="G1571">
        <v>15.752700000000001</v>
      </c>
      <c r="I1571">
        <v>5.7817E-2</v>
      </c>
      <c r="J1571">
        <f t="shared" si="177"/>
        <v>2.7505302838650526E-2</v>
      </c>
      <c r="K1571">
        <v>0.15310326701146346</v>
      </c>
      <c r="L1571">
        <v>5.1789726258954033E-2</v>
      </c>
      <c r="N1571">
        <v>5.7817E-2</v>
      </c>
      <c r="O1571">
        <f t="shared" si="178"/>
        <v>0.15310326701146346</v>
      </c>
      <c r="Q1571">
        <v>5.7817E-2</v>
      </c>
      <c r="R1571">
        <f t="shared" si="179"/>
        <v>5.1789726258954033E-2</v>
      </c>
      <c r="CH1571">
        <v>5.3521399999999997E-2</v>
      </c>
      <c r="CI1571">
        <v>35.216700000000003</v>
      </c>
      <c r="CJ1571">
        <f t="shared" si="180"/>
        <v>2737.0068828280205</v>
      </c>
      <c r="CL1571">
        <v>5.3521399999999997E-2</v>
      </c>
      <c r="CM1571">
        <v>2.051E-2</v>
      </c>
      <c r="CN1571">
        <f t="shared" si="181"/>
        <v>1.5940167922264918</v>
      </c>
    </row>
    <row r="1572" spans="4:92" x14ac:dyDescent="0.35">
      <c r="D1572">
        <v>5.8565699999999998E-2</v>
      </c>
      <c r="E1572">
        <v>15.612299999999999</v>
      </c>
      <c r="F1572">
        <v>29.5032</v>
      </c>
      <c r="G1572">
        <v>16.154199999999999</v>
      </c>
      <c r="I1572">
        <v>5.8565699999999998E-2</v>
      </c>
      <c r="J1572">
        <f t="shared" si="177"/>
        <v>2.7709409994506374E-2</v>
      </c>
      <c r="K1572">
        <v>0.15658057082961069</v>
      </c>
      <c r="L1572">
        <v>5.3109726963148862E-2</v>
      </c>
      <c r="N1572">
        <v>5.8565699999999998E-2</v>
      </c>
      <c r="O1572">
        <f t="shared" si="178"/>
        <v>0.15658057082961069</v>
      </c>
      <c r="Q1572">
        <v>5.8565699999999998E-2</v>
      </c>
      <c r="R1572">
        <f t="shared" si="179"/>
        <v>5.3109726963148862E-2</v>
      </c>
      <c r="CH1572">
        <v>5.4214499999999999E-2</v>
      </c>
      <c r="CI1572">
        <v>35.339599999999997</v>
      </c>
      <c r="CJ1572">
        <f t="shared" si="180"/>
        <v>2746.5585485405813</v>
      </c>
      <c r="CL1572">
        <v>5.4214499999999999E-2</v>
      </c>
      <c r="CM1572">
        <v>1.8509999999999999E-2</v>
      </c>
      <c r="CN1572">
        <f t="shared" si="181"/>
        <v>1.438578782258038</v>
      </c>
    </row>
    <row r="1573" spans="4:92" x14ac:dyDescent="0.35">
      <c r="D1573">
        <v>5.9324200000000001E-2</v>
      </c>
      <c r="E1573">
        <v>15.3932</v>
      </c>
      <c r="F1573">
        <v>29.114000000000001</v>
      </c>
      <c r="G1573">
        <v>16.102499999999999</v>
      </c>
      <c r="I1573">
        <v>5.9324200000000001E-2</v>
      </c>
      <c r="J1573">
        <f t="shared" si="177"/>
        <v>2.7320541491480149E-2</v>
      </c>
      <c r="K1573">
        <v>0.15451499292054033</v>
      </c>
      <c r="L1573">
        <v>5.2939754269731992E-2</v>
      </c>
      <c r="N1573">
        <v>5.9324200000000001E-2</v>
      </c>
      <c r="O1573">
        <f t="shared" si="178"/>
        <v>0.15451499292054033</v>
      </c>
      <c r="Q1573">
        <v>5.9324200000000001E-2</v>
      </c>
      <c r="R1573">
        <f t="shared" si="179"/>
        <v>5.2939754269731992E-2</v>
      </c>
      <c r="CH1573">
        <v>5.4916600000000003E-2</v>
      </c>
      <c r="CI1573">
        <v>33.3384</v>
      </c>
      <c r="CJ1573">
        <f t="shared" si="180"/>
        <v>2591.0272757661469</v>
      </c>
      <c r="CL1573">
        <v>5.4916600000000003E-2</v>
      </c>
      <c r="CM1573">
        <v>2.0299999999999999E-2</v>
      </c>
      <c r="CN1573">
        <f t="shared" si="181"/>
        <v>1.5776958011798039</v>
      </c>
    </row>
    <row r="1574" spans="4:92" x14ac:dyDescent="0.35">
      <c r="D1574">
        <v>6.0092399999999997E-2</v>
      </c>
      <c r="E1574">
        <v>15.5623</v>
      </c>
      <c r="F1574">
        <v>29.895900000000001</v>
      </c>
      <c r="G1574">
        <v>16.294599999999999</v>
      </c>
      <c r="I1574">
        <v>6.0092399999999997E-2</v>
      </c>
      <c r="J1574">
        <f t="shared" si="177"/>
        <v>2.7620667752829921E-2</v>
      </c>
      <c r="K1574">
        <v>0.15866472407958995</v>
      </c>
      <c r="L1574">
        <v>5.3571316250493703E-2</v>
      </c>
      <c r="N1574">
        <v>6.0092399999999997E-2</v>
      </c>
      <c r="O1574">
        <f t="shared" si="178"/>
        <v>0.15866472407958995</v>
      </c>
      <c r="Q1574">
        <v>6.0092399999999997E-2</v>
      </c>
      <c r="R1574">
        <f t="shared" si="179"/>
        <v>5.3571316250493703E-2</v>
      </c>
      <c r="CH1574">
        <v>5.5627700000000002E-2</v>
      </c>
      <c r="CI1574">
        <v>35.004800000000003</v>
      </c>
      <c r="CJ1574">
        <f t="shared" si="180"/>
        <v>2720.5382256718626</v>
      </c>
      <c r="CL1574">
        <v>5.5627700000000002E-2</v>
      </c>
      <c r="CM1574">
        <v>2.521E-2</v>
      </c>
      <c r="CN1574">
        <f t="shared" si="181"/>
        <v>1.9592961156523576</v>
      </c>
    </row>
    <row r="1575" spans="4:92" x14ac:dyDescent="0.35">
      <c r="D1575">
        <v>6.0870599999999997E-2</v>
      </c>
      <c r="E1575">
        <v>15.7135</v>
      </c>
      <c r="F1575">
        <v>29.9682</v>
      </c>
      <c r="G1575">
        <v>16.434699999999999</v>
      </c>
      <c r="I1575">
        <v>6.0870599999999997E-2</v>
      </c>
      <c r="J1575">
        <f t="shared" si="177"/>
        <v>2.7889024291659521E-2</v>
      </c>
      <c r="K1575">
        <v>0.15904843755036535</v>
      </c>
      <c r="L1575">
        <v>5.4031919235942513E-2</v>
      </c>
      <c r="N1575">
        <v>6.0870599999999997E-2</v>
      </c>
      <c r="O1575">
        <f t="shared" si="178"/>
        <v>0.15904843755036535</v>
      </c>
      <c r="Q1575">
        <v>6.0870599999999997E-2</v>
      </c>
      <c r="R1575">
        <f t="shared" si="179"/>
        <v>5.4031919235942513E-2</v>
      </c>
      <c r="CH1575">
        <v>5.6348099999999998E-2</v>
      </c>
      <c r="CI1575">
        <v>34.855200000000004</v>
      </c>
      <c r="CJ1575">
        <f t="shared" si="180"/>
        <v>2708.9114625262223</v>
      </c>
      <c r="CL1575">
        <v>5.6348099999999998E-2</v>
      </c>
      <c r="CM1575">
        <v>1.934E-2</v>
      </c>
      <c r="CN1575">
        <f t="shared" si="181"/>
        <v>1.5030855563949463</v>
      </c>
    </row>
    <row r="1576" spans="4:92" x14ac:dyDescent="0.35">
      <c r="D1576">
        <v>6.1658900000000003E-2</v>
      </c>
      <c r="E1576">
        <v>15.583500000000001</v>
      </c>
      <c r="F1576">
        <v>30.233899999999998</v>
      </c>
      <c r="G1576">
        <v>16.097300000000001</v>
      </c>
      <c r="I1576">
        <v>6.1658900000000003E-2</v>
      </c>
      <c r="J1576">
        <f t="shared" si="177"/>
        <v>2.7658294463300738E-2</v>
      </c>
      <c r="K1576">
        <v>0.16045857128736429</v>
      </c>
      <c r="L1576">
        <v>5.2922658370200701E-2</v>
      </c>
      <c r="N1576">
        <v>6.1658900000000003E-2</v>
      </c>
      <c r="O1576">
        <f t="shared" si="178"/>
        <v>0.16045857128736429</v>
      </c>
      <c r="Q1576">
        <v>6.1658900000000003E-2</v>
      </c>
      <c r="R1576">
        <f t="shared" si="179"/>
        <v>5.2922658370200701E-2</v>
      </c>
      <c r="CH1576">
        <v>5.7077799999999998E-2</v>
      </c>
      <c r="CI1576">
        <v>35.542099999999998</v>
      </c>
      <c r="CJ1576">
        <f t="shared" si="180"/>
        <v>2762.2966470498873</v>
      </c>
      <c r="CL1576">
        <v>5.7077799999999998E-2</v>
      </c>
      <c r="CM1576">
        <v>3.6769999999999997E-2</v>
      </c>
      <c r="CN1576">
        <f t="shared" si="181"/>
        <v>2.8577278132700195</v>
      </c>
    </row>
    <row r="1577" spans="4:92" x14ac:dyDescent="0.35">
      <c r="D1577">
        <v>6.2457400000000003E-2</v>
      </c>
      <c r="E1577">
        <v>15.6142</v>
      </c>
      <c r="F1577">
        <v>29.341200000000001</v>
      </c>
      <c r="G1577">
        <v>16.113700000000001</v>
      </c>
      <c r="I1577">
        <v>6.2457400000000003E-2</v>
      </c>
      <c r="J1577">
        <f t="shared" si="177"/>
        <v>2.7712782199690079E-2</v>
      </c>
      <c r="K1577">
        <v>0.15572079790754131</v>
      </c>
      <c r="L1577">
        <v>5.297657620718401E-2</v>
      </c>
      <c r="N1577">
        <v>6.2457400000000003E-2</v>
      </c>
      <c r="O1577">
        <f t="shared" si="178"/>
        <v>0.15572079790754131</v>
      </c>
      <c r="Q1577">
        <v>6.2457400000000003E-2</v>
      </c>
      <c r="R1577">
        <f t="shared" si="179"/>
        <v>5.297657620718401E-2</v>
      </c>
      <c r="CH1577">
        <v>5.7817E-2</v>
      </c>
      <c r="CI1577">
        <v>35.833599999999997</v>
      </c>
      <c r="CJ1577">
        <f t="shared" si="180"/>
        <v>2784.9517370027893</v>
      </c>
      <c r="CL1577">
        <v>5.7817E-2</v>
      </c>
      <c r="CM1577">
        <v>1.8489999999999999E-2</v>
      </c>
      <c r="CN1577">
        <f t="shared" si="181"/>
        <v>1.4370244021583536</v>
      </c>
    </row>
    <row r="1578" spans="4:92" x14ac:dyDescent="0.35">
      <c r="D1578">
        <v>6.3266199999999995E-2</v>
      </c>
      <c r="E1578">
        <v>15.8485</v>
      </c>
      <c r="F1578">
        <v>30.142499999999998</v>
      </c>
      <c r="G1578">
        <v>16.058</v>
      </c>
      <c r="I1578">
        <v>6.3266199999999995E-2</v>
      </c>
      <c r="J1578">
        <f t="shared" si="177"/>
        <v>2.8128628344185946E-2</v>
      </c>
      <c r="K1578">
        <v>0.15997348952762885</v>
      </c>
      <c r="L1578">
        <v>5.2793452821819985E-2</v>
      </c>
      <c r="N1578">
        <v>6.3266199999999995E-2</v>
      </c>
      <c r="O1578">
        <f t="shared" si="178"/>
        <v>0.15997348952762885</v>
      </c>
      <c r="Q1578">
        <v>6.3266199999999995E-2</v>
      </c>
      <c r="R1578">
        <f t="shared" si="179"/>
        <v>5.2793452821819985E-2</v>
      </c>
      <c r="CH1578">
        <v>5.8565699999999998E-2</v>
      </c>
      <c r="CI1578">
        <v>36.674399999999999</v>
      </c>
      <c r="CJ1578">
        <f t="shared" si="180"/>
        <v>2850.2978763935275</v>
      </c>
      <c r="CL1578">
        <v>5.8565699999999998E-2</v>
      </c>
      <c r="CM1578">
        <v>1.9269999999999999E-2</v>
      </c>
      <c r="CN1578">
        <f t="shared" si="181"/>
        <v>1.4976452260460504</v>
      </c>
    </row>
    <row r="1579" spans="4:92" x14ac:dyDescent="0.35">
      <c r="D1579">
        <v>6.4085500000000004E-2</v>
      </c>
      <c r="E1579">
        <v>16.143899999999999</v>
      </c>
      <c r="F1579">
        <v>30.0839</v>
      </c>
      <c r="G1579">
        <v>16.122</v>
      </c>
      <c r="I1579">
        <v>6.4085500000000004E-2</v>
      </c>
      <c r="J1579">
        <f t="shared" si="177"/>
        <v>2.8652917508010443E-2</v>
      </c>
      <c r="K1579">
        <v>0.1596624852484112</v>
      </c>
      <c r="L1579">
        <v>5.3003863892974339E-2</v>
      </c>
      <c r="N1579">
        <v>6.4085500000000004E-2</v>
      </c>
      <c r="O1579">
        <f t="shared" si="178"/>
        <v>0.1596624852484112</v>
      </c>
      <c r="Q1579">
        <v>6.4085500000000004E-2</v>
      </c>
      <c r="R1579">
        <f t="shared" si="179"/>
        <v>5.3003863892974339E-2</v>
      </c>
      <c r="CH1579">
        <v>5.9324200000000001E-2</v>
      </c>
      <c r="CI1579">
        <v>35.4542</v>
      </c>
      <c r="CJ1579">
        <f t="shared" si="180"/>
        <v>2755.465146511774</v>
      </c>
      <c r="CL1579">
        <v>5.9324200000000001E-2</v>
      </c>
      <c r="CM1579">
        <v>1.9789999999999999E-2</v>
      </c>
      <c r="CN1579">
        <f t="shared" si="181"/>
        <v>1.5380591086378483</v>
      </c>
    </row>
    <row r="1580" spans="4:92" x14ac:dyDescent="0.35">
      <c r="D1580">
        <v>6.4915399999999998E-2</v>
      </c>
      <c r="E1580">
        <v>15.4947</v>
      </c>
      <c r="F1580">
        <v>30.5288</v>
      </c>
      <c r="G1580">
        <v>16.253799999999998</v>
      </c>
      <c r="I1580">
        <v>6.4915399999999998E-2</v>
      </c>
      <c r="J1580">
        <f t="shared" si="177"/>
        <v>2.7500688242083352E-2</v>
      </c>
      <c r="K1580">
        <v>0.16202367643994614</v>
      </c>
      <c r="L1580">
        <v>5.3437179192632807E-2</v>
      </c>
      <c r="N1580">
        <v>6.4915399999999998E-2</v>
      </c>
      <c r="O1580">
        <f t="shared" si="178"/>
        <v>0.16202367643994614</v>
      </c>
      <c r="Q1580">
        <v>6.4915399999999998E-2</v>
      </c>
      <c r="R1580">
        <f t="shared" si="179"/>
        <v>5.3437179192632807E-2</v>
      </c>
      <c r="CH1580">
        <v>6.0092399999999997E-2</v>
      </c>
      <c r="CI1580">
        <v>35.848999999999997</v>
      </c>
      <c r="CJ1580">
        <f t="shared" si="180"/>
        <v>2786.1486096795466</v>
      </c>
      <c r="CL1580">
        <v>6.0092399999999997E-2</v>
      </c>
      <c r="CM1580">
        <v>2.2089999999999999E-2</v>
      </c>
      <c r="CN1580">
        <f t="shared" si="181"/>
        <v>1.71681282010157</v>
      </c>
    </row>
    <row r="1581" spans="4:92" x14ac:dyDescent="0.35">
      <c r="D1581">
        <v>6.5756099999999998E-2</v>
      </c>
      <c r="E1581">
        <v>15.730600000000001</v>
      </c>
      <c r="F1581">
        <v>30.39</v>
      </c>
      <c r="G1581">
        <v>16.050999999999998</v>
      </c>
      <c r="I1581">
        <v>6.5756099999999998E-2</v>
      </c>
      <c r="J1581">
        <f t="shared" si="177"/>
        <v>2.7919374138312868E-2</v>
      </c>
      <c r="K1581">
        <v>0.16128703149190152</v>
      </c>
      <c r="L1581">
        <v>5.2770439110912476E-2</v>
      </c>
      <c r="N1581">
        <v>6.5756099999999998E-2</v>
      </c>
      <c r="O1581">
        <f t="shared" si="178"/>
        <v>0.16128703149190152</v>
      </c>
      <c r="Q1581">
        <v>6.5756099999999998E-2</v>
      </c>
      <c r="R1581">
        <f t="shared" si="179"/>
        <v>5.2770439110912476E-2</v>
      </c>
      <c r="CH1581">
        <v>6.0870599999999997E-2</v>
      </c>
      <c r="CI1581">
        <v>36.250700000000002</v>
      </c>
      <c r="CJ1581">
        <f t="shared" si="180"/>
        <v>2817.3683339817107</v>
      </c>
      <c r="CL1581">
        <v>6.0870599999999997E-2</v>
      </c>
      <c r="CM1581">
        <v>2.1329999999999998E-2</v>
      </c>
      <c r="CN1581">
        <f t="shared" si="181"/>
        <v>1.6577463763135576</v>
      </c>
    </row>
    <row r="1582" spans="4:92" x14ac:dyDescent="0.35">
      <c r="D1582">
        <v>6.6607600000000003E-2</v>
      </c>
      <c r="E1582">
        <v>15.7158</v>
      </c>
      <c r="F1582">
        <v>29.621500000000001</v>
      </c>
      <c r="G1582">
        <v>16.250599999999999</v>
      </c>
      <c r="I1582">
        <v>6.6607600000000003E-2</v>
      </c>
      <c r="J1582">
        <f t="shared" si="177"/>
        <v>2.7893106434776632E-2</v>
      </c>
      <c r="K1582">
        <v>0.15720841735233174</v>
      </c>
      <c r="L1582">
        <v>5.3426658639075093E-2</v>
      </c>
      <c r="N1582">
        <v>6.6607600000000003E-2</v>
      </c>
      <c r="O1582">
        <f t="shared" si="178"/>
        <v>0.15720841735233174</v>
      </c>
      <c r="Q1582">
        <v>6.6607600000000003E-2</v>
      </c>
      <c r="R1582">
        <f t="shared" si="179"/>
        <v>5.3426658639075093E-2</v>
      </c>
      <c r="CH1582">
        <v>6.1658900000000003E-2</v>
      </c>
      <c r="CI1582">
        <v>36.154000000000003</v>
      </c>
      <c r="CJ1582">
        <f t="shared" si="180"/>
        <v>2809.852906199736</v>
      </c>
      <c r="CL1582">
        <v>6.1658900000000003E-2</v>
      </c>
      <c r="CM1582">
        <v>1.8620000000000001E-2</v>
      </c>
      <c r="CN1582">
        <f t="shared" si="181"/>
        <v>1.4471278728063033</v>
      </c>
    </row>
    <row r="1583" spans="4:92" x14ac:dyDescent="0.35">
      <c r="D1583">
        <v>6.7470199999999994E-2</v>
      </c>
      <c r="E1583">
        <v>15.8178</v>
      </c>
      <c r="F1583">
        <v>30.407599999999999</v>
      </c>
      <c r="G1583">
        <v>16.224399999999999</v>
      </c>
      <c r="I1583">
        <v>6.7470199999999994E-2</v>
      </c>
      <c r="J1583">
        <f t="shared" si="177"/>
        <v>2.8074140607796606E-2</v>
      </c>
      <c r="K1583">
        <v>0.16138043892047202</v>
      </c>
      <c r="L1583">
        <v>5.3340521606821283E-2</v>
      </c>
      <c r="N1583">
        <v>6.7470199999999994E-2</v>
      </c>
      <c r="O1583">
        <f t="shared" si="178"/>
        <v>0.16138043892047202</v>
      </c>
      <c r="Q1583">
        <v>6.7470199999999994E-2</v>
      </c>
      <c r="R1583">
        <f t="shared" si="179"/>
        <v>5.3340521606821283E-2</v>
      </c>
      <c r="CH1583">
        <v>6.2457400000000003E-2</v>
      </c>
      <c r="CI1583">
        <v>35.808799999999998</v>
      </c>
      <c r="CJ1583">
        <f t="shared" si="180"/>
        <v>2783.0243056791805</v>
      </c>
      <c r="CL1583">
        <v>6.2457400000000003E-2</v>
      </c>
      <c r="CM1583">
        <v>1.797E-2</v>
      </c>
      <c r="CN1583">
        <f t="shared" si="181"/>
        <v>1.3966105195665557</v>
      </c>
    </row>
    <row r="1584" spans="4:92" x14ac:dyDescent="0.35">
      <c r="D1584">
        <v>6.8344000000000002E-2</v>
      </c>
      <c r="E1584">
        <v>16.139099999999999</v>
      </c>
      <c r="F1584">
        <v>29.898399999999999</v>
      </c>
      <c r="G1584">
        <v>16.292400000000001</v>
      </c>
      <c r="I1584">
        <v>6.8344000000000002E-2</v>
      </c>
      <c r="J1584">
        <f t="shared" si="177"/>
        <v>2.8644398252809504E-2</v>
      </c>
      <c r="K1584">
        <v>0.15867799218023915</v>
      </c>
      <c r="L1584">
        <v>5.3564083369922778E-2</v>
      </c>
      <c r="N1584">
        <v>6.8344000000000002E-2</v>
      </c>
      <c r="O1584">
        <f t="shared" si="178"/>
        <v>0.15867799218023915</v>
      </c>
      <c r="Q1584">
        <v>6.8344000000000002E-2</v>
      </c>
      <c r="R1584">
        <f t="shared" si="179"/>
        <v>5.3564083369922778E-2</v>
      </c>
      <c r="CH1584">
        <v>6.3266199999999995E-2</v>
      </c>
      <c r="CI1584">
        <v>36.219900000000003</v>
      </c>
      <c r="CJ1584">
        <f t="shared" si="180"/>
        <v>2814.9745886281967</v>
      </c>
      <c r="CL1584">
        <v>6.3266199999999995E-2</v>
      </c>
      <c r="CM1584">
        <v>1.916E-2</v>
      </c>
      <c r="CN1584">
        <f t="shared" si="181"/>
        <v>1.4890961354977856</v>
      </c>
    </row>
    <row r="1585" spans="4:92" x14ac:dyDescent="0.35">
      <c r="D1585">
        <v>6.9228999999999999E-2</v>
      </c>
      <c r="E1585">
        <v>15.5657</v>
      </c>
      <c r="F1585">
        <v>30.298999999999999</v>
      </c>
      <c r="G1585">
        <v>16.180700000000002</v>
      </c>
      <c r="I1585">
        <v>6.9228999999999999E-2</v>
      </c>
      <c r="J1585">
        <f t="shared" si="177"/>
        <v>2.7626702225263918E-2</v>
      </c>
      <c r="K1585">
        <v>0.16080407262826996</v>
      </c>
      <c r="L1585">
        <v>5.3196850297298717E-2</v>
      </c>
      <c r="N1585">
        <v>6.9228999999999999E-2</v>
      </c>
      <c r="O1585">
        <f t="shared" si="178"/>
        <v>0.16080407262826996</v>
      </c>
      <c r="Q1585">
        <v>6.9228999999999999E-2</v>
      </c>
      <c r="R1585">
        <f t="shared" si="179"/>
        <v>5.3196850297298717E-2</v>
      </c>
      <c r="CH1585">
        <v>6.4085500000000004E-2</v>
      </c>
      <c r="CI1585">
        <v>35.381100000000004</v>
      </c>
      <c r="CJ1585">
        <f t="shared" si="180"/>
        <v>2749.7838872474272</v>
      </c>
      <c r="CL1585">
        <v>6.4085500000000004E-2</v>
      </c>
      <c r="CM1585">
        <v>2.0570000000000001E-2</v>
      </c>
      <c r="CN1585">
        <f t="shared" si="181"/>
        <v>1.5986799325255454</v>
      </c>
    </row>
    <row r="1586" spans="4:92" x14ac:dyDescent="0.35">
      <c r="D1586">
        <v>7.0125499999999993E-2</v>
      </c>
      <c r="E1586">
        <v>15.4413</v>
      </c>
      <c r="F1586">
        <v>30.090800000000002</v>
      </c>
      <c r="G1586">
        <v>16.035299999999999</v>
      </c>
      <c r="I1586">
        <v>7.0125499999999993E-2</v>
      </c>
      <c r="J1586">
        <f t="shared" si="177"/>
        <v>2.74059115279729E-2</v>
      </c>
      <c r="K1586">
        <v>0.15969910520620303</v>
      </c>
      <c r="L1586">
        <v>5.2718822645019932E-2</v>
      </c>
      <c r="N1586">
        <v>7.0125499999999993E-2</v>
      </c>
      <c r="O1586">
        <f t="shared" si="178"/>
        <v>0.15969910520620303</v>
      </c>
      <c r="Q1586">
        <v>7.0125499999999993E-2</v>
      </c>
      <c r="R1586">
        <f t="shared" si="179"/>
        <v>5.2718822645019932E-2</v>
      </c>
      <c r="CH1586">
        <v>6.4915399999999998E-2</v>
      </c>
      <c r="CI1586">
        <v>37.473100000000002</v>
      </c>
      <c r="CJ1586">
        <f t="shared" si="180"/>
        <v>2912.3720456744295</v>
      </c>
      <c r="CL1586">
        <v>6.4915399999999998E-2</v>
      </c>
      <c r="CM1586">
        <v>1.9939999999999999E-2</v>
      </c>
      <c r="CN1586">
        <f t="shared" si="181"/>
        <v>1.5497169593854825</v>
      </c>
    </row>
    <row r="1587" spans="4:92" x14ac:dyDescent="0.35">
      <c r="D1587">
        <v>7.1033700000000005E-2</v>
      </c>
      <c r="E1587">
        <v>15.5436</v>
      </c>
      <c r="F1587">
        <v>29.916399999999999</v>
      </c>
      <c r="G1587">
        <v>15.8002</v>
      </c>
      <c r="I1587">
        <v>7.1033700000000005E-2</v>
      </c>
      <c r="J1587">
        <f t="shared" si="177"/>
        <v>2.7587478154442922E-2</v>
      </c>
      <c r="K1587">
        <v>0.15877352250491353</v>
      </c>
      <c r="L1587">
        <v>5.1945890725826394E-2</v>
      </c>
      <c r="N1587">
        <v>7.1033700000000005E-2</v>
      </c>
      <c r="O1587">
        <f t="shared" si="178"/>
        <v>0.15877352250491353</v>
      </c>
      <c r="Q1587">
        <v>7.1033700000000005E-2</v>
      </c>
      <c r="R1587">
        <f t="shared" si="179"/>
        <v>5.1945890725826394E-2</v>
      </c>
      <c r="CH1587">
        <v>6.5756099999999998E-2</v>
      </c>
      <c r="CI1587">
        <v>36.082099999999997</v>
      </c>
      <c r="CJ1587">
        <f t="shared" si="180"/>
        <v>2804.2649097413696</v>
      </c>
      <c r="CL1587">
        <v>6.5756099999999998E-2</v>
      </c>
      <c r="CM1587">
        <v>1.8489999999999999E-2</v>
      </c>
      <c r="CN1587">
        <f t="shared" si="181"/>
        <v>1.4370244021583536</v>
      </c>
    </row>
    <row r="1588" spans="4:92" x14ac:dyDescent="0.35">
      <c r="D1588">
        <v>7.1953600000000006E-2</v>
      </c>
      <c r="E1588">
        <v>15.6966</v>
      </c>
      <c r="F1588">
        <v>29.272300000000001</v>
      </c>
      <c r="G1588">
        <v>16.617999999999999</v>
      </c>
      <c r="I1588">
        <v>7.1953600000000006E-2</v>
      </c>
      <c r="J1588">
        <f t="shared" si="177"/>
        <v>2.7859029413972881E-2</v>
      </c>
      <c r="K1588">
        <v>0.15535512905364887</v>
      </c>
      <c r="L1588">
        <v>5.4634549694420512E-2</v>
      </c>
      <c r="N1588">
        <v>7.1953600000000006E-2</v>
      </c>
      <c r="O1588">
        <f t="shared" si="178"/>
        <v>0.15535512905364887</v>
      </c>
      <c r="Q1588">
        <v>7.1953600000000006E-2</v>
      </c>
      <c r="R1588">
        <f t="shared" si="179"/>
        <v>5.4634549694420512E-2</v>
      </c>
      <c r="CH1588">
        <v>6.6607600000000003E-2</v>
      </c>
      <c r="CI1588">
        <v>38.066400000000002</v>
      </c>
      <c r="CJ1588">
        <f t="shared" si="180"/>
        <v>2958.4827313315714</v>
      </c>
      <c r="CL1588">
        <v>6.6607600000000003E-2</v>
      </c>
      <c r="CM1588">
        <v>1.8270000000000002E-2</v>
      </c>
      <c r="CN1588">
        <f t="shared" si="181"/>
        <v>1.4199262210618238</v>
      </c>
    </row>
    <row r="1589" spans="4:92" x14ac:dyDescent="0.35">
      <c r="D1589">
        <v>7.2885400000000003E-2</v>
      </c>
      <c r="E1589">
        <v>15.9147</v>
      </c>
      <c r="F1589">
        <v>29.706099999999999</v>
      </c>
      <c r="G1589">
        <v>16.051200000000001</v>
      </c>
      <c r="I1589">
        <v>7.2885400000000003E-2</v>
      </c>
      <c r="J1589">
        <f t="shared" si="177"/>
        <v>2.8246123072165574E-2</v>
      </c>
      <c r="K1589">
        <v>0.15765740987830126</v>
      </c>
      <c r="L1589">
        <v>5.2771096645509843E-2</v>
      </c>
      <c r="N1589">
        <v>7.2885400000000003E-2</v>
      </c>
      <c r="O1589">
        <f t="shared" si="178"/>
        <v>0.15765740987830126</v>
      </c>
      <c r="Q1589">
        <v>7.2885400000000003E-2</v>
      </c>
      <c r="R1589">
        <f t="shared" si="179"/>
        <v>5.2771096645509843E-2</v>
      </c>
      <c r="CH1589">
        <v>6.7470199999999994E-2</v>
      </c>
      <c r="CI1589">
        <v>36.381100000000004</v>
      </c>
      <c r="CJ1589">
        <f t="shared" si="180"/>
        <v>2827.5028922316542</v>
      </c>
      <c r="CL1589">
        <v>6.7470199999999994E-2</v>
      </c>
      <c r="CM1589">
        <v>1.737E-2</v>
      </c>
      <c r="CN1589">
        <f t="shared" si="181"/>
        <v>1.3499791165760195</v>
      </c>
    </row>
    <row r="1590" spans="4:92" x14ac:dyDescent="0.35">
      <c r="D1590">
        <v>7.3829199999999998E-2</v>
      </c>
      <c r="E1590">
        <v>15.5909</v>
      </c>
      <c r="F1590">
        <v>29.363299999999999</v>
      </c>
      <c r="G1590">
        <v>16.155100000000001</v>
      </c>
      <c r="I1590">
        <v>7.3829199999999998E-2</v>
      </c>
      <c r="J1590">
        <f t="shared" si="177"/>
        <v>2.7671428315068851E-2</v>
      </c>
      <c r="K1590">
        <v>0.1558380879172804</v>
      </c>
      <c r="L1590">
        <v>5.3112685868836981E-2</v>
      </c>
      <c r="N1590">
        <v>7.3829199999999998E-2</v>
      </c>
      <c r="O1590">
        <f t="shared" si="178"/>
        <v>0.1558380879172804</v>
      </c>
      <c r="Q1590">
        <v>7.3829199999999998E-2</v>
      </c>
      <c r="R1590">
        <f t="shared" si="179"/>
        <v>5.3112685868836981E-2</v>
      </c>
      <c r="CH1590">
        <v>6.8344000000000002E-2</v>
      </c>
      <c r="CI1590">
        <v>36.665799999999997</v>
      </c>
      <c r="CJ1590">
        <f t="shared" si="180"/>
        <v>2849.629492950663</v>
      </c>
      <c r="CL1590">
        <v>6.8344000000000002E-2</v>
      </c>
      <c r="CM1590">
        <v>1.8689999999999998E-2</v>
      </c>
      <c r="CN1590">
        <f t="shared" si="181"/>
        <v>1.4525682031551987</v>
      </c>
    </row>
    <row r="1591" spans="4:92" x14ac:dyDescent="0.35">
      <c r="D1591">
        <v>7.4785299999999999E-2</v>
      </c>
      <c r="E1591">
        <v>15.769399999999999</v>
      </c>
      <c r="F1591">
        <v>28.537500000000001</v>
      </c>
      <c r="G1591">
        <v>16.313400000000001</v>
      </c>
      <c r="I1591">
        <v>7.4785299999999999E-2</v>
      </c>
      <c r="J1591">
        <f t="shared" si="177"/>
        <v>2.7988238117853795E-2</v>
      </c>
      <c r="K1591">
        <v>0.15145536891083053</v>
      </c>
      <c r="L1591">
        <v>5.3633124502645305E-2</v>
      </c>
      <c r="N1591">
        <v>7.4785299999999999E-2</v>
      </c>
      <c r="O1591">
        <f t="shared" si="178"/>
        <v>0.15145536891083053</v>
      </c>
      <c r="Q1591">
        <v>7.4785299999999999E-2</v>
      </c>
      <c r="R1591">
        <f t="shared" si="179"/>
        <v>5.3633124502645305E-2</v>
      </c>
      <c r="CH1591">
        <v>6.9228999999999999E-2</v>
      </c>
      <c r="CI1591">
        <v>35.927</v>
      </c>
      <c r="CJ1591">
        <f t="shared" si="180"/>
        <v>2792.2106920683163</v>
      </c>
      <c r="CL1591">
        <v>6.9228999999999999E-2</v>
      </c>
      <c r="CM1591">
        <v>1.8769999999999998E-2</v>
      </c>
      <c r="CN1591">
        <f t="shared" si="181"/>
        <v>1.458785723553937</v>
      </c>
    </row>
    <row r="1592" spans="4:92" x14ac:dyDescent="0.35">
      <c r="D1592">
        <v>7.5753799999999996E-2</v>
      </c>
      <c r="E1592">
        <v>15.517300000000001</v>
      </c>
      <c r="F1592">
        <v>28.263000000000002</v>
      </c>
      <c r="G1592">
        <v>16.407399999999999</v>
      </c>
      <c r="I1592">
        <v>7.5753799999999996E-2</v>
      </c>
      <c r="J1592">
        <f t="shared" si="177"/>
        <v>2.7540799735321111E-2</v>
      </c>
      <c r="K1592">
        <v>0.14999853145954634</v>
      </c>
      <c r="L1592">
        <v>5.3942165763403237E-2</v>
      </c>
      <c r="N1592">
        <v>7.5753799999999996E-2</v>
      </c>
      <c r="O1592">
        <f t="shared" si="178"/>
        <v>0.14999853145954634</v>
      </c>
      <c r="Q1592">
        <v>7.5753799999999996E-2</v>
      </c>
      <c r="R1592">
        <f t="shared" si="179"/>
        <v>5.3942165763403237E-2</v>
      </c>
      <c r="CH1592">
        <v>7.0125499999999993E-2</v>
      </c>
      <c r="CI1592">
        <v>35.863</v>
      </c>
      <c r="CJ1592">
        <f t="shared" si="180"/>
        <v>2787.236675749326</v>
      </c>
      <c r="CL1592">
        <v>7.0125499999999993E-2</v>
      </c>
      <c r="CM1592">
        <v>1.9609999999999999E-2</v>
      </c>
      <c r="CN1592">
        <f t="shared" si="181"/>
        <v>1.5240696877406876</v>
      </c>
    </row>
    <row r="1593" spans="4:92" x14ac:dyDescent="0.35">
      <c r="D1593">
        <v>7.6734800000000006E-2</v>
      </c>
      <c r="E1593">
        <v>15.7141</v>
      </c>
      <c r="F1593">
        <v>27.593499999999999</v>
      </c>
      <c r="G1593">
        <v>16.4284</v>
      </c>
      <c r="I1593">
        <v>7.6734800000000006E-2</v>
      </c>
      <c r="J1593">
        <f t="shared" si="177"/>
        <v>2.7890089198559637E-2</v>
      </c>
      <c r="K1593">
        <v>0.14644533410568555</v>
      </c>
      <c r="L1593">
        <v>5.4011206896125763E-2</v>
      </c>
      <c r="N1593">
        <v>7.6734800000000006E-2</v>
      </c>
      <c r="O1593">
        <f t="shared" si="178"/>
        <v>0.14644533410568555</v>
      </c>
      <c r="Q1593">
        <v>7.6734800000000006E-2</v>
      </c>
      <c r="R1593">
        <f t="shared" si="179"/>
        <v>5.4011206896125763E-2</v>
      </c>
      <c r="CH1593">
        <v>7.1033700000000005E-2</v>
      </c>
      <c r="CI1593">
        <v>37.366100000000003</v>
      </c>
      <c r="CJ1593">
        <f t="shared" si="180"/>
        <v>2904.0561121411174</v>
      </c>
      <c r="CL1593">
        <v>7.1033700000000005E-2</v>
      </c>
      <c r="CM1593">
        <v>2.205E-2</v>
      </c>
      <c r="CN1593">
        <f t="shared" si="181"/>
        <v>1.7137040599022011</v>
      </c>
    </row>
    <row r="1594" spans="4:92" x14ac:dyDescent="0.35">
      <c r="D1594">
        <v>7.7728599999999995E-2</v>
      </c>
      <c r="E1594">
        <v>15.917999999999999</v>
      </c>
      <c r="F1594">
        <v>27.551200000000001</v>
      </c>
      <c r="G1594">
        <v>16.462700000000002</v>
      </c>
      <c r="I1594">
        <v>7.7728599999999995E-2</v>
      </c>
      <c r="J1594">
        <f t="shared" si="177"/>
        <v>2.825198006011622E-2</v>
      </c>
      <c r="K1594">
        <v>0.14622083784270079</v>
      </c>
      <c r="L1594">
        <v>5.4123974079572548E-2</v>
      </c>
      <c r="N1594">
        <v>7.7728599999999995E-2</v>
      </c>
      <c r="O1594">
        <f t="shared" si="178"/>
        <v>0.14622083784270079</v>
      </c>
      <c r="Q1594">
        <v>7.7728599999999995E-2</v>
      </c>
      <c r="R1594">
        <f t="shared" si="179"/>
        <v>5.4123974079572548E-2</v>
      </c>
      <c r="CH1594">
        <v>7.1953600000000006E-2</v>
      </c>
      <c r="CI1594">
        <v>36.972900000000003</v>
      </c>
      <c r="CJ1594">
        <f t="shared" si="180"/>
        <v>2873.4969993813193</v>
      </c>
      <c r="CL1594">
        <v>7.1953600000000006E-2</v>
      </c>
      <c r="CM1594">
        <v>1.8720000000000001E-2</v>
      </c>
      <c r="CN1594">
        <f t="shared" si="181"/>
        <v>1.4548997733047258</v>
      </c>
    </row>
    <row r="1595" spans="4:92" x14ac:dyDescent="0.35">
      <c r="D1595">
        <v>7.8735100000000002E-2</v>
      </c>
      <c r="E1595">
        <v>15.9397</v>
      </c>
      <c r="F1595">
        <v>26.483699999999999</v>
      </c>
      <c r="G1595">
        <v>16.392099999999999</v>
      </c>
      <c r="I1595">
        <v>7.8735100000000002E-2</v>
      </c>
      <c r="J1595">
        <f t="shared" si="177"/>
        <v>2.8290494193003803E-2</v>
      </c>
      <c r="K1595">
        <v>0.14055535886548443</v>
      </c>
      <c r="L1595">
        <v>5.3891864366705407E-2</v>
      </c>
      <c r="N1595">
        <v>7.8735100000000002E-2</v>
      </c>
      <c r="O1595">
        <f t="shared" si="178"/>
        <v>0.14055535886548443</v>
      </c>
      <c r="Q1595">
        <v>7.8735100000000002E-2</v>
      </c>
      <c r="R1595">
        <f t="shared" si="179"/>
        <v>5.3891864366705407E-2</v>
      </c>
      <c r="CH1595">
        <v>7.2885400000000003E-2</v>
      </c>
      <c r="CI1595">
        <v>36.706800000000001</v>
      </c>
      <c r="CJ1595">
        <f t="shared" si="180"/>
        <v>2852.8159721550164</v>
      </c>
      <c r="CL1595">
        <v>7.2885400000000003E-2</v>
      </c>
      <c r="CM1595">
        <v>1.9529999999999999E-2</v>
      </c>
      <c r="CN1595">
        <f t="shared" si="181"/>
        <v>1.5178521673419494</v>
      </c>
    </row>
    <row r="1596" spans="4:92" x14ac:dyDescent="0.35">
      <c r="D1596">
        <v>7.9754800000000001E-2</v>
      </c>
      <c r="E1596">
        <v>16.079499999999999</v>
      </c>
      <c r="F1596">
        <v>25.12</v>
      </c>
      <c r="G1596">
        <v>16.978100000000001</v>
      </c>
      <c r="I1596">
        <v>7.9754800000000001E-2</v>
      </c>
      <c r="J1596">
        <f t="shared" si="177"/>
        <v>2.8538617500731171E-2</v>
      </c>
      <c r="K1596">
        <v>0.13331787532334868</v>
      </c>
      <c r="L1596">
        <v>5.5818440736962384E-2</v>
      </c>
      <c r="N1596">
        <v>7.9754800000000001E-2</v>
      </c>
      <c r="O1596">
        <f t="shared" si="178"/>
        <v>0.13331787532334868</v>
      </c>
      <c r="Q1596">
        <v>7.9754800000000001E-2</v>
      </c>
      <c r="R1596">
        <f t="shared" si="179"/>
        <v>5.5818440736962384E-2</v>
      </c>
      <c r="CH1596">
        <v>7.3829199999999998E-2</v>
      </c>
      <c r="CI1596">
        <v>35.7363</v>
      </c>
      <c r="CJ1596">
        <f t="shared" si="180"/>
        <v>2777.3896778178241</v>
      </c>
      <c r="CL1596">
        <v>7.3829199999999998E-2</v>
      </c>
      <c r="CM1596">
        <v>2.393E-2</v>
      </c>
      <c r="CN1596">
        <f t="shared" si="181"/>
        <v>1.8598157892725473</v>
      </c>
    </row>
    <row r="1597" spans="4:92" x14ac:dyDescent="0.35">
      <c r="D1597">
        <v>8.0787600000000001E-2</v>
      </c>
      <c r="E1597">
        <v>16.2227</v>
      </c>
      <c r="F1597">
        <v>24.3886</v>
      </c>
      <c r="G1597">
        <v>17.1435</v>
      </c>
      <c r="I1597">
        <v>8.0787600000000001E-2</v>
      </c>
      <c r="J1597">
        <f t="shared" si="177"/>
        <v>2.8792775280892535E-2</v>
      </c>
      <c r="K1597">
        <v>0.12943615979741327</v>
      </c>
      <c r="L1597">
        <v>5.6362221848976893E-2</v>
      </c>
      <c r="N1597">
        <v>8.0787600000000001E-2</v>
      </c>
      <c r="O1597">
        <f t="shared" si="178"/>
        <v>0.12943615979741327</v>
      </c>
      <c r="Q1597">
        <v>8.0787600000000001E-2</v>
      </c>
      <c r="R1597">
        <f t="shared" si="179"/>
        <v>5.6362221848976893E-2</v>
      </c>
      <c r="CH1597">
        <v>7.4785299999999999E-2</v>
      </c>
      <c r="CI1597">
        <v>38.0655</v>
      </c>
      <c r="CJ1597">
        <f t="shared" si="180"/>
        <v>2958.4127842270855</v>
      </c>
      <c r="CL1597">
        <v>7.4785299999999999E-2</v>
      </c>
      <c r="CM1597">
        <v>1.9810000000000001E-2</v>
      </c>
      <c r="CN1597">
        <f t="shared" si="181"/>
        <v>1.539613488737533</v>
      </c>
    </row>
    <row r="1598" spans="4:92" x14ac:dyDescent="0.35">
      <c r="D1598">
        <v>8.1833799999999998E-2</v>
      </c>
      <c r="E1598">
        <v>15.9091</v>
      </c>
      <c r="F1598">
        <v>23.674499999999998</v>
      </c>
      <c r="G1598">
        <v>16.894300000000001</v>
      </c>
      <c r="I1598">
        <v>8.1833799999999998E-2</v>
      </c>
      <c r="J1598">
        <f t="shared" si="177"/>
        <v>2.8236183941097812E-2</v>
      </c>
      <c r="K1598">
        <v>0.12564625952797046</v>
      </c>
      <c r="L1598">
        <v>5.554293374066966E-2</v>
      </c>
      <c r="N1598">
        <v>8.1833799999999998E-2</v>
      </c>
      <c r="O1598">
        <f t="shared" si="178"/>
        <v>0.12564625952797046</v>
      </c>
      <c r="Q1598">
        <v>8.1833799999999998E-2</v>
      </c>
      <c r="R1598">
        <f t="shared" si="179"/>
        <v>5.554293374066966E-2</v>
      </c>
      <c r="CH1598">
        <v>7.5753799999999996E-2</v>
      </c>
      <c r="CI1598">
        <v>37.5886</v>
      </c>
      <c r="CJ1598">
        <f t="shared" si="180"/>
        <v>2921.3485907501076</v>
      </c>
      <c r="CL1598">
        <v>7.5753799999999996E-2</v>
      </c>
      <c r="CM1598">
        <v>1.8069999999999999E-2</v>
      </c>
      <c r="CN1598">
        <f t="shared" si="181"/>
        <v>1.4043824200649784</v>
      </c>
    </row>
    <row r="1599" spans="4:92" x14ac:dyDescent="0.35">
      <c r="D1599">
        <v>8.2893599999999998E-2</v>
      </c>
      <c r="E1599">
        <v>15.923999999999999</v>
      </c>
      <c r="F1599">
        <v>21.7043</v>
      </c>
      <c r="G1599">
        <v>16.325299999999999</v>
      </c>
      <c r="I1599">
        <v>8.2893599999999998E-2</v>
      </c>
      <c r="J1599">
        <f t="shared" si="177"/>
        <v>2.8262629129117395E-2</v>
      </c>
      <c r="K1599">
        <v>0.11518993476833425</v>
      </c>
      <c r="L1599">
        <v>5.3672247811188054E-2</v>
      </c>
      <c r="N1599">
        <v>8.2893599999999998E-2</v>
      </c>
      <c r="O1599">
        <f t="shared" si="178"/>
        <v>0.11518993476833425</v>
      </c>
      <c r="Q1599">
        <v>8.2893599999999998E-2</v>
      </c>
      <c r="R1599">
        <f t="shared" si="179"/>
        <v>5.3672247811188054E-2</v>
      </c>
      <c r="CH1599">
        <v>7.6734800000000006E-2</v>
      </c>
      <c r="CI1599">
        <v>38.3125</v>
      </c>
      <c r="CJ1599">
        <f t="shared" si="180"/>
        <v>2977.6093784581894</v>
      </c>
      <c r="CL1599">
        <v>7.6734800000000006E-2</v>
      </c>
      <c r="CM1599">
        <v>1.9300000000000001E-2</v>
      </c>
      <c r="CN1599">
        <f t="shared" si="181"/>
        <v>1.4999767961955774</v>
      </c>
    </row>
    <row r="1600" spans="4:92" x14ac:dyDescent="0.35">
      <c r="D1600">
        <v>8.3967E-2</v>
      </c>
      <c r="E1600">
        <v>16.009599999999999</v>
      </c>
      <c r="F1600">
        <v>20.488199999999999</v>
      </c>
      <c r="G1600">
        <v>16.5029</v>
      </c>
      <c r="I1600">
        <v>8.3967E-2</v>
      </c>
      <c r="J1600">
        <f t="shared" si="177"/>
        <v>2.8414555846867483E-2</v>
      </c>
      <c r="K1600">
        <v>0.10873579988852834</v>
      </c>
      <c r="L1600">
        <v>5.425613853364137E-2</v>
      </c>
      <c r="N1600">
        <v>8.3967E-2</v>
      </c>
      <c r="O1600">
        <f t="shared" si="178"/>
        <v>0.10873579988852834</v>
      </c>
      <c r="Q1600">
        <v>8.3967E-2</v>
      </c>
      <c r="R1600">
        <f t="shared" si="179"/>
        <v>5.425613853364137E-2</v>
      </c>
      <c r="CH1600">
        <v>7.7728599999999995E-2</v>
      </c>
      <c r="CI1600">
        <v>39.93</v>
      </c>
      <c r="CJ1600">
        <f t="shared" si="180"/>
        <v>3103.3198690201762</v>
      </c>
      <c r="CL1600">
        <v>7.7728599999999995E-2</v>
      </c>
      <c r="CM1600">
        <v>1.754E-2</v>
      </c>
      <c r="CN1600">
        <f t="shared" si="181"/>
        <v>1.3631913474233381</v>
      </c>
    </row>
    <row r="1601" spans="4:92" x14ac:dyDescent="0.35">
      <c r="D1601">
        <v>8.5054400000000002E-2</v>
      </c>
      <c r="E1601">
        <v>15.9513</v>
      </c>
      <c r="F1601">
        <v>18.725999999999999</v>
      </c>
      <c r="G1601">
        <v>16.5655</v>
      </c>
      <c r="I1601">
        <v>8.5054400000000002E-2</v>
      </c>
      <c r="J1601">
        <f t="shared" si="177"/>
        <v>2.8311082393072739E-2</v>
      </c>
      <c r="K1601">
        <v>9.9383381102907134E-2</v>
      </c>
      <c r="L1601">
        <v>5.4461946862614213E-2</v>
      </c>
      <c r="N1601">
        <v>8.5054400000000002E-2</v>
      </c>
      <c r="O1601">
        <f t="shared" si="178"/>
        <v>9.9383381102907134E-2</v>
      </c>
      <c r="Q1601">
        <v>8.5054400000000002E-2</v>
      </c>
      <c r="R1601">
        <f t="shared" si="179"/>
        <v>5.4461946862614213E-2</v>
      </c>
      <c r="CH1601">
        <v>7.8735100000000002E-2</v>
      </c>
      <c r="CI1601">
        <v>39.617699999999999</v>
      </c>
      <c r="CJ1601">
        <f t="shared" si="180"/>
        <v>3079.048223763602</v>
      </c>
      <c r="CL1601">
        <v>7.8735100000000002E-2</v>
      </c>
      <c r="CM1601">
        <v>1.9199999999999998E-2</v>
      </c>
      <c r="CN1601">
        <f t="shared" si="181"/>
        <v>1.4922048956971545</v>
      </c>
    </row>
    <row r="1602" spans="4:92" x14ac:dyDescent="0.35">
      <c r="D1602">
        <v>8.6155899999999994E-2</v>
      </c>
      <c r="E1602">
        <v>15.8954</v>
      </c>
      <c r="F1602">
        <v>17.316400000000002</v>
      </c>
      <c r="G1602">
        <v>16.2483</v>
      </c>
      <c r="I1602">
        <v>8.6155899999999994E-2</v>
      </c>
      <c r="J1602">
        <f t="shared" si="177"/>
        <v>2.8211868566878462E-2</v>
      </c>
      <c r="K1602">
        <v>9.1902295232851705E-2</v>
      </c>
      <c r="L1602">
        <v>5.3419096991205485E-2</v>
      </c>
      <c r="N1602">
        <v>8.6155899999999994E-2</v>
      </c>
      <c r="O1602">
        <f t="shared" si="178"/>
        <v>9.1902295232851705E-2</v>
      </c>
      <c r="Q1602">
        <v>8.6155899999999994E-2</v>
      </c>
      <c r="R1602">
        <f t="shared" si="179"/>
        <v>5.3419096991205485E-2</v>
      </c>
      <c r="CH1602">
        <v>7.9754800000000001E-2</v>
      </c>
      <c r="CI1602">
        <v>38.817399999999999</v>
      </c>
      <c r="CJ1602">
        <f t="shared" si="180"/>
        <v>3016.8497040747257</v>
      </c>
      <c r="CL1602">
        <v>7.9754800000000001E-2</v>
      </c>
      <c r="CM1602">
        <v>1.9019999999999999E-2</v>
      </c>
      <c r="CN1602">
        <f t="shared" si="181"/>
        <v>1.4782154747999936</v>
      </c>
    </row>
    <row r="1603" spans="4:92" x14ac:dyDescent="0.35">
      <c r="D1603">
        <v>8.7271600000000005E-2</v>
      </c>
      <c r="E1603">
        <v>15.6686</v>
      </c>
      <c r="F1603">
        <v>15.471299999999999</v>
      </c>
      <c r="G1603">
        <v>15.971399999999999</v>
      </c>
      <c r="I1603">
        <v>8.7271600000000005E-2</v>
      </c>
      <c r="J1603">
        <f t="shared" si="177"/>
        <v>2.7809333758634064E-2</v>
      </c>
      <c r="K1603">
        <v>8.2109906229702406E-2</v>
      </c>
      <c r="L1603">
        <v>5.2508740341164262E-2</v>
      </c>
      <c r="N1603">
        <v>8.7271600000000005E-2</v>
      </c>
      <c r="O1603">
        <f t="shared" si="178"/>
        <v>8.2109906229702406E-2</v>
      </c>
      <c r="Q1603">
        <v>8.7271600000000005E-2</v>
      </c>
      <c r="R1603">
        <f t="shared" si="179"/>
        <v>5.2508740341164262E-2</v>
      </c>
      <c r="CH1603">
        <v>8.0787600000000001E-2</v>
      </c>
      <c r="CI1603">
        <v>38.813299999999998</v>
      </c>
      <c r="CJ1603">
        <f t="shared" si="180"/>
        <v>3016.5310561542901</v>
      </c>
      <c r="CL1603">
        <v>8.0787600000000001E-2</v>
      </c>
      <c r="CM1603">
        <v>1.9519999999999999E-2</v>
      </c>
      <c r="CN1603">
        <f t="shared" si="181"/>
        <v>1.5170749772921071</v>
      </c>
    </row>
    <row r="1604" spans="4:92" x14ac:dyDescent="0.35">
      <c r="D1604">
        <v>8.8401800000000003E-2</v>
      </c>
      <c r="E1604">
        <v>15.5885</v>
      </c>
      <c r="F1604">
        <v>13.7836</v>
      </c>
      <c r="G1604">
        <v>15.5975</v>
      </c>
      <c r="I1604">
        <v>8.8401800000000003E-2</v>
      </c>
      <c r="J1604">
        <f t="shared" ref="J1604:J1667" si="182">E1604/SUM($E$3:$E$2002)/$C$3</f>
        <v>2.766716868746838E-2</v>
      </c>
      <c r="K1604">
        <v>7.3152876843427889E-2</v>
      </c>
      <c r="L1604">
        <v>5.1279479411404739E-2</v>
      </c>
      <c r="N1604">
        <v>8.8401800000000003E-2</v>
      </c>
      <c r="O1604">
        <f t="shared" ref="O1604:O1667" si="183">F1604/SUM($F$3:$F$2002)/$C$3</f>
        <v>7.3152876843427889E-2</v>
      </c>
      <c r="Q1604">
        <v>8.8401800000000003E-2</v>
      </c>
      <c r="R1604">
        <f t="shared" ref="R1604:R1667" si="184">G1604/SUM($G$3:$G$2002)/$C$3</f>
        <v>5.1279479411404739E-2</v>
      </c>
      <c r="CH1604">
        <v>8.1833799999999998E-2</v>
      </c>
      <c r="CI1604">
        <v>38.881500000000003</v>
      </c>
      <c r="CJ1604">
        <f t="shared" si="180"/>
        <v>3021.8314922942145</v>
      </c>
      <c r="CL1604">
        <v>8.1833799999999998E-2</v>
      </c>
      <c r="CM1604">
        <v>1.934E-2</v>
      </c>
      <c r="CN1604">
        <f t="shared" si="181"/>
        <v>1.5030855563949463</v>
      </c>
    </row>
    <row r="1605" spans="4:92" x14ac:dyDescent="0.35">
      <c r="D1605">
        <v>8.9546600000000004E-2</v>
      </c>
      <c r="E1605">
        <v>15.934900000000001</v>
      </c>
      <c r="F1605">
        <v>12.3756</v>
      </c>
      <c r="G1605">
        <v>15.35</v>
      </c>
      <c r="I1605">
        <v>8.9546600000000004E-2</v>
      </c>
      <c r="J1605">
        <f t="shared" si="182"/>
        <v>2.8281974937802861E-2</v>
      </c>
      <c r="K1605">
        <v>6.5680282557787975E-2</v>
      </c>
      <c r="L1605">
        <v>5.046578034717504E-2</v>
      </c>
      <c r="N1605">
        <v>8.9546600000000004E-2</v>
      </c>
      <c r="O1605">
        <f t="shared" si="183"/>
        <v>6.5680282557787975E-2</v>
      </c>
      <c r="Q1605">
        <v>8.9546600000000004E-2</v>
      </c>
      <c r="R1605">
        <f t="shared" si="184"/>
        <v>5.046578034717504E-2</v>
      </c>
      <c r="CH1605">
        <v>8.2893599999999998E-2</v>
      </c>
      <c r="CI1605">
        <v>37.541499999999999</v>
      </c>
      <c r="CJ1605">
        <f t="shared" si="180"/>
        <v>2917.6880256153504</v>
      </c>
      <c r="CL1605">
        <v>8.2893599999999998E-2</v>
      </c>
      <c r="CM1605">
        <v>1.908E-2</v>
      </c>
      <c r="CN1605">
        <f t="shared" si="181"/>
        <v>1.4828786150990474</v>
      </c>
    </row>
    <row r="1606" spans="4:92" x14ac:dyDescent="0.35">
      <c r="D1606">
        <v>9.0706200000000001E-2</v>
      </c>
      <c r="E1606">
        <v>15.473699999999999</v>
      </c>
      <c r="F1606">
        <v>10.404</v>
      </c>
      <c r="G1606">
        <v>14.779500000000001</v>
      </c>
      <c r="I1606">
        <v>9.0706200000000001E-2</v>
      </c>
      <c r="J1606">
        <f t="shared" si="182"/>
        <v>2.7463416500579239E-2</v>
      </c>
      <c r="K1606">
        <v>5.5216527661788202E-2</v>
      </c>
      <c r="L1606">
        <v>4.8590162908213261E-2</v>
      </c>
      <c r="N1606">
        <v>9.0706200000000001E-2</v>
      </c>
      <c r="O1606">
        <f t="shared" si="183"/>
        <v>5.5216527661788202E-2</v>
      </c>
      <c r="Q1606">
        <v>9.0706200000000001E-2</v>
      </c>
      <c r="R1606">
        <f t="shared" si="184"/>
        <v>4.8590162908213261E-2</v>
      </c>
      <c r="CH1606">
        <v>8.3967E-2</v>
      </c>
      <c r="CI1606">
        <v>36.684100000000001</v>
      </c>
      <c r="CJ1606">
        <f t="shared" si="180"/>
        <v>2851.0517507418745</v>
      </c>
      <c r="CL1606">
        <v>8.3967E-2</v>
      </c>
      <c r="CM1606">
        <v>1.9859999999999999E-2</v>
      </c>
      <c r="CN1606">
        <f t="shared" si="181"/>
        <v>1.5434994389867442</v>
      </c>
    </row>
    <row r="1607" spans="4:92" x14ac:dyDescent="0.35">
      <c r="D1607">
        <v>9.1880900000000001E-2</v>
      </c>
      <c r="E1607">
        <v>15.3833</v>
      </c>
      <c r="F1607">
        <v>8.9319199999999999</v>
      </c>
      <c r="G1607">
        <v>14.450699999999999</v>
      </c>
      <c r="I1607">
        <v>9.1880900000000001E-2</v>
      </c>
      <c r="J1607">
        <f t="shared" si="182"/>
        <v>2.7302970527628211E-2</v>
      </c>
      <c r="K1607">
        <v>4.7403845420307504E-2</v>
      </c>
      <c r="L1607">
        <v>4.7509176030157807E-2</v>
      </c>
      <c r="N1607">
        <v>9.1880900000000001E-2</v>
      </c>
      <c r="O1607">
        <f t="shared" si="183"/>
        <v>4.7403845420307504E-2</v>
      </c>
      <c r="Q1607">
        <v>9.1880900000000001E-2</v>
      </c>
      <c r="R1607">
        <f t="shared" si="184"/>
        <v>4.7509176030157807E-2</v>
      </c>
      <c r="CH1607">
        <v>8.5054400000000002E-2</v>
      </c>
      <c r="CI1607">
        <v>35.639400000000002</v>
      </c>
      <c r="CJ1607">
        <f t="shared" si="180"/>
        <v>2769.8587062348529</v>
      </c>
      <c r="CL1607">
        <v>8.5054400000000002E-2</v>
      </c>
      <c r="CM1607">
        <v>2.2249999999999999E-2</v>
      </c>
      <c r="CN1607">
        <f t="shared" si="181"/>
        <v>1.7292478608990463</v>
      </c>
    </row>
    <row r="1608" spans="4:92" x14ac:dyDescent="0.35">
      <c r="D1608">
        <v>9.3070799999999995E-2</v>
      </c>
      <c r="E1608">
        <v>15.354200000000001</v>
      </c>
      <c r="F1608">
        <v>7.5689799999999998</v>
      </c>
      <c r="G1608">
        <v>14.085000000000001</v>
      </c>
      <c r="I1608">
        <v>9.3070799999999995E-2</v>
      </c>
      <c r="J1608">
        <f t="shared" si="182"/>
        <v>2.7251322542972516E-2</v>
      </c>
      <c r="K1608">
        <v>4.0170395380769088E-2</v>
      </c>
      <c r="L1608">
        <v>4.6306874018889936E-2</v>
      </c>
      <c r="N1608">
        <v>9.3070799999999995E-2</v>
      </c>
      <c r="O1608">
        <f t="shared" si="183"/>
        <v>4.0170395380769088E-2</v>
      </c>
      <c r="Q1608">
        <v>9.3070799999999995E-2</v>
      </c>
      <c r="R1608">
        <f t="shared" si="184"/>
        <v>4.6306874018889936E-2</v>
      </c>
      <c r="CH1608">
        <v>8.6155899999999994E-2</v>
      </c>
      <c r="CI1608">
        <v>34.2761</v>
      </c>
      <c r="CJ1608">
        <f t="shared" si="180"/>
        <v>2663.9043867398564</v>
      </c>
      <c r="CL1608">
        <v>8.6155899999999994E-2</v>
      </c>
      <c r="CM1608">
        <v>2.8479999999999998E-2</v>
      </c>
      <c r="CN1608">
        <f t="shared" si="181"/>
        <v>2.2134372619507792</v>
      </c>
    </row>
    <row r="1609" spans="4:92" x14ac:dyDescent="0.35">
      <c r="D1609">
        <v>9.4275999999999999E-2</v>
      </c>
      <c r="E1609">
        <v>15.006600000000001</v>
      </c>
      <c r="F1609">
        <v>6.4868600000000001</v>
      </c>
      <c r="G1609">
        <v>13.675000000000001</v>
      </c>
      <c r="I1609">
        <v>9.4275999999999999E-2</v>
      </c>
      <c r="J1609">
        <f t="shared" si="182"/>
        <v>2.6634386478837799E-2</v>
      </c>
      <c r="K1609">
        <v>3.4427324550956116E-2</v>
      </c>
      <c r="L1609">
        <v>4.4958928094307411E-2</v>
      </c>
      <c r="N1609">
        <v>9.4275999999999999E-2</v>
      </c>
      <c r="O1609">
        <f t="shared" si="183"/>
        <v>3.4427324550956116E-2</v>
      </c>
      <c r="Q1609">
        <v>9.4275999999999999E-2</v>
      </c>
      <c r="R1609">
        <f t="shared" si="184"/>
        <v>4.4958928094307411E-2</v>
      </c>
      <c r="CH1609">
        <v>8.7271600000000005E-2</v>
      </c>
      <c r="CI1609">
        <v>33.115400000000001</v>
      </c>
      <c r="CJ1609">
        <f t="shared" si="180"/>
        <v>2573.6959376546642</v>
      </c>
      <c r="CL1609">
        <v>8.7271600000000005E-2</v>
      </c>
      <c r="CM1609">
        <v>1.9230000000000001E-2</v>
      </c>
      <c r="CN1609">
        <f t="shared" si="181"/>
        <v>1.4945364658466815</v>
      </c>
    </row>
    <row r="1610" spans="4:92" x14ac:dyDescent="0.35">
      <c r="D1610">
        <v>9.5496899999999996E-2</v>
      </c>
      <c r="E1610">
        <v>15.082800000000001</v>
      </c>
      <c r="F1610">
        <v>5.9589299999999996</v>
      </c>
      <c r="G1610">
        <v>13.1846</v>
      </c>
      <c r="I1610">
        <v>9.5496899999999996E-2</v>
      </c>
      <c r="J1610">
        <f t="shared" si="182"/>
        <v>2.6769629655152716E-2</v>
      </c>
      <c r="K1610">
        <v>3.1625473200659317E-2</v>
      </c>
      <c r="L1610">
        <v>4.3346653261587237E-2</v>
      </c>
      <c r="N1610">
        <v>9.5496899999999996E-2</v>
      </c>
      <c r="O1610">
        <f t="shared" si="183"/>
        <v>3.1625473200659317E-2</v>
      </c>
      <c r="Q1610">
        <v>9.5496899999999996E-2</v>
      </c>
      <c r="R1610">
        <f t="shared" si="184"/>
        <v>4.3346653261587237E-2</v>
      </c>
      <c r="CH1610">
        <v>8.8401800000000003E-2</v>
      </c>
      <c r="CI1610">
        <v>30.929500000000001</v>
      </c>
      <c r="CJ1610">
        <f t="shared" ref="CJ1610:CJ1673" si="185">CI1610/$CG$9</f>
        <v>2403.8099646596429</v>
      </c>
      <c r="CL1610">
        <v>8.8401800000000003E-2</v>
      </c>
      <c r="CM1610">
        <v>1.9480000000000001E-2</v>
      </c>
      <c r="CN1610">
        <f t="shared" ref="CN1610:CN1673" si="186">CM1610/$CG$9</f>
        <v>1.5139662170927382</v>
      </c>
    </row>
    <row r="1611" spans="4:92" x14ac:dyDescent="0.35">
      <c r="D1611">
        <v>9.6733600000000003E-2</v>
      </c>
      <c r="E1611">
        <v>14.5753</v>
      </c>
      <c r="F1611">
        <v>5.4456699999999998</v>
      </c>
      <c r="G1611">
        <v>13.3162</v>
      </c>
      <c r="I1611">
        <v>9.6733600000000003E-2</v>
      </c>
      <c r="J1611">
        <f t="shared" si="182"/>
        <v>2.5868895902136695E-2</v>
      </c>
      <c r="K1611">
        <v>2.890147906497214E-2</v>
      </c>
      <c r="L1611">
        <v>4.3779311026648358E-2</v>
      </c>
      <c r="N1611">
        <v>9.6733600000000003E-2</v>
      </c>
      <c r="O1611">
        <f t="shared" si="183"/>
        <v>2.890147906497214E-2</v>
      </c>
      <c r="Q1611">
        <v>9.6733600000000003E-2</v>
      </c>
      <c r="R1611">
        <f t="shared" si="184"/>
        <v>4.3779311026648358E-2</v>
      </c>
      <c r="CH1611">
        <v>8.9546600000000004E-2</v>
      </c>
      <c r="CI1611">
        <v>29.139800000000001</v>
      </c>
      <c r="CJ1611">
        <f t="shared" si="185"/>
        <v>2264.7162614393724</v>
      </c>
      <c r="CL1611">
        <v>8.9546600000000004E-2</v>
      </c>
      <c r="CM1611">
        <v>1.67E-2</v>
      </c>
      <c r="CN1611">
        <f t="shared" si="186"/>
        <v>1.2979073832365875</v>
      </c>
    </row>
    <row r="1612" spans="4:92" x14ac:dyDescent="0.35">
      <c r="D1612">
        <v>9.7986299999999998E-2</v>
      </c>
      <c r="E1612">
        <v>14.662100000000001</v>
      </c>
      <c r="F1612">
        <v>5.3380200000000002</v>
      </c>
      <c r="G1612">
        <v>12.9152</v>
      </c>
      <c r="I1612">
        <v>9.7986299999999998E-2</v>
      </c>
      <c r="J1612">
        <f t="shared" si="182"/>
        <v>2.6022952433687022E-2</v>
      </c>
      <c r="K1612">
        <v>2.8330154651016789E-2</v>
      </c>
      <c r="L1612">
        <v>4.2460954158946913E-2</v>
      </c>
      <c r="N1612">
        <v>9.7986299999999998E-2</v>
      </c>
      <c r="O1612">
        <f t="shared" si="183"/>
        <v>2.8330154651016789E-2</v>
      </c>
      <c r="Q1612">
        <v>9.7986299999999998E-2</v>
      </c>
      <c r="R1612">
        <f t="shared" si="184"/>
        <v>4.2460954158946913E-2</v>
      </c>
      <c r="CH1612">
        <v>9.0706200000000001E-2</v>
      </c>
      <c r="CI1612">
        <v>26.633600000000001</v>
      </c>
      <c r="CJ1612">
        <f t="shared" si="185"/>
        <v>2069.9368911479032</v>
      </c>
      <c r="CL1612">
        <v>9.0706200000000001E-2</v>
      </c>
      <c r="CM1612">
        <v>1.9519999999999999E-2</v>
      </c>
      <c r="CN1612">
        <f t="shared" si="186"/>
        <v>1.5170749772921071</v>
      </c>
    </row>
    <row r="1613" spans="4:92" x14ac:dyDescent="0.35">
      <c r="D1613">
        <v>9.9255200000000002E-2</v>
      </c>
      <c r="E1613">
        <v>14.771699999999999</v>
      </c>
      <c r="F1613">
        <v>5.47159</v>
      </c>
      <c r="G1613">
        <v>12.9389</v>
      </c>
      <c r="I1613">
        <v>9.9255200000000002E-2</v>
      </c>
      <c r="J1613">
        <f t="shared" si="182"/>
        <v>2.6217475427441808E-2</v>
      </c>
      <c r="K1613">
        <v>2.9039042732503236E-2</v>
      </c>
      <c r="L1613">
        <v>4.2538872008733762E-2</v>
      </c>
      <c r="N1613">
        <v>9.9255200000000002E-2</v>
      </c>
      <c r="O1613">
        <f t="shared" si="183"/>
        <v>2.9039042732503236E-2</v>
      </c>
      <c r="Q1613">
        <v>9.9255200000000002E-2</v>
      </c>
      <c r="R1613">
        <f t="shared" si="184"/>
        <v>4.2538872008733762E-2</v>
      </c>
      <c r="CH1613">
        <v>9.1880900000000001E-2</v>
      </c>
      <c r="CI1613">
        <v>24.2134</v>
      </c>
      <c r="CJ1613">
        <f t="shared" si="185"/>
        <v>1881.8413552850773</v>
      </c>
      <c r="CL1613">
        <v>9.1880900000000001E-2</v>
      </c>
      <c r="CM1613">
        <v>2.3689999999999999E-2</v>
      </c>
      <c r="CN1613">
        <f t="shared" si="186"/>
        <v>1.8411632280763328</v>
      </c>
    </row>
    <row r="1614" spans="4:92" x14ac:dyDescent="0.35">
      <c r="D1614">
        <v>0.10054100000000001</v>
      </c>
      <c r="E1614">
        <v>14.9703</v>
      </c>
      <c r="F1614">
        <v>5.8240999999999996</v>
      </c>
      <c r="G1614">
        <v>13.1053</v>
      </c>
      <c r="I1614">
        <v>0.10054100000000001</v>
      </c>
      <c r="J1614">
        <f t="shared" si="182"/>
        <v>2.6569959611380693E-2</v>
      </c>
      <c r="K1614">
        <v>3.0909897996445661E-2</v>
      </c>
      <c r="L1614">
        <v>4.3085940793735053E-2</v>
      </c>
      <c r="N1614">
        <v>0.10054100000000001</v>
      </c>
      <c r="O1614">
        <f t="shared" si="183"/>
        <v>3.0909897996445661E-2</v>
      </c>
      <c r="Q1614">
        <v>0.10054100000000001</v>
      </c>
      <c r="R1614">
        <f t="shared" si="184"/>
        <v>4.3085940793735053E-2</v>
      </c>
      <c r="CH1614">
        <v>9.3070799999999995E-2</v>
      </c>
      <c r="CI1614">
        <v>22.6783</v>
      </c>
      <c r="CJ1614">
        <f t="shared" si="185"/>
        <v>1762.5349107337906</v>
      </c>
      <c r="CL1614">
        <v>9.3070799999999995E-2</v>
      </c>
      <c r="CM1614">
        <v>2.0320000000000001E-2</v>
      </c>
      <c r="CN1614">
        <f t="shared" si="186"/>
        <v>1.5792501812794888</v>
      </c>
    </row>
    <row r="1615" spans="4:92" x14ac:dyDescent="0.35">
      <c r="D1615">
        <v>0.101843</v>
      </c>
      <c r="E1615">
        <v>14.7814</v>
      </c>
      <c r="F1615">
        <v>6.3395799999999998</v>
      </c>
      <c r="G1615">
        <v>13.5688</v>
      </c>
      <c r="I1615">
        <v>0.101843</v>
      </c>
      <c r="J1615">
        <f t="shared" si="182"/>
        <v>2.6234691422327046E-2</v>
      </c>
      <c r="K1615">
        <v>3.3645674205509346E-2</v>
      </c>
      <c r="L1615">
        <v>4.4609777223110665E-2</v>
      </c>
      <c r="N1615">
        <v>0.101843</v>
      </c>
      <c r="O1615">
        <f t="shared" si="183"/>
        <v>3.3645674205509346E-2</v>
      </c>
      <c r="Q1615">
        <v>0.101843</v>
      </c>
      <c r="R1615">
        <f t="shared" si="184"/>
        <v>4.4609777223110665E-2</v>
      </c>
      <c r="CH1615">
        <v>9.4275999999999999E-2</v>
      </c>
      <c r="CI1615">
        <v>20.201599999999999</v>
      </c>
      <c r="CJ1615">
        <f t="shared" si="185"/>
        <v>1570.0482510893562</v>
      </c>
      <c r="CL1615">
        <v>9.4275999999999999E-2</v>
      </c>
      <c r="CM1615">
        <v>2.1659999999999999E-2</v>
      </c>
      <c r="CN1615">
        <f t="shared" si="186"/>
        <v>1.6833936479583524</v>
      </c>
    </row>
    <row r="1616" spans="4:92" x14ac:dyDescent="0.35">
      <c r="D1616">
        <v>0.103161</v>
      </c>
      <c r="E1616">
        <v>15.3794</v>
      </c>
      <c r="F1616">
        <v>7.1817799999999998</v>
      </c>
      <c r="G1616">
        <v>14.0662</v>
      </c>
      <c r="I1616">
        <v>0.103161</v>
      </c>
      <c r="J1616">
        <f t="shared" si="182"/>
        <v>2.7296048632777448E-2</v>
      </c>
      <c r="K1616">
        <v>3.8115431952218115E-2</v>
      </c>
      <c r="L1616">
        <v>4.6245065766738348E-2</v>
      </c>
      <c r="N1616">
        <v>0.103161</v>
      </c>
      <c r="O1616">
        <f t="shared" si="183"/>
        <v>3.8115431952218115E-2</v>
      </c>
      <c r="Q1616">
        <v>0.103161</v>
      </c>
      <c r="R1616">
        <f t="shared" si="184"/>
        <v>4.6245065766738348E-2</v>
      </c>
      <c r="CH1616">
        <v>9.5496899999999996E-2</v>
      </c>
      <c r="CI1616">
        <v>18.695599999999999</v>
      </c>
      <c r="CJ1616">
        <f t="shared" si="185"/>
        <v>1453.0034295831106</v>
      </c>
      <c r="CL1616">
        <v>9.5496899999999996E-2</v>
      </c>
      <c r="CM1616">
        <v>1.7809999999999999E-2</v>
      </c>
      <c r="CN1616">
        <f t="shared" si="186"/>
        <v>1.3841754787690794</v>
      </c>
    </row>
    <row r="1617" spans="4:92" x14ac:dyDescent="0.35">
      <c r="D1617">
        <v>0.10449700000000001</v>
      </c>
      <c r="E1617">
        <v>15.1799</v>
      </c>
      <c r="F1617">
        <v>8.0028100000000002</v>
      </c>
      <c r="G1617">
        <v>13.997999999999999</v>
      </c>
      <c r="I1617">
        <v>0.10449700000000001</v>
      </c>
      <c r="J1617">
        <f t="shared" si="182"/>
        <v>2.6941967088488391E-2</v>
      </c>
      <c r="K1617">
        <v>4.24728354226293E-2</v>
      </c>
      <c r="L1617">
        <v>4.6020846469039492E-2</v>
      </c>
      <c r="N1617">
        <v>0.10449700000000001</v>
      </c>
      <c r="O1617">
        <f t="shared" si="183"/>
        <v>4.24728354226293E-2</v>
      </c>
      <c r="Q1617">
        <v>0.10449700000000001</v>
      </c>
      <c r="R1617">
        <f t="shared" si="184"/>
        <v>4.6020846469039492E-2</v>
      </c>
      <c r="CH1617">
        <v>9.6733600000000003E-2</v>
      </c>
      <c r="CI1617">
        <v>17.7517</v>
      </c>
      <c r="CJ1617">
        <f t="shared" si="185"/>
        <v>1379.644460778499</v>
      </c>
      <c r="CL1617">
        <v>9.6733600000000003E-2</v>
      </c>
      <c r="CM1617">
        <v>1.7899999999999999E-2</v>
      </c>
      <c r="CN1617">
        <f t="shared" si="186"/>
        <v>1.3911701892176598</v>
      </c>
    </row>
    <row r="1618" spans="4:92" x14ac:dyDescent="0.35">
      <c r="D1618">
        <v>0.105851</v>
      </c>
      <c r="E1618">
        <v>15.189299999999999</v>
      </c>
      <c r="F1618">
        <v>8.7878399999999992</v>
      </c>
      <c r="G1618">
        <v>14.2615</v>
      </c>
      <c r="I1618">
        <v>0.105851</v>
      </c>
      <c r="J1618">
        <f t="shared" si="182"/>
        <v>2.6958650629923565E-2</v>
      </c>
      <c r="K1618">
        <v>4.663917824369173E-2</v>
      </c>
      <c r="L1618">
        <v>4.6887148301057772E-2</v>
      </c>
      <c r="N1618">
        <v>0.105851</v>
      </c>
      <c r="O1618">
        <f t="shared" si="183"/>
        <v>4.663917824369173E-2</v>
      </c>
      <c r="Q1618">
        <v>0.105851</v>
      </c>
      <c r="R1618">
        <f t="shared" si="184"/>
        <v>4.6887148301057772E-2</v>
      </c>
      <c r="CH1618">
        <v>9.7986299999999998E-2</v>
      </c>
      <c r="CI1618">
        <v>17.178899999999999</v>
      </c>
      <c r="CJ1618">
        <f t="shared" si="185"/>
        <v>1335.1270147235336</v>
      </c>
      <c r="CL1618">
        <v>9.7986299999999998E-2</v>
      </c>
      <c r="CM1618">
        <v>1.6459999999999999E-2</v>
      </c>
      <c r="CN1618">
        <f t="shared" si="186"/>
        <v>1.279254822040373</v>
      </c>
    </row>
    <row r="1619" spans="4:92" x14ac:dyDescent="0.35">
      <c r="D1619">
        <v>0.107221</v>
      </c>
      <c r="E1619">
        <v>15.3955</v>
      </c>
      <c r="F1619">
        <v>9.5538399999999992</v>
      </c>
      <c r="G1619">
        <v>14.533899999999999</v>
      </c>
      <c r="I1619">
        <v>0.107221</v>
      </c>
      <c r="J1619">
        <f t="shared" si="182"/>
        <v>2.7324623634597266E-2</v>
      </c>
      <c r="K1619">
        <v>5.0704524282612309E-2</v>
      </c>
      <c r="L1619">
        <v>4.7782710422658456E-2</v>
      </c>
      <c r="N1619">
        <v>0.107221</v>
      </c>
      <c r="O1619">
        <f t="shared" si="183"/>
        <v>5.0704524282612309E-2</v>
      </c>
      <c r="Q1619">
        <v>0.107221</v>
      </c>
      <c r="R1619">
        <f t="shared" si="184"/>
        <v>4.7782710422658456E-2</v>
      </c>
      <c r="CH1619">
        <v>9.9255200000000002E-2</v>
      </c>
      <c r="CI1619">
        <v>17.554500000000001</v>
      </c>
      <c r="CJ1619">
        <f t="shared" si="185"/>
        <v>1364.3182729956095</v>
      </c>
      <c r="CL1619">
        <v>9.9255200000000002E-2</v>
      </c>
      <c r="CM1619">
        <v>1.941E-2</v>
      </c>
      <c r="CN1619">
        <f t="shared" si="186"/>
        <v>1.5085258867438422</v>
      </c>
    </row>
    <row r="1620" spans="4:92" x14ac:dyDescent="0.35">
      <c r="D1620">
        <v>0.10861</v>
      </c>
      <c r="E1620">
        <v>15.5229</v>
      </c>
      <c r="F1620">
        <v>10.4779</v>
      </c>
      <c r="G1620">
        <v>14.9291</v>
      </c>
      <c r="I1620">
        <v>0.10861</v>
      </c>
      <c r="J1620">
        <f t="shared" si="182"/>
        <v>2.7550738866388872E-2</v>
      </c>
      <c r="K1620">
        <v>5.5608732716979102E-2</v>
      </c>
      <c r="L1620">
        <v>4.9081998787036542E-2</v>
      </c>
      <c r="N1620">
        <v>0.10861</v>
      </c>
      <c r="O1620">
        <f t="shared" si="183"/>
        <v>5.5608732716979102E-2</v>
      </c>
      <c r="Q1620">
        <v>0.10861</v>
      </c>
      <c r="R1620">
        <f t="shared" si="184"/>
        <v>4.9081998787036542E-2</v>
      </c>
      <c r="CH1620">
        <v>0.10054100000000001</v>
      </c>
      <c r="CI1620">
        <v>17.957100000000001</v>
      </c>
      <c r="CJ1620">
        <f t="shared" si="185"/>
        <v>1395.6079444022591</v>
      </c>
      <c r="CL1620">
        <v>0.10054100000000001</v>
      </c>
      <c r="CM1620">
        <v>2.282E-2</v>
      </c>
      <c r="CN1620">
        <f t="shared" si="186"/>
        <v>1.7735476937400556</v>
      </c>
    </row>
    <row r="1621" spans="4:92" x14ac:dyDescent="0.35">
      <c r="D1621">
        <v>0.110017</v>
      </c>
      <c r="E1621">
        <v>15.3072</v>
      </c>
      <c r="F1621">
        <v>11.514200000000001</v>
      </c>
      <c r="G1621">
        <v>14.985300000000001</v>
      </c>
      <c r="I1621">
        <v>0.110017</v>
      </c>
      <c r="J1621">
        <f t="shared" si="182"/>
        <v>2.7167904835796643E-2</v>
      </c>
      <c r="K1621">
        <v>6.1108625798093202E-2</v>
      </c>
      <c r="L1621">
        <v>4.9266766008893952E-2</v>
      </c>
      <c r="N1621">
        <v>0.110017</v>
      </c>
      <c r="O1621">
        <f t="shared" si="183"/>
        <v>6.1108625798093202E-2</v>
      </c>
      <c r="Q1621">
        <v>0.110017</v>
      </c>
      <c r="R1621">
        <f t="shared" si="184"/>
        <v>4.9266766008893952E-2</v>
      </c>
      <c r="CH1621">
        <v>0.101843</v>
      </c>
      <c r="CI1621">
        <v>18.915099999999999</v>
      </c>
      <c r="CJ1621">
        <f t="shared" si="185"/>
        <v>1470.0627511771484</v>
      </c>
      <c r="CL1621">
        <v>0.101843</v>
      </c>
      <c r="CM1621">
        <v>2.324E-2</v>
      </c>
      <c r="CN1621">
        <f t="shared" si="186"/>
        <v>1.806189675833431</v>
      </c>
    </row>
    <row r="1622" spans="4:92" x14ac:dyDescent="0.35">
      <c r="D1622">
        <v>0.111441</v>
      </c>
      <c r="E1622">
        <v>15.495200000000001</v>
      </c>
      <c r="F1622">
        <v>12.3116</v>
      </c>
      <c r="G1622">
        <v>15.1081</v>
      </c>
      <c r="I1622">
        <v>0.111441</v>
      </c>
      <c r="J1622">
        <f t="shared" si="182"/>
        <v>2.7501575664500118E-2</v>
      </c>
      <c r="K1622">
        <v>6.5340619181167972E-2</v>
      </c>
      <c r="L1622">
        <v>4.9670492251671347E-2</v>
      </c>
      <c r="N1622">
        <v>0.111441</v>
      </c>
      <c r="O1622">
        <f t="shared" si="183"/>
        <v>6.5340619181167972E-2</v>
      </c>
      <c r="Q1622">
        <v>0.111441</v>
      </c>
      <c r="R1622">
        <f t="shared" si="184"/>
        <v>4.9670492251671347E-2</v>
      </c>
      <c r="CH1622">
        <v>0.103161</v>
      </c>
      <c r="CI1622">
        <v>19.711400000000001</v>
      </c>
      <c r="CJ1622">
        <f t="shared" si="185"/>
        <v>1531.9503948460883</v>
      </c>
      <c r="CL1622">
        <v>0.103161</v>
      </c>
      <c r="CM1622">
        <v>1.7840000000000002E-2</v>
      </c>
      <c r="CN1622">
        <f t="shared" si="186"/>
        <v>1.3865070489186062</v>
      </c>
    </row>
    <row r="1623" spans="4:92" x14ac:dyDescent="0.35">
      <c r="D1623">
        <v>0.112884</v>
      </c>
      <c r="E1623">
        <v>15.847099999999999</v>
      </c>
      <c r="F1623">
        <v>12.781599999999999</v>
      </c>
      <c r="G1623">
        <v>15.359500000000001</v>
      </c>
      <c r="I1623">
        <v>0.112884</v>
      </c>
      <c r="J1623">
        <f t="shared" si="182"/>
        <v>2.8126143561419008E-2</v>
      </c>
      <c r="K1623">
        <v>6.7835022103221065E-2</v>
      </c>
      <c r="L1623">
        <v>5.0497013240549518E-2</v>
      </c>
      <c r="N1623">
        <v>0.112884</v>
      </c>
      <c r="O1623">
        <f t="shared" si="183"/>
        <v>6.7835022103221065E-2</v>
      </c>
      <c r="Q1623">
        <v>0.112884</v>
      </c>
      <c r="R1623">
        <f t="shared" si="184"/>
        <v>5.0497013240549518E-2</v>
      </c>
      <c r="CH1623">
        <v>0.10449700000000001</v>
      </c>
      <c r="CI1623">
        <v>22.195599999999999</v>
      </c>
      <c r="CJ1623">
        <f t="shared" si="185"/>
        <v>1725.0199470279044</v>
      </c>
      <c r="CL1623">
        <v>0.10449700000000001</v>
      </c>
      <c r="CM1623">
        <v>2.07E-2</v>
      </c>
      <c r="CN1623">
        <f t="shared" si="186"/>
        <v>1.6087834031734949</v>
      </c>
    </row>
    <row r="1624" spans="4:92" x14ac:dyDescent="0.35">
      <c r="D1624">
        <v>0.114346</v>
      </c>
      <c r="E1624">
        <v>16.171099999999999</v>
      </c>
      <c r="F1624">
        <v>13.736700000000001</v>
      </c>
      <c r="G1624">
        <v>15.031000000000001</v>
      </c>
      <c r="I1624">
        <v>0.114346</v>
      </c>
      <c r="J1624">
        <f t="shared" si="182"/>
        <v>2.8701193287482434E-2</v>
      </c>
      <c r="K1624">
        <v>7.290396727524856E-2</v>
      </c>
      <c r="L1624">
        <v>4.9417012664390102E-2</v>
      </c>
      <c r="N1624">
        <v>0.114346</v>
      </c>
      <c r="O1624">
        <f t="shared" si="183"/>
        <v>7.290396727524856E-2</v>
      </c>
      <c r="Q1624">
        <v>0.114346</v>
      </c>
      <c r="R1624">
        <f t="shared" si="184"/>
        <v>4.9417012664390102E-2</v>
      </c>
      <c r="CH1624">
        <v>0.105851</v>
      </c>
      <c r="CI1624">
        <v>23.672799999999999</v>
      </c>
      <c r="CJ1624">
        <f t="shared" si="185"/>
        <v>1839.8264611906043</v>
      </c>
      <c r="CL1624">
        <v>0.105851</v>
      </c>
      <c r="CM1624">
        <v>1.787E-2</v>
      </c>
      <c r="CN1624">
        <f t="shared" si="186"/>
        <v>1.388838619068133</v>
      </c>
    </row>
    <row r="1625" spans="4:92" x14ac:dyDescent="0.35">
      <c r="D1625">
        <v>0.115827</v>
      </c>
      <c r="E1625">
        <v>15.791700000000001</v>
      </c>
      <c r="F1625">
        <v>14.3894</v>
      </c>
      <c r="G1625">
        <v>15.5002</v>
      </c>
      <c r="I1625">
        <v>0.115827</v>
      </c>
      <c r="J1625">
        <f t="shared" si="182"/>
        <v>2.8027817157641497E-2</v>
      </c>
      <c r="K1625">
        <v>7.6368002992746556E-2</v>
      </c>
      <c r="L1625">
        <v>5.0959588829790396E-2</v>
      </c>
      <c r="N1625">
        <v>0.115827</v>
      </c>
      <c r="O1625">
        <f t="shared" si="183"/>
        <v>7.6368002992746556E-2</v>
      </c>
      <c r="Q1625">
        <v>0.115827</v>
      </c>
      <c r="R1625">
        <f t="shared" si="184"/>
        <v>5.0959588829790396E-2</v>
      </c>
      <c r="CH1625">
        <v>0.107221</v>
      </c>
      <c r="CI1625">
        <v>24.095099999999999</v>
      </c>
      <c r="CJ1625">
        <f t="shared" si="185"/>
        <v>1872.6471969954432</v>
      </c>
      <c r="CL1625">
        <v>0.107221</v>
      </c>
      <c r="CM1625">
        <v>2.0570000000000001E-2</v>
      </c>
      <c r="CN1625">
        <f t="shared" si="186"/>
        <v>1.5986799325255454</v>
      </c>
    </row>
    <row r="1626" spans="4:92" x14ac:dyDescent="0.35">
      <c r="D1626">
        <v>0.117327</v>
      </c>
      <c r="E1626">
        <v>15.8421</v>
      </c>
      <c r="F1626">
        <v>15.1533</v>
      </c>
      <c r="G1626">
        <v>15.4473</v>
      </c>
      <c r="I1626">
        <v>0.117327</v>
      </c>
      <c r="J1626">
        <f t="shared" si="182"/>
        <v>2.8117269337251363E-2</v>
      </c>
      <c r="K1626">
        <v>8.0422203827121799E-2</v>
      </c>
      <c r="L1626">
        <v>5.0785670928789384E-2</v>
      </c>
      <c r="N1626">
        <v>0.117327</v>
      </c>
      <c r="O1626">
        <f t="shared" si="183"/>
        <v>8.0422203827121799E-2</v>
      </c>
      <c r="Q1626">
        <v>0.117327</v>
      </c>
      <c r="R1626">
        <f t="shared" si="184"/>
        <v>5.0785670928789384E-2</v>
      </c>
      <c r="CH1626">
        <v>0.10861</v>
      </c>
      <c r="CI1626">
        <v>25.541699999999999</v>
      </c>
      <c r="CJ1626">
        <f t="shared" si="185"/>
        <v>1985.0755096056257</v>
      </c>
      <c r="CL1626">
        <v>0.10861</v>
      </c>
      <c r="CM1626">
        <v>1.8530000000000001E-2</v>
      </c>
      <c r="CN1626">
        <f t="shared" si="186"/>
        <v>1.4401331623577227</v>
      </c>
    </row>
    <row r="1627" spans="4:92" x14ac:dyDescent="0.35">
      <c r="D1627">
        <v>0.11884599999999999</v>
      </c>
      <c r="E1627">
        <v>15.8063</v>
      </c>
      <c r="F1627">
        <v>15.597</v>
      </c>
      <c r="G1627">
        <v>15.701000000000001</v>
      </c>
      <c r="I1627">
        <v>0.11884599999999999</v>
      </c>
      <c r="J1627">
        <f t="shared" si="182"/>
        <v>2.805372989221102E-2</v>
      </c>
      <c r="K1627">
        <v>8.2777026330345102E-2</v>
      </c>
      <c r="L1627">
        <v>5.1619753565537156E-2</v>
      </c>
      <c r="N1627">
        <v>0.11884599999999999</v>
      </c>
      <c r="O1627">
        <f t="shared" si="183"/>
        <v>8.2777026330345102E-2</v>
      </c>
      <c r="Q1627">
        <v>0.11884599999999999</v>
      </c>
      <c r="R1627">
        <f t="shared" si="184"/>
        <v>5.1619753565537156E-2</v>
      </c>
      <c r="CH1627">
        <v>0.110017</v>
      </c>
      <c r="CI1627">
        <v>26.314900000000002</v>
      </c>
      <c r="CJ1627">
        <f t="shared" si="185"/>
        <v>2045.16784425943</v>
      </c>
      <c r="CL1627">
        <v>0.110017</v>
      </c>
      <c r="CM1627">
        <v>1.8329999999999999E-2</v>
      </c>
      <c r="CN1627">
        <f t="shared" si="186"/>
        <v>1.4245893613608773</v>
      </c>
    </row>
    <row r="1628" spans="4:92" x14ac:dyDescent="0.35">
      <c r="D1628">
        <v>0.12038500000000001</v>
      </c>
      <c r="E1628">
        <v>15.823499999999999</v>
      </c>
      <c r="F1628">
        <v>16.596</v>
      </c>
      <c r="G1628">
        <v>15.547499999999999</v>
      </c>
      <c r="I1628">
        <v>0.12038500000000001</v>
      </c>
      <c r="J1628">
        <f t="shared" si="182"/>
        <v>2.8084257223347717E-2</v>
      </c>
      <c r="K1628">
        <v>8.8078959349772876E-2</v>
      </c>
      <c r="L1628">
        <v>5.111509576206541E-2</v>
      </c>
      <c r="N1628">
        <v>0.12038500000000001</v>
      </c>
      <c r="O1628">
        <f t="shared" si="183"/>
        <v>8.8078959349772876E-2</v>
      </c>
      <c r="Q1628">
        <v>0.12038500000000001</v>
      </c>
      <c r="R1628">
        <f t="shared" si="184"/>
        <v>5.111509576206541E-2</v>
      </c>
      <c r="CH1628">
        <v>0.111441</v>
      </c>
      <c r="CI1628">
        <v>26.8629</v>
      </c>
      <c r="CJ1628">
        <f t="shared" si="185"/>
        <v>2087.7578589907862</v>
      </c>
      <c r="CL1628">
        <v>0.111441</v>
      </c>
      <c r="CM1628">
        <v>2.2689999999999998E-2</v>
      </c>
      <c r="CN1628">
        <f t="shared" si="186"/>
        <v>1.7634442230921061</v>
      </c>
    </row>
    <row r="1629" spans="4:92" x14ac:dyDescent="0.35">
      <c r="D1629">
        <v>0.121944</v>
      </c>
      <c r="E1629">
        <v>15.7973</v>
      </c>
      <c r="F1629">
        <v>16.406400000000001</v>
      </c>
      <c r="G1629">
        <v>15.750500000000001</v>
      </c>
      <c r="I1629">
        <v>0.121944</v>
      </c>
      <c r="J1629">
        <f t="shared" si="182"/>
        <v>2.8037756288709258E-2</v>
      </c>
      <c r="K1629">
        <v>8.707270659653614E-2</v>
      </c>
      <c r="L1629">
        <v>5.1782493378383095E-2</v>
      </c>
      <c r="N1629">
        <v>0.121944</v>
      </c>
      <c r="O1629">
        <f t="shared" si="183"/>
        <v>8.707270659653614E-2</v>
      </c>
      <c r="Q1629">
        <v>0.121944</v>
      </c>
      <c r="R1629">
        <f t="shared" si="184"/>
        <v>5.1782493378383095E-2</v>
      </c>
      <c r="CH1629">
        <v>0.112884</v>
      </c>
      <c r="CI1629">
        <v>27.9071</v>
      </c>
      <c r="CJ1629">
        <f t="shared" si="185"/>
        <v>2168.9120439953158</v>
      </c>
      <c r="CL1629">
        <v>0.112884</v>
      </c>
      <c r="CM1629">
        <v>1.9709999999999998E-2</v>
      </c>
      <c r="CN1629">
        <f t="shared" si="186"/>
        <v>1.5318415882391101</v>
      </c>
    </row>
    <row r="1630" spans="4:92" x14ac:dyDescent="0.35">
      <c r="D1630">
        <v>0.12352399999999999</v>
      </c>
      <c r="E1630">
        <v>15.881</v>
      </c>
      <c r="F1630">
        <v>17.121400000000001</v>
      </c>
      <c r="G1630">
        <v>15.7852</v>
      </c>
      <c r="I1630">
        <v>0.12352399999999999</v>
      </c>
      <c r="J1630">
        <f t="shared" si="182"/>
        <v>2.8186310801275642E-2</v>
      </c>
      <c r="K1630">
        <v>9.086738338221266E-2</v>
      </c>
      <c r="L1630">
        <v>5.1896575631024587E-2</v>
      </c>
      <c r="N1630">
        <v>0.12352399999999999</v>
      </c>
      <c r="O1630">
        <f t="shared" si="183"/>
        <v>9.086738338221266E-2</v>
      </c>
      <c r="Q1630">
        <v>0.12352399999999999</v>
      </c>
      <c r="R1630">
        <f t="shared" si="184"/>
        <v>5.1896575631024587E-2</v>
      </c>
      <c r="CH1630">
        <v>0.114346</v>
      </c>
      <c r="CI1630">
        <v>27.7761</v>
      </c>
      <c r="CJ1630">
        <f t="shared" si="185"/>
        <v>2158.7308543423819</v>
      </c>
      <c r="CL1630">
        <v>0.114346</v>
      </c>
      <c r="CM1630">
        <v>1.5599999999999999E-2</v>
      </c>
      <c r="CN1630">
        <f t="shared" si="186"/>
        <v>1.2124164777539381</v>
      </c>
    </row>
    <row r="1631" spans="4:92" x14ac:dyDescent="0.35">
      <c r="D1631">
        <v>0.12512300000000001</v>
      </c>
      <c r="E1631">
        <v>16.242999999999999</v>
      </c>
      <c r="F1631">
        <v>17.751899999999999</v>
      </c>
      <c r="G1631">
        <v>15.658899999999999</v>
      </c>
      <c r="I1631">
        <v>0.12512300000000001</v>
      </c>
      <c r="J1631">
        <f t="shared" si="182"/>
        <v>2.8828804631013175E-2</v>
      </c>
      <c r="K1631">
        <v>9.4213598365945589E-2</v>
      </c>
      <c r="L1631">
        <v>5.1481342532793441E-2</v>
      </c>
      <c r="N1631">
        <v>0.12512300000000001</v>
      </c>
      <c r="O1631">
        <f t="shared" si="183"/>
        <v>9.4213598365945589E-2</v>
      </c>
      <c r="Q1631">
        <v>0.12512300000000001</v>
      </c>
      <c r="R1631">
        <f t="shared" si="184"/>
        <v>5.1481342532793441E-2</v>
      </c>
      <c r="CH1631">
        <v>0.115827</v>
      </c>
      <c r="CI1631">
        <v>29.096</v>
      </c>
      <c r="CJ1631">
        <f t="shared" si="185"/>
        <v>2261.3121690210633</v>
      </c>
      <c r="CL1631">
        <v>0.115827</v>
      </c>
      <c r="CM1631">
        <v>1.8679999999999999E-2</v>
      </c>
      <c r="CN1631">
        <f t="shared" si="186"/>
        <v>1.4517910131053566</v>
      </c>
    </row>
    <row r="1632" spans="4:92" x14ac:dyDescent="0.35">
      <c r="D1632">
        <v>0.126744</v>
      </c>
      <c r="E1632">
        <v>16.112100000000002</v>
      </c>
      <c r="F1632">
        <v>17.413</v>
      </c>
      <c r="G1632">
        <v>15.5748</v>
      </c>
      <c r="I1632">
        <v>0.126744</v>
      </c>
      <c r="J1632">
        <f t="shared" si="182"/>
        <v>2.859647744230422E-2</v>
      </c>
      <c r="K1632">
        <v>9.2414974641937514E-2</v>
      </c>
      <c r="L1632">
        <v>5.120484923460468E-2</v>
      </c>
      <c r="N1632">
        <v>0.126744</v>
      </c>
      <c r="O1632">
        <f t="shared" si="183"/>
        <v>9.2414974641937514E-2</v>
      </c>
      <c r="Q1632">
        <v>0.126744</v>
      </c>
      <c r="R1632">
        <f t="shared" si="184"/>
        <v>5.120484923460468E-2</v>
      </c>
      <c r="CH1632">
        <v>0.117327</v>
      </c>
      <c r="CI1632">
        <v>29.511399999999998</v>
      </c>
      <c r="CJ1632">
        <f t="shared" si="185"/>
        <v>2293.596643691511</v>
      </c>
      <c r="CL1632">
        <v>0.117327</v>
      </c>
      <c r="CM1632">
        <v>1.806E-2</v>
      </c>
      <c r="CN1632">
        <f t="shared" si="186"/>
        <v>1.403605230015136</v>
      </c>
    </row>
    <row r="1633" spans="4:92" x14ac:dyDescent="0.35">
      <c r="D1633">
        <v>0.128385</v>
      </c>
      <c r="E1633">
        <v>16.115400000000001</v>
      </c>
      <c r="F1633">
        <v>18.056899999999999</v>
      </c>
      <c r="G1633">
        <v>15.682700000000001</v>
      </c>
      <c r="I1633">
        <v>0.128385</v>
      </c>
      <c r="J1633">
        <f t="shared" si="182"/>
        <v>2.8602334430254867E-2</v>
      </c>
      <c r="K1633">
        <v>9.5832306645150259E-2</v>
      </c>
      <c r="L1633">
        <v>5.1559589149878959E-2</v>
      </c>
      <c r="N1633">
        <v>0.128385</v>
      </c>
      <c r="O1633">
        <f t="shared" si="183"/>
        <v>9.5832306645150259E-2</v>
      </c>
      <c r="Q1633">
        <v>0.128385</v>
      </c>
      <c r="R1633">
        <f t="shared" si="184"/>
        <v>5.1559589149878959E-2</v>
      </c>
      <c r="CH1633">
        <v>0.11884599999999999</v>
      </c>
      <c r="CI1633">
        <v>30.288799999999998</v>
      </c>
      <c r="CJ1633">
        <f t="shared" si="185"/>
        <v>2354.0153981662488</v>
      </c>
      <c r="CL1633">
        <v>0.11884599999999999</v>
      </c>
      <c r="CM1633">
        <v>2.0820000000000002E-2</v>
      </c>
      <c r="CN1633">
        <f t="shared" si="186"/>
        <v>1.6181096837716022</v>
      </c>
    </row>
    <row r="1634" spans="4:92" x14ac:dyDescent="0.35">
      <c r="D1634">
        <v>0.130048</v>
      </c>
      <c r="E1634">
        <v>16.0671</v>
      </c>
      <c r="F1634">
        <v>18.204699999999999</v>
      </c>
      <c r="G1634">
        <v>15.5655</v>
      </c>
      <c r="I1634">
        <v>0.130048</v>
      </c>
      <c r="J1634">
        <f t="shared" si="182"/>
        <v>2.8516609424795409E-2</v>
      </c>
      <c r="K1634">
        <v>9.6616716755532059E-2</v>
      </c>
      <c r="L1634">
        <v>5.1174273875827563E-2</v>
      </c>
      <c r="N1634">
        <v>0.130048</v>
      </c>
      <c r="O1634">
        <f t="shared" si="183"/>
        <v>9.6616716755532059E-2</v>
      </c>
      <c r="Q1634">
        <v>0.130048</v>
      </c>
      <c r="R1634">
        <f t="shared" si="184"/>
        <v>5.1174273875827563E-2</v>
      </c>
      <c r="CH1634">
        <v>0.12038500000000001</v>
      </c>
      <c r="CI1634">
        <v>29.927900000000001</v>
      </c>
      <c r="CJ1634">
        <f t="shared" si="185"/>
        <v>2325.9666092674415</v>
      </c>
      <c r="CL1634">
        <v>0.12038500000000001</v>
      </c>
      <c r="CM1634">
        <v>1.8280000000000001E-2</v>
      </c>
      <c r="CN1634">
        <f t="shared" si="186"/>
        <v>1.4207034111116661</v>
      </c>
    </row>
    <row r="1635" spans="4:92" x14ac:dyDescent="0.35">
      <c r="D1635">
        <v>0.13173199999999999</v>
      </c>
      <c r="E1635">
        <v>16.201499999999999</v>
      </c>
      <c r="F1635">
        <v>18.138500000000001</v>
      </c>
      <c r="G1635">
        <v>16.122</v>
      </c>
      <c r="I1635">
        <v>0.13173199999999999</v>
      </c>
      <c r="J1635">
        <f t="shared" si="182"/>
        <v>2.8755148570421721E-2</v>
      </c>
      <c r="K1635">
        <v>9.626537745034075E-2</v>
      </c>
      <c r="L1635">
        <v>5.3003863892974339E-2</v>
      </c>
      <c r="N1635">
        <v>0.13173199999999999</v>
      </c>
      <c r="O1635">
        <f t="shared" si="183"/>
        <v>9.626537745034075E-2</v>
      </c>
      <c r="Q1635">
        <v>0.13173199999999999</v>
      </c>
      <c r="R1635">
        <f t="shared" si="184"/>
        <v>5.3003863892974339E-2</v>
      </c>
      <c r="CH1635">
        <v>0.121944</v>
      </c>
      <c r="CI1635">
        <v>30.947800000000001</v>
      </c>
      <c r="CJ1635">
        <f t="shared" si="185"/>
        <v>2405.2322224508544</v>
      </c>
      <c r="CL1635">
        <v>0.121944</v>
      </c>
      <c r="CM1635">
        <v>1.7930000000000001E-2</v>
      </c>
      <c r="CN1635">
        <f t="shared" si="186"/>
        <v>1.3935017593671868</v>
      </c>
    </row>
    <row r="1636" spans="4:92" x14ac:dyDescent="0.35">
      <c r="D1636">
        <v>0.133438</v>
      </c>
      <c r="E1636">
        <v>16.013000000000002</v>
      </c>
      <c r="F1636">
        <v>18.775200000000002</v>
      </c>
      <c r="G1636">
        <v>16.016300000000001</v>
      </c>
      <c r="I1636">
        <v>0.133438</v>
      </c>
      <c r="J1636">
        <f t="shared" si="182"/>
        <v>2.8420590319301487E-2</v>
      </c>
      <c r="K1636">
        <v>9.9644497323683759E-2</v>
      </c>
      <c r="L1636">
        <v>5.265635685827099E-2</v>
      </c>
      <c r="N1636">
        <v>0.133438</v>
      </c>
      <c r="O1636">
        <f t="shared" si="183"/>
        <v>9.9644497323683759E-2</v>
      </c>
      <c r="Q1636">
        <v>0.133438</v>
      </c>
      <c r="R1636">
        <f t="shared" si="184"/>
        <v>5.265635685827099E-2</v>
      </c>
      <c r="CH1636">
        <v>0.12352399999999999</v>
      </c>
      <c r="CI1636">
        <v>30.412500000000001</v>
      </c>
      <c r="CJ1636">
        <f t="shared" si="185"/>
        <v>2363.629239082798</v>
      </c>
      <c r="CL1636">
        <v>0.12352399999999999</v>
      </c>
      <c r="CM1636">
        <v>2.2380000000000001E-2</v>
      </c>
      <c r="CN1636">
        <f t="shared" si="186"/>
        <v>1.7393513315469959</v>
      </c>
    </row>
    <row r="1637" spans="4:92" x14ac:dyDescent="0.35">
      <c r="D1637">
        <v>0.13516600000000001</v>
      </c>
      <c r="E1637">
        <v>15.8215</v>
      </c>
      <c r="F1637">
        <v>18.899699999999999</v>
      </c>
      <c r="G1637">
        <v>15.872999999999999</v>
      </c>
      <c r="I1637">
        <v>0.13516600000000001</v>
      </c>
      <c r="J1637">
        <f t="shared" si="182"/>
        <v>2.8080707533680662E-2</v>
      </c>
      <c r="K1637">
        <v>0.10030524873601485</v>
      </c>
      <c r="L1637">
        <v>5.218523331926446E-2</v>
      </c>
      <c r="N1637">
        <v>0.13516600000000001</v>
      </c>
      <c r="O1637">
        <f t="shared" si="183"/>
        <v>0.10030524873601485</v>
      </c>
      <c r="Q1637">
        <v>0.13516600000000001</v>
      </c>
      <c r="R1637">
        <f t="shared" si="184"/>
        <v>5.218523331926446E-2</v>
      </c>
      <c r="CH1637">
        <v>0.12512300000000001</v>
      </c>
      <c r="CI1637">
        <v>30.9541</v>
      </c>
      <c r="CJ1637">
        <f t="shared" si="185"/>
        <v>2405.7218521822551</v>
      </c>
      <c r="CL1637">
        <v>0.12512300000000001</v>
      </c>
      <c r="CM1637">
        <v>1.7680000000000001E-2</v>
      </c>
      <c r="CN1637">
        <f t="shared" si="186"/>
        <v>1.37407200812113</v>
      </c>
    </row>
    <row r="1638" spans="4:92" x14ac:dyDescent="0.35">
      <c r="D1638">
        <v>0.13691600000000001</v>
      </c>
      <c r="E1638">
        <v>16.037700000000001</v>
      </c>
      <c r="F1638">
        <v>18.613199999999999</v>
      </c>
      <c r="G1638">
        <v>16.236899999999999</v>
      </c>
      <c r="I1638">
        <v>0.13691600000000001</v>
      </c>
      <c r="J1638">
        <f t="shared" si="182"/>
        <v>2.8464428986689654E-2</v>
      </c>
      <c r="K1638">
        <v>9.8784724401614385E-2</v>
      </c>
      <c r="L1638">
        <v>5.3381617519156113E-2</v>
      </c>
      <c r="N1638">
        <v>0.13691600000000001</v>
      </c>
      <c r="O1638">
        <f t="shared" si="183"/>
        <v>9.8784724401614385E-2</v>
      </c>
      <c r="Q1638">
        <v>0.13691600000000001</v>
      </c>
      <c r="R1638">
        <f t="shared" si="184"/>
        <v>5.3381617519156113E-2</v>
      </c>
      <c r="CH1638">
        <v>0.126744</v>
      </c>
      <c r="CI1638">
        <v>31.470300000000002</v>
      </c>
      <c r="CJ1638">
        <f t="shared" si="185"/>
        <v>2445.8404025551131</v>
      </c>
      <c r="CL1638">
        <v>0.126744</v>
      </c>
      <c r="CM1638">
        <v>1.9449999999999999E-2</v>
      </c>
      <c r="CN1638">
        <f t="shared" si="186"/>
        <v>1.5116346469432111</v>
      </c>
    </row>
    <row r="1639" spans="4:92" x14ac:dyDescent="0.35">
      <c r="D1639">
        <v>0.13868900000000001</v>
      </c>
      <c r="E1639">
        <v>15.8903</v>
      </c>
      <c r="F1639">
        <v>19.209299999999999</v>
      </c>
      <c r="G1639">
        <v>15.8253</v>
      </c>
      <c r="I1639">
        <v>0.13868900000000001</v>
      </c>
      <c r="J1639">
        <f t="shared" si="182"/>
        <v>2.8202816858227463E-2</v>
      </c>
      <c r="K1639">
        <v>0.10194837032041407</v>
      </c>
      <c r="L1639">
        <v>5.2028411317794732E-2</v>
      </c>
      <c r="N1639">
        <v>0.13868900000000001</v>
      </c>
      <c r="O1639">
        <f t="shared" si="183"/>
        <v>0.10194837032041407</v>
      </c>
      <c r="Q1639">
        <v>0.13868900000000001</v>
      </c>
      <c r="R1639">
        <f t="shared" si="184"/>
        <v>5.2028411317794732E-2</v>
      </c>
      <c r="CH1639">
        <v>0.128385</v>
      </c>
      <c r="CI1639">
        <v>31.4922</v>
      </c>
      <c r="CJ1639">
        <f t="shared" si="185"/>
        <v>2447.5424487642672</v>
      </c>
      <c r="CL1639">
        <v>0.128385</v>
      </c>
      <c r="CM1639">
        <v>2.3099999999999999E-2</v>
      </c>
      <c r="CN1639">
        <f t="shared" si="186"/>
        <v>1.795309015135639</v>
      </c>
    </row>
    <row r="1640" spans="4:92" x14ac:dyDescent="0.35">
      <c r="D1640">
        <v>0.140485</v>
      </c>
      <c r="E1640">
        <v>15.8765</v>
      </c>
      <c r="F1640">
        <v>19.395800000000001</v>
      </c>
      <c r="G1640">
        <v>15.7239</v>
      </c>
      <c r="I1640">
        <v>0.140485</v>
      </c>
      <c r="J1640">
        <f t="shared" si="182"/>
        <v>2.8178323999524763E-2</v>
      </c>
      <c r="K1640">
        <v>0.10293817062884579</v>
      </c>
      <c r="L1640">
        <v>5.169504127693457E-2</v>
      </c>
      <c r="N1640">
        <v>0.140485</v>
      </c>
      <c r="O1640">
        <f t="shared" si="183"/>
        <v>0.10293817062884579</v>
      </c>
      <c r="Q1640">
        <v>0.140485</v>
      </c>
      <c r="R1640">
        <f t="shared" si="184"/>
        <v>5.169504127693457E-2</v>
      </c>
      <c r="CH1640">
        <v>0.130048</v>
      </c>
      <c r="CI1640">
        <v>31.251000000000001</v>
      </c>
      <c r="CJ1640">
        <f t="shared" si="185"/>
        <v>2428.796624762072</v>
      </c>
      <c r="CL1640">
        <v>0.130048</v>
      </c>
      <c r="CM1640">
        <v>1.8630000000000001E-2</v>
      </c>
      <c r="CN1640">
        <f t="shared" si="186"/>
        <v>1.4479050628561454</v>
      </c>
    </row>
    <row r="1641" spans="4:92" x14ac:dyDescent="0.35">
      <c r="D1641">
        <v>0.14230499999999999</v>
      </c>
      <c r="E1641">
        <v>16.368600000000001</v>
      </c>
      <c r="F1641">
        <v>19.2362</v>
      </c>
      <c r="G1641">
        <v>16.198799999999999</v>
      </c>
      <c r="I1641">
        <v>0.14230499999999999</v>
      </c>
      <c r="J1641">
        <f t="shared" si="182"/>
        <v>2.9051725142104433E-2</v>
      </c>
      <c r="K1641">
        <v>0.10209113508339968</v>
      </c>
      <c r="L1641">
        <v>5.325635717835954E-2</v>
      </c>
      <c r="N1641">
        <v>0.14230499999999999</v>
      </c>
      <c r="O1641">
        <f t="shared" si="183"/>
        <v>0.10209113508339968</v>
      </c>
      <c r="Q1641">
        <v>0.14230499999999999</v>
      </c>
      <c r="R1641">
        <f t="shared" si="184"/>
        <v>5.325635717835954E-2</v>
      </c>
      <c r="CH1641">
        <v>0.13173199999999999</v>
      </c>
      <c r="CI1641">
        <v>32.0959</v>
      </c>
      <c r="CJ1641">
        <f t="shared" si="185"/>
        <v>2494.4614120732449</v>
      </c>
      <c r="CL1641">
        <v>0.13173199999999999</v>
      </c>
      <c r="CM1641">
        <v>1.992E-2</v>
      </c>
      <c r="CN1641">
        <f t="shared" si="186"/>
        <v>1.548162579285798</v>
      </c>
    </row>
    <row r="1642" spans="4:92" x14ac:dyDescent="0.35">
      <c r="D1642">
        <v>0.144147</v>
      </c>
      <c r="E1642">
        <v>16.107600000000001</v>
      </c>
      <c r="F1642">
        <v>19.317699999999999</v>
      </c>
      <c r="G1642">
        <v>15.6043</v>
      </c>
      <c r="I1642">
        <v>0.144147</v>
      </c>
      <c r="J1642">
        <f t="shared" si="182"/>
        <v>2.8588490640553341E-2</v>
      </c>
      <c r="K1642">
        <v>0.10252367516456419</v>
      </c>
      <c r="L1642">
        <v>5.1301835587714888E-2</v>
      </c>
      <c r="N1642">
        <v>0.144147</v>
      </c>
      <c r="O1642">
        <f t="shared" si="183"/>
        <v>0.10252367516456419</v>
      </c>
      <c r="Q1642">
        <v>0.144147</v>
      </c>
      <c r="R1642">
        <f t="shared" si="184"/>
        <v>5.1301835587714888E-2</v>
      </c>
      <c r="CH1642">
        <v>0.133438</v>
      </c>
      <c r="CI1642">
        <v>31.055900000000001</v>
      </c>
      <c r="CJ1642">
        <f t="shared" si="185"/>
        <v>2413.6336468896493</v>
      </c>
      <c r="CL1642">
        <v>0.133438</v>
      </c>
      <c r="CM1642">
        <v>2.1819999999999999E-2</v>
      </c>
      <c r="CN1642">
        <f t="shared" si="186"/>
        <v>1.6958286887558287</v>
      </c>
    </row>
    <row r="1643" spans="4:92" x14ac:dyDescent="0.35">
      <c r="D1643">
        <v>0.146014</v>
      </c>
      <c r="E1643">
        <v>16.241</v>
      </c>
      <c r="F1643">
        <v>19.263500000000001</v>
      </c>
      <c r="G1643">
        <v>16.103000000000002</v>
      </c>
      <c r="I1643">
        <v>0.146014</v>
      </c>
      <c r="J1643">
        <f t="shared" si="182"/>
        <v>2.8825254941346117E-2</v>
      </c>
      <c r="K1643">
        <v>0.10223602274248914</v>
      </c>
      <c r="L1643">
        <v>5.294139810622539E-2</v>
      </c>
      <c r="N1643">
        <v>0.146014</v>
      </c>
      <c r="O1643">
        <f t="shared" si="183"/>
        <v>0.10223602274248914</v>
      </c>
      <c r="Q1643">
        <v>0.146014</v>
      </c>
      <c r="R1643">
        <f t="shared" si="184"/>
        <v>5.294139810622539E-2</v>
      </c>
      <c r="CH1643">
        <v>0.13516600000000001</v>
      </c>
      <c r="CI1643">
        <v>31.371400000000001</v>
      </c>
      <c r="CJ1643">
        <f t="shared" si="185"/>
        <v>2438.1539929621727</v>
      </c>
      <c r="CL1643">
        <v>0.13516600000000001</v>
      </c>
      <c r="CM1643">
        <v>2.1059999999999999E-2</v>
      </c>
      <c r="CN1643">
        <f t="shared" si="186"/>
        <v>1.6367622449678163</v>
      </c>
    </row>
    <row r="1644" spans="4:92" x14ac:dyDescent="0.35">
      <c r="D1644">
        <v>0.14790500000000001</v>
      </c>
      <c r="E1644">
        <v>15.5715</v>
      </c>
      <c r="F1644">
        <v>19.586200000000002</v>
      </c>
      <c r="G1644">
        <v>15.599</v>
      </c>
      <c r="I1644">
        <v>0.14790500000000001</v>
      </c>
      <c r="J1644">
        <f t="shared" si="182"/>
        <v>2.7636996325298386E-2</v>
      </c>
      <c r="K1644">
        <v>0.10394866917429028</v>
      </c>
      <c r="L1644">
        <v>5.1284410920884919E-2</v>
      </c>
      <c r="N1644">
        <v>0.14790500000000001</v>
      </c>
      <c r="O1644">
        <f t="shared" si="183"/>
        <v>0.10394866917429028</v>
      </c>
      <c r="Q1644">
        <v>0.14790500000000001</v>
      </c>
      <c r="R1644">
        <f t="shared" si="184"/>
        <v>5.1284410920884919E-2</v>
      </c>
      <c r="CH1644">
        <v>0.13691600000000001</v>
      </c>
      <c r="CI1644">
        <v>31.340299999999999</v>
      </c>
      <c r="CJ1644">
        <f t="shared" si="185"/>
        <v>2435.7369319071631</v>
      </c>
      <c r="CL1644">
        <v>0.13691600000000001</v>
      </c>
      <c r="CM1644">
        <v>1.77E-2</v>
      </c>
      <c r="CN1644">
        <f t="shared" si="186"/>
        <v>1.3756263882208144</v>
      </c>
    </row>
    <row r="1645" spans="4:92" x14ac:dyDescent="0.35">
      <c r="D1645">
        <v>0.14982000000000001</v>
      </c>
      <c r="E1645">
        <v>15.5534</v>
      </c>
      <c r="F1645">
        <v>19.395299999999999</v>
      </c>
      <c r="G1645">
        <v>15.3329</v>
      </c>
      <c r="I1645">
        <v>0.14982000000000001</v>
      </c>
      <c r="J1645">
        <f t="shared" si="182"/>
        <v>2.760487163381151E-2</v>
      </c>
      <c r="K1645">
        <v>0.10293551700871593</v>
      </c>
      <c r="L1645">
        <v>5.0409561139100986E-2</v>
      </c>
      <c r="N1645">
        <v>0.14982000000000001</v>
      </c>
      <c r="O1645">
        <f t="shared" si="183"/>
        <v>0.10293551700871593</v>
      </c>
      <c r="Q1645">
        <v>0.14982000000000001</v>
      </c>
      <c r="R1645">
        <f t="shared" si="184"/>
        <v>5.0409561139100986E-2</v>
      </c>
      <c r="CH1645">
        <v>0.13868900000000001</v>
      </c>
      <c r="CI1645">
        <v>30.892700000000001</v>
      </c>
      <c r="CJ1645">
        <f t="shared" si="185"/>
        <v>2400.9499052762235</v>
      </c>
      <c r="CL1645">
        <v>0.13868900000000001</v>
      </c>
      <c r="CM1645">
        <v>1.6670000000000001E-2</v>
      </c>
      <c r="CN1645">
        <f t="shared" si="186"/>
        <v>1.2955758130870609</v>
      </c>
    </row>
    <row r="1646" spans="4:92" x14ac:dyDescent="0.35">
      <c r="D1646">
        <v>0.15176100000000001</v>
      </c>
      <c r="E1646">
        <v>15.486499999999999</v>
      </c>
      <c r="F1646">
        <v>19.1114</v>
      </c>
      <c r="G1646">
        <v>15.1256</v>
      </c>
      <c r="I1646">
        <v>0.15176100000000001</v>
      </c>
      <c r="J1646">
        <f t="shared" si="182"/>
        <v>2.7486134514448413E-2</v>
      </c>
      <c r="K1646">
        <v>0.10142879149899067</v>
      </c>
      <c r="L1646">
        <v>4.9728026528940115E-2</v>
      </c>
      <c r="N1646">
        <v>0.15176100000000001</v>
      </c>
      <c r="O1646">
        <f t="shared" si="183"/>
        <v>0.10142879149899067</v>
      </c>
      <c r="Q1646">
        <v>0.15176100000000001</v>
      </c>
      <c r="R1646">
        <f t="shared" si="184"/>
        <v>4.9728026528940115E-2</v>
      </c>
      <c r="CH1646">
        <v>0.140485</v>
      </c>
      <c r="CI1646">
        <v>31.978899999999999</v>
      </c>
      <c r="CJ1646">
        <f t="shared" si="185"/>
        <v>2485.3682884900904</v>
      </c>
      <c r="CL1646">
        <v>0.140485</v>
      </c>
      <c r="CM1646">
        <v>1.8630000000000001E-2</v>
      </c>
      <c r="CN1646">
        <f t="shared" si="186"/>
        <v>1.4479050628561454</v>
      </c>
    </row>
    <row r="1647" spans="4:92" x14ac:dyDescent="0.35">
      <c r="D1647">
        <v>0.153726</v>
      </c>
      <c r="E1647">
        <v>15.5413</v>
      </c>
      <c r="F1647">
        <v>19.148700000000002</v>
      </c>
      <c r="G1647">
        <v>15.480700000000001</v>
      </c>
      <c r="I1647">
        <v>0.153726</v>
      </c>
      <c r="J1647">
        <f t="shared" si="182"/>
        <v>2.7583396011325808E-2</v>
      </c>
      <c r="K1647">
        <v>0.10162675156067702</v>
      </c>
      <c r="L1647">
        <v>5.0895479206548064E-2</v>
      </c>
      <c r="N1647">
        <v>0.153726</v>
      </c>
      <c r="O1647">
        <f t="shared" si="183"/>
        <v>0.10162675156067702</v>
      </c>
      <c r="Q1647">
        <v>0.153726</v>
      </c>
      <c r="R1647">
        <f t="shared" si="184"/>
        <v>5.0895479206548064E-2</v>
      </c>
      <c r="CH1647">
        <v>0.14230499999999999</v>
      </c>
      <c r="CI1647">
        <v>31.8629</v>
      </c>
      <c r="CJ1647">
        <f t="shared" si="185"/>
        <v>2476.3528839119203</v>
      </c>
      <c r="CL1647">
        <v>0.14230499999999999</v>
      </c>
      <c r="CM1647">
        <v>2.0379999999999999E-2</v>
      </c>
      <c r="CN1647">
        <f t="shared" si="186"/>
        <v>1.5839133215785421</v>
      </c>
    </row>
    <row r="1648" spans="4:92" x14ac:dyDescent="0.35">
      <c r="D1648">
        <v>0.15571699999999999</v>
      </c>
      <c r="E1648">
        <v>15.9918</v>
      </c>
      <c r="F1648">
        <v>18.953499999999998</v>
      </c>
      <c r="G1648">
        <v>15.426600000000001</v>
      </c>
      <c r="I1648">
        <v>0.15571699999999999</v>
      </c>
      <c r="J1648">
        <f t="shared" si="182"/>
        <v>2.8382963608830667E-2</v>
      </c>
      <c r="K1648">
        <v>0.10059077826198602</v>
      </c>
      <c r="L1648">
        <v>5.0717616097962902E-2</v>
      </c>
      <c r="N1648">
        <v>0.15571699999999999</v>
      </c>
      <c r="O1648">
        <f t="shared" si="183"/>
        <v>0.10059077826198602</v>
      </c>
      <c r="Q1648">
        <v>0.15571699999999999</v>
      </c>
      <c r="R1648">
        <f t="shared" si="184"/>
        <v>5.0717616097962902E-2</v>
      </c>
      <c r="CH1648">
        <v>0.144147</v>
      </c>
      <c r="CI1648">
        <v>31.1523</v>
      </c>
      <c r="CJ1648">
        <f t="shared" si="185"/>
        <v>2421.1257589701286</v>
      </c>
      <c r="CL1648">
        <v>0.144147</v>
      </c>
      <c r="CM1648">
        <v>1.958E-2</v>
      </c>
      <c r="CN1648">
        <f t="shared" si="186"/>
        <v>1.5217381175911608</v>
      </c>
    </row>
    <row r="1649" spans="4:92" x14ac:dyDescent="0.35">
      <c r="D1649">
        <v>0.15773300000000001</v>
      </c>
      <c r="E1649">
        <v>15.650499999999999</v>
      </c>
      <c r="F1649">
        <v>18.973500000000001</v>
      </c>
      <c r="G1649">
        <v>15.685499999999999</v>
      </c>
      <c r="I1649">
        <v>0.15773300000000001</v>
      </c>
      <c r="J1649">
        <f t="shared" si="182"/>
        <v>2.7777209067147184E-2</v>
      </c>
      <c r="K1649">
        <v>0.10069692306717978</v>
      </c>
      <c r="L1649">
        <v>5.1568794634241959E-2</v>
      </c>
      <c r="N1649">
        <v>0.15773300000000001</v>
      </c>
      <c r="O1649">
        <f t="shared" si="183"/>
        <v>0.10069692306717978</v>
      </c>
      <c r="Q1649">
        <v>0.15773300000000001</v>
      </c>
      <c r="R1649">
        <f t="shared" si="184"/>
        <v>5.1568794634241959E-2</v>
      </c>
      <c r="CH1649">
        <v>0.146014</v>
      </c>
      <c r="CI1649">
        <v>31.420100000000001</v>
      </c>
      <c r="CJ1649">
        <f t="shared" si="185"/>
        <v>2441.9389085049047</v>
      </c>
      <c r="CL1649">
        <v>0.146014</v>
      </c>
      <c r="CM1649">
        <v>1.9060000000000001E-2</v>
      </c>
      <c r="CN1649">
        <f t="shared" si="186"/>
        <v>1.4813242349993629</v>
      </c>
    </row>
    <row r="1650" spans="4:92" x14ac:dyDescent="0.35">
      <c r="D1650">
        <v>0.159776</v>
      </c>
      <c r="E1650">
        <v>16.490600000000001</v>
      </c>
      <c r="F1650">
        <v>18.9316</v>
      </c>
      <c r="G1650">
        <v>16.0228</v>
      </c>
      <c r="I1650">
        <v>0.159776</v>
      </c>
      <c r="J1650">
        <f t="shared" si="182"/>
        <v>2.9268256211794984E-2</v>
      </c>
      <c r="K1650">
        <v>0.10047454970029887</v>
      </c>
      <c r="L1650">
        <v>5.2677726732685101E-2</v>
      </c>
      <c r="N1650">
        <v>0.159776</v>
      </c>
      <c r="O1650">
        <f t="shared" si="183"/>
        <v>0.10047454970029887</v>
      </c>
      <c r="Q1650">
        <v>0.159776</v>
      </c>
      <c r="R1650">
        <f t="shared" si="184"/>
        <v>5.2677726732685101E-2</v>
      </c>
      <c r="CH1650">
        <v>0.14790500000000001</v>
      </c>
      <c r="CI1650">
        <v>32.807600000000001</v>
      </c>
      <c r="CJ1650">
        <f t="shared" si="185"/>
        <v>2549.7740279205195</v>
      </c>
      <c r="CL1650">
        <v>0.14790500000000001</v>
      </c>
      <c r="CM1650">
        <v>2.0840000000000001E-2</v>
      </c>
      <c r="CN1650">
        <f t="shared" si="186"/>
        <v>1.6196640638712867</v>
      </c>
    </row>
    <row r="1651" spans="4:92" x14ac:dyDescent="0.35">
      <c r="D1651">
        <v>0.16184499999999999</v>
      </c>
      <c r="E1651">
        <v>16.166699999999999</v>
      </c>
      <c r="F1651">
        <v>18.859100000000002</v>
      </c>
      <c r="G1651">
        <v>15.512</v>
      </c>
      <c r="I1651">
        <v>0.16184499999999999</v>
      </c>
      <c r="J1651">
        <f t="shared" si="182"/>
        <v>2.8693383970214908E-2</v>
      </c>
      <c r="K1651">
        <v>0.10008977478147155</v>
      </c>
      <c r="L1651">
        <v>5.0998383371034475E-2</v>
      </c>
      <c r="N1651">
        <v>0.16184499999999999</v>
      </c>
      <c r="O1651">
        <f t="shared" si="183"/>
        <v>0.10008977478147155</v>
      </c>
      <c r="Q1651">
        <v>0.16184499999999999</v>
      </c>
      <c r="R1651">
        <f t="shared" si="184"/>
        <v>5.0998383371034475E-2</v>
      </c>
      <c r="CH1651">
        <v>0.14982000000000001</v>
      </c>
      <c r="CI1651">
        <v>31.884399999999999</v>
      </c>
      <c r="CJ1651">
        <f t="shared" si="185"/>
        <v>2478.023842519081</v>
      </c>
      <c r="CL1651">
        <v>0.14982000000000001</v>
      </c>
      <c r="CM1651">
        <v>2.0080000000000001E-2</v>
      </c>
      <c r="CN1651">
        <f t="shared" si="186"/>
        <v>1.5605976200832743</v>
      </c>
    </row>
    <row r="1652" spans="4:92" x14ac:dyDescent="0.35">
      <c r="D1652">
        <v>0.163941</v>
      </c>
      <c r="E1652">
        <v>16.321000000000002</v>
      </c>
      <c r="F1652">
        <v>18.517800000000001</v>
      </c>
      <c r="G1652">
        <v>15.5365</v>
      </c>
      <c r="I1652">
        <v>0.163941</v>
      </c>
      <c r="J1652">
        <f t="shared" si="182"/>
        <v>2.8967242528028452E-2</v>
      </c>
      <c r="K1652">
        <v>9.8278413680840213E-2</v>
      </c>
      <c r="L1652">
        <v>5.1078931359210752E-2</v>
      </c>
      <c r="N1652">
        <v>0.163941</v>
      </c>
      <c r="O1652">
        <f t="shared" si="183"/>
        <v>9.8278413680840213E-2</v>
      </c>
      <c r="Q1652">
        <v>0.163941</v>
      </c>
      <c r="R1652">
        <f t="shared" si="184"/>
        <v>5.1078931359210752E-2</v>
      </c>
      <c r="CH1652">
        <v>0.15176100000000001</v>
      </c>
      <c r="CI1652">
        <v>31.776800000000001</v>
      </c>
      <c r="CJ1652">
        <f t="shared" si="185"/>
        <v>2469.6612775827784</v>
      </c>
      <c r="CL1652">
        <v>0.15176100000000001</v>
      </c>
      <c r="CM1652">
        <v>1.5429999999999999E-2</v>
      </c>
      <c r="CN1652">
        <f t="shared" si="186"/>
        <v>1.1992042469066195</v>
      </c>
    </row>
    <row r="1653" spans="4:92" x14ac:dyDescent="0.35">
      <c r="D1653">
        <v>0.16606399999999999</v>
      </c>
      <c r="E1653">
        <v>16.346499999999999</v>
      </c>
      <c r="F1653">
        <v>18.613800000000001</v>
      </c>
      <c r="G1653">
        <v>15.8645</v>
      </c>
      <c r="I1653">
        <v>0.16606399999999999</v>
      </c>
      <c r="J1653">
        <f t="shared" si="182"/>
        <v>2.9012501071283441E-2</v>
      </c>
      <c r="K1653">
        <v>9.8787908745770203E-2</v>
      </c>
      <c r="L1653">
        <v>5.2157288098876771E-2</v>
      </c>
      <c r="N1653">
        <v>0.16606399999999999</v>
      </c>
      <c r="O1653">
        <f t="shared" si="183"/>
        <v>9.8787908745770203E-2</v>
      </c>
      <c r="Q1653">
        <v>0.16606399999999999</v>
      </c>
      <c r="R1653">
        <f t="shared" si="184"/>
        <v>5.2157288098876771E-2</v>
      </c>
      <c r="CH1653">
        <v>0.153726</v>
      </c>
      <c r="CI1653">
        <v>31.1371</v>
      </c>
      <c r="CJ1653">
        <f t="shared" si="185"/>
        <v>2419.9444300943683</v>
      </c>
      <c r="CL1653">
        <v>0.153726</v>
      </c>
      <c r="CM1653">
        <v>2.1329999999999998E-2</v>
      </c>
      <c r="CN1653">
        <f t="shared" si="186"/>
        <v>1.6577463763135576</v>
      </c>
    </row>
    <row r="1654" spans="4:92" x14ac:dyDescent="0.35">
      <c r="D1654">
        <v>0.168214</v>
      </c>
      <c r="E1654">
        <v>16.242100000000001</v>
      </c>
      <c r="F1654">
        <v>18.037400000000002</v>
      </c>
      <c r="G1654">
        <v>15.863200000000001</v>
      </c>
      <c r="I1654">
        <v>0.168214</v>
      </c>
      <c r="J1654">
        <f t="shared" si="182"/>
        <v>2.8827207270663006E-2</v>
      </c>
      <c r="K1654">
        <v>9.5728815460086367E-2</v>
      </c>
      <c r="L1654">
        <v>5.2153014123993952E-2</v>
      </c>
      <c r="N1654">
        <v>0.168214</v>
      </c>
      <c r="O1654">
        <f t="shared" si="183"/>
        <v>9.5728815460086367E-2</v>
      </c>
      <c r="Q1654">
        <v>0.168214</v>
      </c>
      <c r="R1654">
        <f t="shared" si="184"/>
        <v>5.2153014123993952E-2</v>
      </c>
      <c r="CH1654">
        <v>0.15571699999999999</v>
      </c>
      <c r="CI1654">
        <v>32.570099999999996</v>
      </c>
      <c r="CJ1654">
        <f t="shared" si="185"/>
        <v>2531.3157642367651</v>
      </c>
      <c r="CL1654">
        <v>0.15571699999999999</v>
      </c>
      <c r="CM1654">
        <v>2.8490000000000001E-2</v>
      </c>
      <c r="CN1654">
        <f t="shared" si="186"/>
        <v>2.2142144520006219</v>
      </c>
    </row>
    <row r="1655" spans="4:92" x14ac:dyDescent="0.35">
      <c r="D1655">
        <v>0.17039299999999999</v>
      </c>
      <c r="E1655">
        <v>16.423100000000002</v>
      </c>
      <c r="F1655">
        <v>17.7334</v>
      </c>
      <c r="G1655">
        <v>15.4069</v>
      </c>
      <c r="I1655">
        <v>0.17039299999999999</v>
      </c>
      <c r="J1655">
        <f t="shared" si="182"/>
        <v>2.9148454185531775E-2</v>
      </c>
      <c r="K1655">
        <v>9.4115414421141366E-2</v>
      </c>
      <c r="L1655">
        <v>5.0652848940123202E-2</v>
      </c>
      <c r="N1655">
        <v>0.17039299999999999</v>
      </c>
      <c r="O1655">
        <f t="shared" si="183"/>
        <v>9.4115414421141366E-2</v>
      </c>
      <c r="Q1655">
        <v>0.17039299999999999</v>
      </c>
      <c r="R1655">
        <f t="shared" si="184"/>
        <v>5.0652848940123202E-2</v>
      </c>
      <c r="CH1655">
        <v>0.15773300000000001</v>
      </c>
      <c r="CI1655">
        <v>32.032699999999998</v>
      </c>
      <c r="CJ1655">
        <f t="shared" si="185"/>
        <v>2489.5495709582419</v>
      </c>
      <c r="CL1655">
        <v>0.15773300000000001</v>
      </c>
      <c r="CM1655">
        <v>2.0670000000000001E-2</v>
      </c>
      <c r="CN1655">
        <f t="shared" si="186"/>
        <v>1.6064518330239681</v>
      </c>
    </row>
    <row r="1656" spans="4:92" x14ac:dyDescent="0.35">
      <c r="D1656">
        <v>0.172599</v>
      </c>
      <c r="E1656">
        <v>16.231200000000001</v>
      </c>
      <c r="F1656">
        <v>17.188500000000001</v>
      </c>
      <c r="G1656">
        <v>15.465</v>
      </c>
      <c r="I1656">
        <v>0.172599</v>
      </c>
      <c r="J1656">
        <f t="shared" si="182"/>
        <v>2.8807861461977537E-2</v>
      </c>
      <c r="K1656">
        <v>9.122349920363769E-2</v>
      </c>
      <c r="L1656">
        <v>5.0843862740655506E-2</v>
      </c>
      <c r="N1656">
        <v>0.172599</v>
      </c>
      <c r="O1656">
        <f t="shared" si="183"/>
        <v>9.122349920363769E-2</v>
      </c>
      <c r="Q1656">
        <v>0.172599</v>
      </c>
      <c r="R1656">
        <f t="shared" si="184"/>
        <v>5.0843862740655506E-2</v>
      </c>
      <c r="CH1656">
        <v>0.159776</v>
      </c>
      <c r="CI1656">
        <v>30.960899999999999</v>
      </c>
      <c r="CJ1656">
        <f t="shared" si="185"/>
        <v>2406.2503414161474</v>
      </c>
      <c r="CL1656">
        <v>0.159776</v>
      </c>
      <c r="CM1656">
        <v>2.307E-2</v>
      </c>
      <c r="CN1656">
        <f t="shared" si="186"/>
        <v>1.7929774449861124</v>
      </c>
    </row>
    <row r="1657" spans="4:92" x14ac:dyDescent="0.35">
      <c r="D1657">
        <v>0.17483499999999999</v>
      </c>
      <c r="E1657">
        <v>16.340800000000002</v>
      </c>
      <c r="F1657">
        <v>16.864799999999999</v>
      </c>
      <c r="G1657">
        <v>15.4054</v>
      </c>
      <c r="I1657">
        <v>0.17483499999999999</v>
      </c>
      <c r="J1657">
        <f t="shared" si="182"/>
        <v>2.9002384455732326E-2</v>
      </c>
      <c r="K1657">
        <v>8.9505545531576858E-2</v>
      </c>
      <c r="L1657">
        <v>5.0647917430643022E-2</v>
      </c>
      <c r="N1657">
        <v>0.17483499999999999</v>
      </c>
      <c r="O1657">
        <f t="shared" si="183"/>
        <v>8.9505545531576858E-2</v>
      </c>
      <c r="Q1657">
        <v>0.17483499999999999</v>
      </c>
      <c r="R1657">
        <f t="shared" si="184"/>
        <v>5.0647917430643022E-2</v>
      </c>
      <c r="CH1657">
        <v>0.16184499999999999</v>
      </c>
      <c r="CI1657">
        <v>30.381699999999999</v>
      </c>
      <c r="CJ1657">
        <f t="shared" si="185"/>
        <v>2361.2354937292835</v>
      </c>
      <c r="CL1657">
        <v>0.16184499999999999</v>
      </c>
      <c r="CM1657">
        <v>1.9539999999999998E-2</v>
      </c>
      <c r="CN1657">
        <f t="shared" si="186"/>
        <v>1.5186293573917917</v>
      </c>
    </row>
    <row r="1658" spans="4:92" x14ac:dyDescent="0.35">
      <c r="D1658">
        <v>0.17709900000000001</v>
      </c>
      <c r="E1658">
        <v>15.9876</v>
      </c>
      <c r="F1658">
        <v>16.7821</v>
      </c>
      <c r="G1658">
        <v>15.6501</v>
      </c>
      <c r="I1658">
        <v>0.17709900000000001</v>
      </c>
      <c r="J1658">
        <f t="shared" si="182"/>
        <v>2.8375509260529844E-2</v>
      </c>
      <c r="K1658">
        <v>8.9066636762100693E-2</v>
      </c>
      <c r="L1658">
        <v>5.1452411010509722E-2</v>
      </c>
      <c r="N1658">
        <v>0.17709900000000001</v>
      </c>
      <c r="O1658">
        <f t="shared" si="183"/>
        <v>8.9066636762100693E-2</v>
      </c>
      <c r="Q1658">
        <v>0.17709900000000001</v>
      </c>
      <c r="R1658">
        <f t="shared" si="184"/>
        <v>5.1452411010509722E-2</v>
      </c>
      <c r="CH1658">
        <v>0.163941</v>
      </c>
      <c r="CI1658">
        <v>30.76</v>
      </c>
      <c r="CJ1658">
        <f t="shared" si="185"/>
        <v>2390.6365933148168</v>
      </c>
      <c r="CL1658">
        <v>0.163941</v>
      </c>
      <c r="CM1658">
        <v>1.738E-2</v>
      </c>
      <c r="CN1658">
        <f t="shared" si="186"/>
        <v>1.3507563066258619</v>
      </c>
    </row>
    <row r="1659" spans="4:92" x14ac:dyDescent="0.35">
      <c r="D1659">
        <v>0.179392</v>
      </c>
      <c r="E1659">
        <v>16.029800000000002</v>
      </c>
      <c r="F1659">
        <v>15.8528</v>
      </c>
      <c r="G1659">
        <v>15.3766</v>
      </c>
      <c r="I1659">
        <v>0.179392</v>
      </c>
      <c r="J1659">
        <f t="shared" si="182"/>
        <v>2.8450407712504774E-2</v>
      </c>
      <c r="K1659">
        <v>8.4134618388773161E-2</v>
      </c>
      <c r="L1659">
        <v>5.0553232448623565E-2</v>
      </c>
      <c r="N1659">
        <v>0.179392</v>
      </c>
      <c r="O1659">
        <f t="shared" si="183"/>
        <v>8.4134618388773161E-2</v>
      </c>
      <c r="Q1659">
        <v>0.179392</v>
      </c>
      <c r="R1659">
        <f t="shared" si="184"/>
        <v>5.0553232448623565E-2</v>
      </c>
      <c r="CH1659">
        <v>0.16606399999999999</v>
      </c>
      <c r="CI1659">
        <v>30.797699999999999</v>
      </c>
      <c r="CJ1659">
        <f t="shared" si="185"/>
        <v>2393.5665998027216</v>
      </c>
      <c r="CL1659">
        <v>0.16606399999999999</v>
      </c>
      <c r="CM1659">
        <v>1.822E-2</v>
      </c>
      <c r="CN1659">
        <f t="shared" si="186"/>
        <v>1.4160402708126123</v>
      </c>
    </row>
    <row r="1660" spans="4:92" x14ac:dyDescent="0.35">
      <c r="D1660">
        <v>0.18171499999999999</v>
      </c>
      <c r="E1660">
        <v>16.214099999999998</v>
      </c>
      <c r="F1660">
        <v>16.0503</v>
      </c>
      <c r="G1660">
        <v>15.317299999999999</v>
      </c>
      <c r="I1660">
        <v>0.18171499999999999</v>
      </c>
      <c r="J1660">
        <f t="shared" si="182"/>
        <v>2.8777511615324183E-2</v>
      </c>
      <c r="K1660">
        <v>8.5182798340061427E-2</v>
      </c>
      <c r="L1660">
        <v>5.0358273440507119E-2</v>
      </c>
      <c r="N1660">
        <v>0.18171499999999999</v>
      </c>
      <c r="O1660">
        <f t="shared" si="183"/>
        <v>8.5182798340061427E-2</v>
      </c>
      <c r="Q1660">
        <v>0.18171499999999999</v>
      </c>
      <c r="R1660">
        <f t="shared" si="184"/>
        <v>5.0358273440507119E-2</v>
      </c>
      <c r="CH1660">
        <v>0.168214</v>
      </c>
      <c r="CI1660">
        <v>30.607700000000001</v>
      </c>
      <c r="CJ1660">
        <f t="shared" si="185"/>
        <v>2378.7999888557188</v>
      </c>
      <c r="CL1660">
        <v>0.168214</v>
      </c>
      <c r="CM1660">
        <v>1.6410000000000001E-2</v>
      </c>
      <c r="CN1660">
        <f t="shared" si="186"/>
        <v>1.275368871791162</v>
      </c>
    </row>
    <row r="1661" spans="4:92" x14ac:dyDescent="0.35">
      <c r="D1661">
        <v>0.18406900000000001</v>
      </c>
      <c r="E1661">
        <v>16.2559</v>
      </c>
      <c r="F1661">
        <v>15.4407</v>
      </c>
      <c r="G1661">
        <v>15.1883</v>
      </c>
      <c r="I1661">
        <v>0.18406900000000001</v>
      </c>
      <c r="J1661">
        <f t="shared" si="182"/>
        <v>2.8851700129365703E-2</v>
      </c>
      <c r="K1661">
        <v>8.1947504677755967E-2</v>
      </c>
      <c r="L1661">
        <v>4.9934163625211643E-2</v>
      </c>
      <c r="N1661">
        <v>0.18406900000000001</v>
      </c>
      <c r="O1661">
        <f t="shared" si="183"/>
        <v>8.1947504677755967E-2</v>
      </c>
      <c r="Q1661">
        <v>0.18406900000000001</v>
      </c>
      <c r="R1661">
        <f t="shared" si="184"/>
        <v>4.9934163625211643E-2</v>
      </c>
      <c r="CH1661">
        <v>0.17039299999999999</v>
      </c>
      <c r="CI1661">
        <v>29.2363</v>
      </c>
      <c r="CJ1661">
        <f t="shared" si="185"/>
        <v>2272.2161454203501</v>
      </c>
      <c r="CL1661">
        <v>0.17039299999999999</v>
      </c>
      <c r="CM1661">
        <v>2.0150000000000001E-2</v>
      </c>
      <c r="CN1661">
        <f t="shared" si="186"/>
        <v>1.5660379504321702</v>
      </c>
    </row>
    <row r="1662" spans="4:92" x14ac:dyDescent="0.35">
      <c r="D1662">
        <v>0.18645200000000001</v>
      </c>
      <c r="E1662">
        <v>16.0685</v>
      </c>
      <c r="F1662">
        <v>14.3248</v>
      </c>
      <c r="G1662">
        <v>15.3386</v>
      </c>
      <c r="I1662">
        <v>0.18645200000000001</v>
      </c>
      <c r="J1662">
        <f t="shared" si="182"/>
        <v>2.8519094207562351E-2</v>
      </c>
      <c r="K1662">
        <v>7.6025155271970749E-2</v>
      </c>
      <c r="L1662">
        <v>5.0428300875125676E-2</v>
      </c>
      <c r="N1662">
        <v>0.18645200000000001</v>
      </c>
      <c r="O1662">
        <f t="shared" si="183"/>
        <v>7.6025155271970749E-2</v>
      </c>
      <c r="Q1662">
        <v>0.18645200000000001</v>
      </c>
      <c r="R1662">
        <f t="shared" si="184"/>
        <v>5.0428300875125676E-2</v>
      </c>
      <c r="CH1662">
        <v>0.172599</v>
      </c>
      <c r="CI1662">
        <v>30.141100000000002</v>
      </c>
      <c r="CJ1662">
        <f t="shared" si="185"/>
        <v>2342.5363011300788</v>
      </c>
      <c r="CL1662">
        <v>0.172599</v>
      </c>
      <c r="CM1662">
        <v>1.738E-2</v>
      </c>
      <c r="CN1662">
        <f t="shared" si="186"/>
        <v>1.3507563066258619</v>
      </c>
    </row>
    <row r="1663" spans="4:92" x14ac:dyDescent="0.35">
      <c r="D1663">
        <v>0.18886700000000001</v>
      </c>
      <c r="E1663">
        <v>16.5382</v>
      </c>
      <c r="F1663">
        <v>14.586499999999999</v>
      </c>
      <c r="G1663">
        <v>15.271100000000001</v>
      </c>
      <c r="I1663">
        <v>0.18886700000000001</v>
      </c>
      <c r="J1663">
        <f t="shared" si="182"/>
        <v>2.9352738825870969E-2</v>
      </c>
      <c r="K1663">
        <v>7.7414060047930944E-2</v>
      </c>
      <c r="L1663">
        <v>5.0206382948517571E-2</v>
      </c>
      <c r="N1663">
        <v>0.18886700000000001</v>
      </c>
      <c r="O1663">
        <f t="shared" si="183"/>
        <v>7.7414060047930944E-2</v>
      </c>
      <c r="Q1663">
        <v>0.18886700000000001</v>
      </c>
      <c r="R1663">
        <f t="shared" si="184"/>
        <v>5.0206382948517571E-2</v>
      </c>
      <c r="CH1663">
        <v>0.17483499999999999</v>
      </c>
      <c r="CI1663">
        <v>30.159600000000001</v>
      </c>
      <c r="CJ1663">
        <f t="shared" si="185"/>
        <v>2343.9741027222867</v>
      </c>
      <c r="CL1663">
        <v>0.17483499999999999</v>
      </c>
      <c r="CM1663">
        <v>1.789E-2</v>
      </c>
      <c r="CN1663">
        <f t="shared" si="186"/>
        <v>1.3903929991678174</v>
      </c>
    </row>
    <row r="1664" spans="4:92" x14ac:dyDescent="0.35">
      <c r="D1664">
        <v>0.19131300000000001</v>
      </c>
      <c r="E1664">
        <v>16.119</v>
      </c>
      <c r="F1664">
        <v>14.289400000000001</v>
      </c>
      <c r="G1664">
        <v>15.078900000000001</v>
      </c>
      <c r="I1664">
        <v>0.19131300000000001</v>
      </c>
      <c r="J1664">
        <f t="shared" si="182"/>
        <v>2.8608723871655566E-2</v>
      </c>
      <c r="K1664">
        <v>7.5837278966777819E-2</v>
      </c>
      <c r="L1664">
        <v>4.9574492200457183E-2</v>
      </c>
      <c r="N1664">
        <v>0.19131300000000001</v>
      </c>
      <c r="O1664">
        <f t="shared" si="183"/>
        <v>7.5837278966777819E-2</v>
      </c>
      <c r="Q1664">
        <v>0.19131300000000001</v>
      </c>
      <c r="R1664">
        <f t="shared" si="184"/>
        <v>4.9574492200457183E-2</v>
      </c>
      <c r="CH1664">
        <v>0.17709900000000001</v>
      </c>
      <c r="CI1664">
        <v>28.9511</v>
      </c>
      <c r="CJ1664">
        <f t="shared" si="185"/>
        <v>2250.0506851988484</v>
      </c>
      <c r="CL1664">
        <v>0.17709900000000001</v>
      </c>
      <c r="CM1664">
        <v>1.711E-2</v>
      </c>
      <c r="CN1664">
        <f t="shared" si="186"/>
        <v>1.3297721752801206</v>
      </c>
    </row>
    <row r="1665" spans="4:92" x14ac:dyDescent="0.35">
      <c r="D1665">
        <v>0.19378999999999999</v>
      </c>
      <c r="E1665">
        <v>16.048300000000001</v>
      </c>
      <c r="F1665">
        <v>13.317</v>
      </c>
      <c r="G1665">
        <v>14.935499999999999</v>
      </c>
      <c r="I1665">
        <v>0.19378999999999999</v>
      </c>
      <c r="J1665">
        <f t="shared" si="182"/>
        <v>2.8483242341925067E-2</v>
      </c>
      <c r="K1665">
        <v>7.0676518538257738E-2</v>
      </c>
      <c r="L1665">
        <v>4.9103039894151969E-2</v>
      </c>
      <c r="N1665">
        <v>0.19378999999999999</v>
      </c>
      <c r="O1665">
        <f t="shared" si="183"/>
        <v>7.0676518538257738E-2</v>
      </c>
      <c r="Q1665">
        <v>0.19378999999999999</v>
      </c>
      <c r="R1665">
        <f t="shared" si="184"/>
        <v>4.9103039894151969E-2</v>
      </c>
      <c r="CH1665">
        <v>0.179392</v>
      </c>
      <c r="CI1665">
        <v>29.098400000000002</v>
      </c>
      <c r="CJ1665">
        <f t="shared" si="185"/>
        <v>2261.4986946330255</v>
      </c>
      <c r="CL1665">
        <v>0.179392</v>
      </c>
      <c r="CM1665">
        <v>1.7690000000000001E-2</v>
      </c>
      <c r="CN1665">
        <f t="shared" si="186"/>
        <v>1.3748491981709723</v>
      </c>
    </row>
    <row r="1666" spans="4:92" x14ac:dyDescent="0.35">
      <c r="D1666">
        <v>0.1963</v>
      </c>
      <c r="E1666">
        <v>16.058800000000002</v>
      </c>
      <c r="F1666">
        <v>13.232900000000001</v>
      </c>
      <c r="G1666">
        <v>14.823499999999999</v>
      </c>
      <c r="I1666">
        <v>0.1963</v>
      </c>
      <c r="J1666">
        <f t="shared" si="182"/>
        <v>2.850187821267712E-2</v>
      </c>
      <c r="K1666">
        <v>7.0230179632418024E-2</v>
      </c>
      <c r="L1666">
        <v>4.873482051963187E-2</v>
      </c>
      <c r="N1666">
        <v>0.1963</v>
      </c>
      <c r="O1666">
        <f t="shared" si="183"/>
        <v>7.0230179632418024E-2</v>
      </c>
      <c r="Q1666">
        <v>0.1963</v>
      </c>
      <c r="R1666">
        <f t="shared" si="184"/>
        <v>4.873482051963187E-2</v>
      </c>
      <c r="CH1666">
        <v>0.18171499999999999</v>
      </c>
      <c r="CI1666">
        <v>27.496600000000001</v>
      </c>
      <c r="CJ1666">
        <f t="shared" si="185"/>
        <v>2137.008392449291</v>
      </c>
      <c r="CL1666">
        <v>0.18171499999999999</v>
      </c>
      <c r="CM1666">
        <v>2.0580000000000001E-2</v>
      </c>
      <c r="CN1666">
        <f t="shared" si="186"/>
        <v>1.5994571225753877</v>
      </c>
    </row>
    <row r="1667" spans="4:92" x14ac:dyDescent="0.35">
      <c r="D1667">
        <v>0.19884199999999999</v>
      </c>
      <c r="E1667">
        <v>15.5992</v>
      </c>
      <c r="F1667">
        <v>12.632199999999999</v>
      </c>
      <c r="G1667">
        <v>14.8916</v>
      </c>
      <c r="I1667">
        <v>0.19884199999999999</v>
      </c>
      <c r="J1667">
        <f t="shared" si="182"/>
        <v>2.7686159527187143E-2</v>
      </c>
      <c r="K1667">
        <v>6.7042120408423764E-2</v>
      </c>
      <c r="L1667">
        <v>4.8958711050032043E-2</v>
      </c>
      <c r="N1667">
        <v>0.19884199999999999</v>
      </c>
      <c r="O1667">
        <f t="shared" si="183"/>
        <v>6.7042120408423764E-2</v>
      </c>
      <c r="Q1667">
        <v>0.19884199999999999</v>
      </c>
      <c r="R1667">
        <f t="shared" si="184"/>
        <v>4.8958711050032043E-2</v>
      </c>
      <c r="CH1667">
        <v>0.18406900000000001</v>
      </c>
      <c r="CI1667">
        <v>27.264500000000002</v>
      </c>
      <c r="CJ1667">
        <f t="shared" si="185"/>
        <v>2118.9698113924519</v>
      </c>
      <c r="CL1667">
        <v>0.18406900000000001</v>
      </c>
      <c r="CM1667">
        <v>2.002E-2</v>
      </c>
      <c r="CN1667">
        <f t="shared" si="186"/>
        <v>1.5559344797842205</v>
      </c>
    </row>
    <row r="1668" spans="4:92" x14ac:dyDescent="0.35">
      <c r="D1668">
        <v>0.20141700000000001</v>
      </c>
      <c r="E1668">
        <v>16.103400000000001</v>
      </c>
      <c r="F1668">
        <v>12.398199999999999</v>
      </c>
      <c r="G1668">
        <v>14.6883</v>
      </c>
      <c r="I1668">
        <v>0.20141700000000001</v>
      </c>
      <c r="J1668">
        <f t="shared" ref="J1668:J1731" si="187">E1668/SUM($E$3:$E$2002)/$C$3</f>
        <v>2.8581036292252514E-2</v>
      </c>
      <c r="K1668">
        <v>6.5800226187656907E-2</v>
      </c>
      <c r="L1668">
        <v>4.8290327131818314E-2</v>
      </c>
      <c r="N1668">
        <v>0.20141700000000001</v>
      </c>
      <c r="O1668">
        <f t="shared" ref="O1668:O1731" si="188">F1668/SUM($F$3:$F$2002)/$C$3</f>
        <v>6.5800226187656907E-2</v>
      </c>
      <c r="Q1668">
        <v>0.20141700000000001</v>
      </c>
      <c r="R1668">
        <f t="shared" ref="R1668:R1731" si="189">G1668/SUM($G$3:$G$2002)/$C$3</f>
        <v>4.8290327131818314E-2</v>
      </c>
      <c r="CH1668">
        <v>0.18645200000000001</v>
      </c>
      <c r="CI1668">
        <v>27.2956</v>
      </c>
      <c r="CJ1668">
        <f t="shared" si="185"/>
        <v>2121.386872447461</v>
      </c>
      <c r="CL1668">
        <v>0.18645200000000001</v>
      </c>
      <c r="CM1668">
        <v>1.823E-2</v>
      </c>
      <c r="CN1668">
        <f t="shared" si="186"/>
        <v>1.4168174608624546</v>
      </c>
    </row>
    <row r="1669" spans="4:92" x14ac:dyDescent="0.35">
      <c r="D1669">
        <v>0.20402500000000001</v>
      </c>
      <c r="E1669">
        <v>16.0077</v>
      </c>
      <c r="F1669">
        <v>11.2241</v>
      </c>
      <c r="G1669">
        <v>14.822699999999999</v>
      </c>
      <c r="I1669">
        <v>0.20402500000000001</v>
      </c>
      <c r="J1669">
        <f t="shared" si="187"/>
        <v>2.8411183641683782E-2</v>
      </c>
      <c r="K1669">
        <v>5.9568995398757874E-2</v>
      </c>
      <c r="L1669">
        <v>4.8732190381242442E-2</v>
      </c>
      <c r="N1669">
        <v>0.20402500000000001</v>
      </c>
      <c r="O1669">
        <f t="shared" si="188"/>
        <v>5.9568995398757874E-2</v>
      </c>
      <c r="Q1669">
        <v>0.20402500000000001</v>
      </c>
      <c r="R1669">
        <f t="shared" si="189"/>
        <v>4.8732190381242442E-2</v>
      </c>
      <c r="CH1669">
        <v>0.18886700000000001</v>
      </c>
      <c r="CI1669">
        <v>26.095700000000001</v>
      </c>
      <c r="CJ1669">
        <f t="shared" si="185"/>
        <v>2028.1318383668875</v>
      </c>
      <c r="CL1669">
        <v>0.18886700000000001</v>
      </c>
      <c r="CM1669">
        <v>1.8620000000000001E-2</v>
      </c>
      <c r="CN1669">
        <f t="shared" si="186"/>
        <v>1.4471278728063033</v>
      </c>
    </row>
    <row r="1670" spans="4:92" x14ac:dyDescent="0.35">
      <c r="D1670">
        <v>0.20666699999999999</v>
      </c>
      <c r="E1670">
        <v>16.111699999999999</v>
      </c>
      <c r="F1670">
        <v>10.715199999999999</v>
      </c>
      <c r="G1670">
        <v>14.549200000000001</v>
      </c>
      <c r="I1670">
        <v>0.20666699999999999</v>
      </c>
      <c r="J1670">
        <f t="shared" si="187"/>
        <v>2.8595767504370807E-2</v>
      </c>
      <c r="K1670">
        <v>5.6868140830602924E-2</v>
      </c>
      <c r="L1670">
        <v>4.78330118193563E-2</v>
      </c>
      <c r="N1670">
        <v>0.20666699999999999</v>
      </c>
      <c r="O1670">
        <f t="shared" si="188"/>
        <v>5.6868140830602924E-2</v>
      </c>
      <c r="Q1670">
        <v>0.20666699999999999</v>
      </c>
      <c r="R1670">
        <f t="shared" si="189"/>
        <v>4.78330118193563E-2</v>
      </c>
      <c r="CH1670">
        <v>0.19131300000000001</v>
      </c>
      <c r="CI1670">
        <v>27.112400000000001</v>
      </c>
      <c r="CJ1670">
        <f t="shared" si="185"/>
        <v>2107.1487507343509</v>
      </c>
      <c r="CL1670">
        <v>0.19131300000000001</v>
      </c>
      <c r="CM1670">
        <v>1.967E-2</v>
      </c>
      <c r="CN1670">
        <f t="shared" si="186"/>
        <v>1.5287328280397412</v>
      </c>
    </row>
    <row r="1671" spans="4:92" x14ac:dyDescent="0.35">
      <c r="D1671">
        <v>0.209344</v>
      </c>
      <c r="E1671">
        <v>15.818300000000001</v>
      </c>
      <c r="F1671">
        <v>10.591900000000001</v>
      </c>
      <c r="G1671">
        <v>14.3241</v>
      </c>
      <c r="I1671">
        <v>0.209344</v>
      </c>
      <c r="J1671">
        <f t="shared" si="187"/>
        <v>2.8075028030213368E-2</v>
      </c>
      <c r="K1671">
        <v>5.6213758106583474E-2</v>
      </c>
      <c r="L1671">
        <v>4.7092956630030623E-2</v>
      </c>
      <c r="N1671">
        <v>0.209344</v>
      </c>
      <c r="O1671">
        <f t="shared" si="188"/>
        <v>5.6213758106583474E-2</v>
      </c>
      <c r="Q1671">
        <v>0.209344</v>
      </c>
      <c r="R1671">
        <f t="shared" si="189"/>
        <v>4.7092956630030623E-2</v>
      </c>
      <c r="CH1671">
        <v>0.19378999999999999</v>
      </c>
      <c r="CI1671">
        <v>26.2712</v>
      </c>
      <c r="CJ1671">
        <f t="shared" si="185"/>
        <v>2041.7715237416191</v>
      </c>
      <c r="CL1671">
        <v>0.19378999999999999</v>
      </c>
      <c r="CM1671">
        <v>1.789E-2</v>
      </c>
      <c r="CN1671">
        <f t="shared" si="186"/>
        <v>1.3903929991678174</v>
      </c>
    </row>
    <row r="1672" spans="4:92" x14ac:dyDescent="0.35">
      <c r="D1672">
        <v>0.21205499999999999</v>
      </c>
      <c r="E1672">
        <v>16.024799999999999</v>
      </c>
      <c r="F1672">
        <v>10.1412</v>
      </c>
      <c r="G1672">
        <v>14.5989</v>
      </c>
      <c r="I1672">
        <v>0.21205499999999999</v>
      </c>
      <c r="J1672">
        <f t="shared" si="187"/>
        <v>2.8441533488337126E-2</v>
      </c>
      <c r="K1672">
        <v>5.3821784921542333E-2</v>
      </c>
      <c r="L1672">
        <v>4.7996409166799592E-2</v>
      </c>
      <c r="N1672">
        <v>0.21205499999999999</v>
      </c>
      <c r="O1672">
        <f t="shared" si="188"/>
        <v>5.3821784921542333E-2</v>
      </c>
      <c r="Q1672">
        <v>0.21205499999999999</v>
      </c>
      <c r="R1672">
        <f t="shared" si="189"/>
        <v>4.7996409166799592E-2</v>
      </c>
      <c r="CH1672">
        <v>0.1963</v>
      </c>
      <c r="CI1672">
        <v>26.213699999999999</v>
      </c>
      <c r="CJ1672">
        <f t="shared" si="185"/>
        <v>2037.3026809550261</v>
      </c>
      <c r="CL1672">
        <v>0.1963</v>
      </c>
      <c r="CM1672">
        <v>1.951E-2</v>
      </c>
      <c r="CN1672">
        <f t="shared" si="186"/>
        <v>1.5162977872422649</v>
      </c>
    </row>
    <row r="1673" spans="4:92" x14ac:dyDescent="0.35">
      <c r="D1673">
        <v>0.21480099999999999</v>
      </c>
      <c r="E1673">
        <v>16.0105</v>
      </c>
      <c r="F1673">
        <v>9.4048200000000008</v>
      </c>
      <c r="G1673">
        <v>14.000500000000001</v>
      </c>
      <c r="I1673">
        <v>0.21480099999999999</v>
      </c>
      <c r="J1673">
        <f t="shared" si="187"/>
        <v>2.8416153207217663E-2</v>
      </c>
      <c r="K1673">
        <v>4.9913639339113705E-2</v>
      </c>
      <c r="L1673">
        <v>4.6029065651506468E-2</v>
      </c>
      <c r="N1673">
        <v>0.21480099999999999</v>
      </c>
      <c r="O1673">
        <f t="shared" si="188"/>
        <v>4.9913639339113705E-2</v>
      </c>
      <c r="Q1673">
        <v>0.21480099999999999</v>
      </c>
      <c r="R1673">
        <f t="shared" si="189"/>
        <v>4.6029065651506468E-2</v>
      </c>
      <c r="CH1673">
        <v>0.19884199999999999</v>
      </c>
      <c r="CI1673">
        <v>25.270600000000002</v>
      </c>
      <c r="CJ1673">
        <f t="shared" si="185"/>
        <v>1964.0058873544019</v>
      </c>
      <c r="CL1673">
        <v>0.19884199999999999</v>
      </c>
      <c r="CM1673">
        <v>1.8919999999999999E-2</v>
      </c>
      <c r="CN1673">
        <f t="shared" si="186"/>
        <v>1.4704435743015711</v>
      </c>
    </row>
    <row r="1674" spans="4:92" x14ac:dyDescent="0.35">
      <c r="D1674">
        <v>0.217583</v>
      </c>
      <c r="E1674">
        <v>15.7325</v>
      </c>
      <c r="F1674">
        <v>9.2264099999999996</v>
      </c>
      <c r="G1674">
        <v>14.669499999999999</v>
      </c>
      <c r="I1674">
        <v>0.217583</v>
      </c>
      <c r="J1674">
        <f t="shared" si="187"/>
        <v>2.7922746343496573E-2</v>
      </c>
      <c r="K1674">
        <v>4.8966774604382854E-2</v>
      </c>
      <c r="L1674">
        <v>4.8228518879666726E-2</v>
      </c>
      <c r="N1674">
        <v>0.217583</v>
      </c>
      <c r="O1674">
        <f t="shared" si="188"/>
        <v>4.8966774604382854E-2</v>
      </c>
      <c r="Q1674">
        <v>0.217583</v>
      </c>
      <c r="R1674">
        <f t="shared" si="189"/>
        <v>4.8228518879666726E-2</v>
      </c>
      <c r="CH1674">
        <v>0.20141700000000001</v>
      </c>
      <c r="CI1674">
        <v>24.499099999999999</v>
      </c>
      <c r="CJ1674">
        <f t="shared" ref="CJ1674:CJ1737" si="190">CI1674/$CG$9</f>
        <v>1904.0456750090707</v>
      </c>
      <c r="CL1674">
        <v>0.20141700000000001</v>
      </c>
      <c r="CM1674">
        <v>2.044E-2</v>
      </c>
      <c r="CN1674">
        <f t="shared" ref="CN1674:CN1737" si="191">CM1674/$CG$9</f>
        <v>1.5885764618775959</v>
      </c>
    </row>
    <row r="1675" spans="4:92" x14ac:dyDescent="0.35">
      <c r="D1675">
        <v>0.22040000000000001</v>
      </c>
      <c r="E1675">
        <v>15.899900000000001</v>
      </c>
      <c r="F1675">
        <v>8.5992200000000008</v>
      </c>
      <c r="G1675">
        <v>14.3817</v>
      </c>
      <c r="I1675">
        <v>0.22040000000000001</v>
      </c>
      <c r="J1675">
        <f t="shared" si="187"/>
        <v>2.8219855368629344E-2</v>
      </c>
      <c r="K1675">
        <v>4.5638126585909496E-2</v>
      </c>
      <c r="L1675">
        <v>4.7282326594069529E-2</v>
      </c>
      <c r="N1675">
        <v>0.22040000000000001</v>
      </c>
      <c r="O1675">
        <f t="shared" si="188"/>
        <v>4.5638126585909496E-2</v>
      </c>
      <c r="Q1675">
        <v>0.22040000000000001</v>
      </c>
      <c r="R1675">
        <f t="shared" si="189"/>
        <v>4.7282326594069529E-2</v>
      </c>
      <c r="CH1675">
        <v>0.20402500000000001</v>
      </c>
      <c r="CI1675">
        <v>23.7454</v>
      </c>
      <c r="CJ1675">
        <f t="shared" si="190"/>
        <v>1845.4688609524592</v>
      </c>
      <c r="CL1675">
        <v>0.20402500000000001</v>
      </c>
      <c r="CM1675">
        <v>1.8249999999999999E-2</v>
      </c>
      <c r="CN1675">
        <f t="shared" si="191"/>
        <v>1.4183718409621391</v>
      </c>
    </row>
    <row r="1676" spans="4:92" x14ac:dyDescent="0.35">
      <c r="D1676">
        <v>0.22325500000000001</v>
      </c>
      <c r="E1676">
        <v>16.1435</v>
      </c>
      <c r="F1676">
        <v>8.1191200000000006</v>
      </c>
      <c r="G1676">
        <v>14.188000000000001</v>
      </c>
      <c r="I1676">
        <v>0.22325500000000001</v>
      </c>
      <c r="J1676">
        <f t="shared" si="187"/>
        <v>2.8652207570077033E-2</v>
      </c>
      <c r="K1676">
        <v>4.3090120537233552E-2</v>
      </c>
      <c r="L1676">
        <v>4.6645504336528955E-2</v>
      </c>
      <c r="N1676">
        <v>0.22325500000000001</v>
      </c>
      <c r="O1676">
        <f t="shared" si="188"/>
        <v>4.3090120537233552E-2</v>
      </c>
      <c r="Q1676">
        <v>0.22325500000000001</v>
      </c>
      <c r="R1676">
        <f t="shared" si="189"/>
        <v>4.6645504336528955E-2</v>
      </c>
      <c r="CH1676">
        <v>0.20666699999999999</v>
      </c>
      <c r="CI1676">
        <v>24.447099999999999</v>
      </c>
      <c r="CJ1676">
        <f t="shared" si="190"/>
        <v>1900.004286749891</v>
      </c>
      <c r="CL1676">
        <v>0.20666699999999999</v>
      </c>
      <c r="CM1676">
        <v>2.3619999999999999E-2</v>
      </c>
      <c r="CN1676">
        <f t="shared" si="191"/>
        <v>1.8357228977274369</v>
      </c>
    </row>
    <row r="1677" spans="4:92" x14ac:dyDescent="0.35">
      <c r="D1677">
        <v>0.22614600000000001</v>
      </c>
      <c r="E1677">
        <v>16.101299999999998</v>
      </c>
      <c r="F1677">
        <v>7.7499099999999999</v>
      </c>
      <c r="G1677">
        <v>14.218</v>
      </c>
      <c r="I1677">
        <v>0.22614600000000001</v>
      </c>
      <c r="J1677">
        <f t="shared" si="187"/>
        <v>2.8577309118102103E-2</v>
      </c>
      <c r="K1677">
        <v>4.1130634360954342E-2</v>
      </c>
      <c r="L1677">
        <v>4.6744134526132561E-2</v>
      </c>
      <c r="N1677">
        <v>0.22614600000000001</v>
      </c>
      <c r="O1677">
        <f t="shared" si="188"/>
        <v>4.1130634360954342E-2</v>
      </c>
      <c r="Q1677">
        <v>0.22614600000000001</v>
      </c>
      <c r="R1677">
        <f t="shared" si="189"/>
        <v>4.6744134526132561E-2</v>
      </c>
      <c r="CH1677">
        <v>0.209344</v>
      </c>
      <c r="CI1677">
        <v>24.4712</v>
      </c>
      <c r="CJ1677">
        <f t="shared" si="190"/>
        <v>1901.877314770011</v>
      </c>
      <c r="CL1677">
        <v>0.209344</v>
      </c>
      <c r="CM1677">
        <v>1.8270000000000002E-2</v>
      </c>
      <c r="CN1677">
        <f t="shared" si="191"/>
        <v>1.4199262210618238</v>
      </c>
    </row>
    <row r="1678" spans="4:92" x14ac:dyDescent="0.35">
      <c r="D1678">
        <v>0.229074</v>
      </c>
      <c r="E1678">
        <v>15.840199999999999</v>
      </c>
      <c r="F1678">
        <v>7.0955300000000001</v>
      </c>
      <c r="G1678">
        <v>14.4198</v>
      </c>
      <c r="I1678">
        <v>0.229074</v>
      </c>
      <c r="J1678">
        <f t="shared" si="187"/>
        <v>2.8113897132067654E-2</v>
      </c>
      <c r="K1678">
        <v>3.765768247982007E-2</v>
      </c>
      <c r="L1678">
        <v>4.7407586934866103E-2</v>
      </c>
      <c r="N1678">
        <v>0.229074</v>
      </c>
      <c r="O1678">
        <f t="shared" si="188"/>
        <v>3.765768247982007E-2</v>
      </c>
      <c r="Q1678">
        <v>0.229074</v>
      </c>
      <c r="R1678">
        <f t="shared" si="189"/>
        <v>4.7407586934866103E-2</v>
      </c>
      <c r="CH1678">
        <v>0.21205499999999999</v>
      </c>
      <c r="CI1678">
        <v>22.830100000000002</v>
      </c>
      <c r="CJ1678">
        <f t="shared" si="190"/>
        <v>1774.3326556903965</v>
      </c>
      <c r="CL1678">
        <v>0.21205499999999999</v>
      </c>
      <c r="CM1678">
        <v>2.1610000000000001E-2</v>
      </c>
      <c r="CN1678">
        <f t="shared" si="191"/>
        <v>1.6795076977091412</v>
      </c>
    </row>
    <row r="1679" spans="4:92" x14ac:dyDescent="0.35">
      <c r="D1679">
        <v>0.232041</v>
      </c>
      <c r="E1679">
        <v>16.167999999999999</v>
      </c>
      <c r="F1679">
        <v>6.5101399999999998</v>
      </c>
      <c r="G1679">
        <v>14.466200000000001</v>
      </c>
      <c r="I1679">
        <v>0.232041</v>
      </c>
      <c r="J1679">
        <f t="shared" si="187"/>
        <v>2.8695691268498497E-2</v>
      </c>
      <c r="K1679">
        <v>3.4550877104201634E-2</v>
      </c>
      <c r="L1679">
        <v>4.7560134961453004E-2</v>
      </c>
      <c r="N1679">
        <v>0.232041</v>
      </c>
      <c r="O1679">
        <f t="shared" si="188"/>
        <v>3.4550877104201634E-2</v>
      </c>
      <c r="Q1679">
        <v>0.232041</v>
      </c>
      <c r="R1679">
        <f t="shared" si="189"/>
        <v>4.7560134961453004E-2</v>
      </c>
      <c r="CH1679">
        <v>0.21480099999999999</v>
      </c>
      <c r="CI1679">
        <v>23.278099999999998</v>
      </c>
      <c r="CJ1679">
        <f t="shared" si="190"/>
        <v>1809.1507699233298</v>
      </c>
      <c r="CL1679">
        <v>0.21480099999999999</v>
      </c>
      <c r="CM1679">
        <v>2.0230000000000001E-2</v>
      </c>
      <c r="CN1679">
        <f t="shared" si="191"/>
        <v>1.5722554708309084</v>
      </c>
    </row>
    <row r="1680" spans="4:92" x14ac:dyDescent="0.35">
      <c r="D1680">
        <v>0.235046</v>
      </c>
      <c r="E1680">
        <v>15.871</v>
      </c>
      <c r="F1680">
        <v>6.3347199999999999</v>
      </c>
      <c r="G1680">
        <v>14.135300000000001</v>
      </c>
      <c r="I1680">
        <v>0.235046</v>
      </c>
      <c r="J1680">
        <f t="shared" si="187"/>
        <v>2.8168562352940352E-2</v>
      </c>
      <c r="K1680">
        <v>3.3619881017847263E-2</v>
      </c>
      <c r="L1680">
        <v>4.647224397012531E-2</v>
      </c>
      <c r="N1680">
        <v>0.235046</v>
      </c>
      <c r="O1680">
        <f t="shared" si="188"/>
        <v>3.3619881017847263E-2</v>
      </c>
      <c r="Q1680">
        <v>0.235046</v>
      </c>
      <c r="R1680">
        <f t="shared" si="189"/>
        <v>4.647224397012531E-2</v>
      </c>
      <c r="CH1680">
        <v>0.217583</v>
      </c>
      <c r="CI1680">
        <v>22.7713</v>
      </c>
      <c r="CJ1680">
        <f t="shared" si="190"/>
        <v>1769.7627781973238</v>
      </c>
      <c r="CL1680">
        <v>0.217583</v>
      </c>
      <c r="CM1680">
        <v>1.925E-2</v>
      </c>
      <c r="CN1680">
        <f t="shared" si="191"/>
        <v>1.496090845946366</v>
      </c>
    </row>
    <row r="1681" spans="4:92" x14ac:dyDescent="0.35">
      <c r="D1681">
        <v>0.23809</v>
      </c>
      <c r="E1681">
        <v>15.774699999999999</v>
      </c>
      <c r="F1681">
        <v>6.0968799999999996</v>
      </c>
      <c r="G1681">
        <v>14.131</v>
      </c>
      <c r="I1681">
        <v>0.23809</v>
      </c>
      <c r="J1681">
        <f t="shared" si="187"/>
        <v>2.7997644795471496E-2</v>
      </c>
      <c r="K1681">
        <v>3.2357606994483201E-2</v>
      </c>
      <c r="L1681">
        <v>4.6458106976282124E-2</v>
      </c>
      <c r="N1681">
        <v>0.23809</v>
      </c>
      <c r="O1681">
        <f t="shared" si="188"/>
        <v>3.2357606994483201E-2</v>
      </c>
      <c r="Q1681">
        <v>0.23809</v>
      </c>
      <c r="R1681">
        <f t="shared" si="189"/>
        <v>4.6458106976282124E-2</v>
      </c>
      <c r="CH1681">
        <v>0.22040000000000001</v>
      </c>
      <c r="CI1681">
        <v>22.754100000000001</v>
      </c>
      <c r="CJ1681">
        <f t="shared" si="190"/>
        <v>1768.4260113115952</v>
      </c>
      <c r="CL1681">
        <v>0.22040000000000001</v>
      </c>
      <c r="CM1681">
        <v>1.8669999999999999E-2</v>
      </c>
      <c r="CN1681">
        <f t="shared" si="191"/>
        <v>1.4510138230555143</v>
      </c>
    </row>
    <row r="1682" spans="4:92" x14ac:dyDescent="0.35">
      <c r="D1682">
        <v>0.241173</v>
      </c>
      <c r="E1682">
        <v>15.893599999999999</v>
      </c>
      <c r="F1682">
        <v>5.4226299999999998</v>
      </c>
      <c r="G1682">
        <v>13.8254</v>
      </c>
      <c r="I1682">
        <v>0.241173</v>
      </c>
      <c r="J1682">
        <f t="shared" si="187"/>
        <v>2.820867384617811E-2</v>
      </c>
      <c r="K1682">
        <v>2.8779200249388941E-2</v>
      </c>
      <c r="L1682">
        <v>4.5453394111520121E-2</v>
      </c>
      <c r="N1682">
        <v>0.241173</v>
      </c>
      <c r="O1682">
        <f t="shared" si="188"/>
        <v>2.8779200249388941E-2</v>
      </c>
      <c r="Q1682">
        <v>0.241173</v>
      </c>
      <c r="R1682">
        <f t="shared" si="189"/>
        <v>4.5453394111520121E-2</v>
      </c>
      <c r="CH1682">
        <v>0.22325500000000001</v>
      </c>
      <c r="CI1682">
        <v>21.5764</v>
      </c>
      <c r="CJ1682">
        <f t="shared" si="190"/>
        <v>1676.8963391416712</v>
      </c>
      <c r="CL1682">
        <v>0.22325500000000001</v>
      </c>
      <c r="CM1682">
        <v>2.0979999999999999E-2</v>
      </c>
      <c r="CN1682">
        <f t="shared" si="191"/>
        <v>1.6305447245690783</v>
      </c>
    </row>
    <row r="1683" spans="4:92" x14ac:dyDescent="0.35">
      <c r="D1683">
        <v>0.24429600000000001</v>
      </c>
      <c r="E1683">
        <v>15.911199999999999</v>
      </c>
      <c r="F1683">
        <v>5.2807199999999996</v>
      </c>
      <c r="G1683">
        <v>13.898099999999999</v>
      </c>
      <c r="I1683">
        <v>0.24429600000000001</v>
      </c>
      <c r="J1683">
        <f t="shared" si="187"/>
        <v>2.8239911115248224E-2</v>
      </c>
      <c r="K1683">
        <v>2.802604978413669E-2</v>
      </c>
      <c r="L1683">
        <v>4.5692407937659503E-2</v>
      </c>
      <c r="N1683">
        <v>0.24429600000000001</v>
      </c>
      <c r="O1683">
        <f t="shared" si="188"/>
        <v>2.802604978413669E-2</v>
      </c>
      <c r="Q1683">
        <v>0.24429600000000001</v>
      </c>
      <c r="R1683">
        <f t="shared" si="189"/>
        <v>4.5692407937659503E-2</v>
      </c>
      <c r="CH1683">
        <v>0.22614600000000001</v>
      </c>
      <c r="CI1683">
        <v>20.976099999999999</v>
      </c>
      <c r="CJ1683">
        <f t="shared" si="190"/>
        <v>1630.2416204496399</v>
      </c>
      <c r="CL1683">
        <v>0.22614600000000001</v>
      </c>
      <c r="CM1683">
        <v>1.7780000000000001E-2</v>
      </c>
      <c r="CN1683">
        <f t="shared" si="191"/>
        <v>1.3818439086195526</v>
      </c>
    </row>
    <row r="1684" spans="4:92" x14ac:dyDescent="0.35">
      <c r="D1684">
        <v>0.24746000000000001</v>
      </c>
      <c r="E1684">
        <v>15.9095</v>
      </c>
      <c r="F1684">
        <v>4.7762900000000004</v>
      </c>
      <c r="G1684">
        <v>13.536099999999999</v>
      </c>
      <c r="I1684">
        <v>0.24746000000000001</v>
      </c>
      <c r="J1684">
        <f t="shared" si="187"/>
        <v>2.8236893879031222E-2</v>
      </c>
      <c r="K1684">
        <v>2.5348918579942557E-2</v>
      </c>
      <c r="L1684">
        <v>4.4502270316442737E-2</v>
      </c>
      <c r="N1684">
        <v>0.24746000000000001</v>
      </c>
      <c r="O1684">
        <f t="shared" si="188"/>
        <v>2.5348918579942557E-2</v>
      </c>
      <c r="Q1684">
        <v>0.24746000000000001</v>
      </c>
      <c r="R1684">
        <f t="shared" si="189"/>
        <v>4.4502270316442737E-2</v>
      </c>
      <c r="CH1684">
        <v>0.229074</v>
      </c>
      <c r="CI1684">
        <v>20.408999999999999</v>
      </c>
      <c r="CJ1684">
        <f t="shared" si="190"/>
        <v>1586.1671727230848</v>
      </c>
      <c r="CL1684">
        <v>0.229074</v>
      </c>
      <c r="CM1684">
        <v>2.0119999999999999E-2</v>
      </c>
      <c r="CN1684">
        <f t="shared" si="191"/>
        <v>1.5637063802826432</v>
      </c>
    </row>
    <row r="1685" spans="4:92" x14ac:dyDescent="0.35">
      <c r="D1685">
        <v>0.250664</v>
      </c>
      <c r="E1685">
        <v>15.9735</v>
      </c>
      <c r="F1685">
        <v>4.5336499999999997</v>
      </c>
      <c r="G1685">
        <v>14.005100000000001</v>
      </c>
      <c r="I1685">
        <v>0.250664</v>
      </c>
      <c r="J1685">
        <f t="shared" si="187"/>
        <v>2.8350483948377084E-2</v>
      </c>
      <c r="K1685">
        <v>2.4061169803331992E-2</v>
      </c>
      <c r="L1685">
        <v>4.6044188947245678E-2</v>
      </c>
      <c r="N1685">
        <v>0.250664</v>
      </c>
      <c r="O1685">
        <f t="shared" si="188"/>
        <v>2.4061169803331992E-2</v>
      </c>
      <c r="Q1685">
        <v>0.250664</v>
      </c>
      <c r="R1685">
        <f t="shared" si="189"/>
        <v>4.6044188947245678E-2</v>
      </c>
      <c r="CH1685">
        <v>0.232041</v>
      </c>
      <c r="CI1685">
        <v>20.215900000000001</v>
      </c>
      <c r="CJ1685">
        <f t="shared" si="190"/>
        <v>1571.1596328606308</v>
      </c>
      <c r="CL1685">
        <v>0.232041</v>
      </c>
      <c r="CM1685">
        <v>1.9859999999999999E-2</v>
      </c>
      <c r="CN1685">
        <f t="shared" si="191"/>
        <v>1.5434994389867442</v>
      </c>
    </row>
    <row r="1686" spans="4:92" x14ac:dyDescent="0.35">
      <c r="D1686">
        <v>0.253911</v>
      </c>
      <c r="E1686">
        <v>15.9359</v>
      </c>
      <c r="F1686">
        <v>4.3151799999999998</v>
      </c>
      <c r="G1686">
        <v>13.461</v>
      </c>
      <c r="I1686">
        <v>0.253911</v>
      </c>
      <c r="J1686">
        <f t="shared" si="187"/>
        <v>2.828374978263639E-2</v>
      </c>
      <c r="K1686">
        <v>2.2901697023798077E-2</v>
      </c>
      <c r="L1686">
        <v>4.4255366075135069E-2</v>
      </c>
      <c r="N1686">
        <v>0.253911</v>
      </c>
      <c r="O1686">
        <f t="shared" si="188"/>
        <v>2.2901697023798077E-2</v>
      </c>
      <c r="Q1686">
        <v>0.253911</v>
      </c>
      <c r="R1686">
        <f t="shared" si="189"/>
        <v>4.4255366075135069E-2</v>
      </c>
      <c r="CH1686">
        <v>0.235046</v>
      </c>
      <c r="CI1686">
        <v>19.4678</v>
      </c>
      <c r="CJ1686">
        <f t="shared" si="190"/>
        <v>1513.0180452319305</v>
      </c>
      <c r="CL1686">
        <v>0.235046</v>
      </c>
      <c r="CM1686">
        <v>1.822E-2</v>
      </c>
      <c r="CN1686">
        <f t="shared" si="191"/>
        <v>1.4160402708126123</v>
      </c>
    </row>
    <row r="1687" spans="4:92" x14ac:dyDescent="0.35">
      <c r="D1687">
        <v>0.25719900000000001</v>
      </c>
      <c r="E1687">
        <v>15.9299</v>
      </c>
      <c r="F1687">
        <v>3.9990899999999998</v>
      </c>
      <c r="G1687">
        <v>13.491</v>
      </c>
      <c r="I1687">
        <v>0.25719900000000001</v>
      </c>
      <c r="J1687">
        <f t="shared" si="187"/>
        <v>2.8273100713635216E-2</v>
      </c>
      <c r="K1687">
        <v>2.1224131450113471E-2</v>
      </c>
      <c r="L1687">
        <v>4.4353996264738661E-2</v>
      </c>
      <c r="N1687">
        <v>0.25719900000000001</v>
      </c>
      <c r="O1687">
        <f t="shared" si="188"/>
        <v>2.1224131450113471E-2</v>
      </c>
      <c r="Q1687">
        <v>0.25719900000000001</v>
      </c>
      <c r="R1687">
        <f t="shared" si="189"/>
        <v>4.4353996264738661E-2</v>
      </c>
      <c r="CH1687">
        <v>0.23809</v>
      </c>
      <c r="CI1687">
        <v>19.947700000000001</v>
      </c>
      <c r="CJ1687">
        <f t="shared" si="190"/>
        <v>1550.315395723861</v>
      </c>
      <c r="CL1687">
        <v>0.23809</v>
      </c>
      <c r="CM1687">
        <v>1.7100000000000001E-2</v>
      </c>
      <c r="CN1687">
        <f t="shared" si="191"/>
        <v>1.3289949852302785</v>
      </c>
    </row>
    <row r="1688" spans="4:92" x14ac:dyDescent="0.35">
      <c r="D1688">
        <v>0.26052900000000001</v>
      </c>
      <c r="E1688">
        <v>16.058499999999999</v>
      </c>
      <c r="F1688">
        <v>3.9062899999999998</v>
      </c>
      <c r="G1688">
        <v>13.424200000000001</v>
      </c>
      <c r="I1688">
        <v>0.26052900000000001</v>
      </c>
      <c r="J1688">
        <f t="shared" si="187"/>
        <v>2.8501345759227057E-2</v>
      </c>
      <c r="K1688">
        <v>2.0731619554014473E-2</v>
      </c>
      <c r="L1688">
        <v>4.4134379709221315E-2</v>
      </c>
      <c r="N1688">
        <v>0.26052900000000001</v>
      </c>
      <c r="O1688">
        <f t="shared" si="188"/>
        <v>2.0731619554014473E-2</v>
      </c>
      <c r="Q1688">
        <v>0.26052900000000001</v>
      </c>
      <c r="R1688">
        <f t="shared" si="189"/>
        <v>4.4134379709221315E-2</v>
      </c>
      <c r="CH1688">
        <v>0.241173</v>
      </c>
      <c r="CI1688">
        <v>18.6965</v>
      </c>
      <c r="CJ1688">
        <f t="shared" si="190"/>
        <v>1453.0733766875965</v>
      </c>
      <c r="CL1688">
        <v>0.241173</v>
      </c>
      <c r="CM1688">
        <v>2.0629999999999999E-2</v>
      </c>
      <c r="CN1688">
        <f t="shared" si="191"/>
        <v>1.603343072824599</v>
      </c>
    </row>
    <row r="1689" spans="4:92" x14ac:dyDescent="0.35">
      <c r="D1689">
        <v>0.263903</v>
      </c>
      <c r="E1689">
        <v>15.9091</v>
      </c>
      <c r="F1689">
        <v>3.74336</v>
      </c>
      <c r="G1689">
        <v>13.364100000000001</v>
      </c>
      <c r="I1689">
        <v>0.263903</v>
      </c>
      <c r="J1689">
        <f t="shared" si="187"/>
        <v>2.8236183941097812E-2</v>
      </c>
      <c r="K1689">
        <v>1.9866910898503599E-2</v>
      </c>
      <c r="L1689">
        <v>4.393679056271544E-2</v>
      </c>
      <c r="N1689">
        <v>0.263903</v>
      </c>
      <c r="O1689">
        <f t="shared" si="188"/>
        <v>1.9866910898503599E-2</v>
      </c>
      <c r="Q1689">
        <v>0.263903</v>
      </c>
      <c r="R1689">
        <f t="shared" si="189"/>
        <v>4.393679056271544E-2</v>
      </c>
      <c r="CH1689">
        <v>0.24429600000000001</v>
      </c>
      <c r="CI1689">
        <v>17.8691</v>
      </c>
      <c r="CJ1689">
        <f t="shared" si="190"/>
        <v>1388.7686719636472</v>
      </c>
      <c r="CL1689">
        <v>0.24429600000000001</v>
      </c>
      <c r="CM1689">
        <v>2.2360000000000001E-2</v>
      </c>
      <c r="CN1689">
        <f t="shared" si="191"/>
        <v>1.7377969514473115</v>
      </c>
    </row>
    <row r="1690" spans="4:92" x14ac:dyDescent="0.35">
      <c r="D1690">
        <v>0.26732099999999998</v>
      </c>
      <c r="E1690">
        <v>15.825699999999999</v>
      </c>
      <c r="F1690">
        <v>3.2771300000000001</v>
      </c>
      <c r="G1690">
        <v>13.0174</v>
      </c>
      <c r="I1690">
        <v>0.26732099999999998</v>
      </c>
      <c r="J1690">
        <f t="shared" si="187"/>
        <v>2.8088161881981485E-2</v>
      </c>
      <c r="K1690">
        <v>1.7392516272229524E-2</v>
      </c>
      <c r="L1690">
        <v>4.2796954338196504E-2</v>
      </c>
      <c r="N1690">
        <v>0.26732099999999998</v>
      </c>
      <c r="O1690">
        <f t="shared" si="188"/>
        <v>1.7392516272229524E-2</v>
      </c>
      <c r="Q1690">
        <v>0.26732099999999998</v>
      </c>
      <c r="R1690">
        <f t="shared" si="189"/>
        <v>4.2796954338196504E-2</v>
      </c>
      <c r="CH1690">
        <v>0.24746000000000001</v>
      </c>
      <c r="CI1690">
        <v>17.4909</v>
      </c>
      <c r="CJ1690">
        <f t="shared" si="190"/>
        <v>1359.3753442786126</v>
      </c>
      <c r="CL1690">
        <v>0.24746000000000001</v>
      </c>
      <c r="CM1690">
        <v>1.754E-2</v>
      </c>
      <c r="CN1690">
        <f t="shared" si="191"/>
        <v>1.3631913474233381</v>
      </c>
    </row>
    <row r="1691" spans="4:92" x14ac:dyDescent="0.35">
      <c r="D1691">
        <v>0.270783</v>
      </c>
      <c r="E1691">
        <v>15.823700000000001</v>
      </c>
      <c r="F1691">
        <v>3.1895600000000002</v>
      </c>
      <c r="G1691">
        <v>12.763199999999999</v>
      </c>
      <c r="I1691">
        <v>0.270783</v>
      </c>
      <c r="J1691">
        <f t="shared" si="187"/>
        <v>2.8084612192314423E-2</v>
      </c>
      <c r="K1691">
        <v>1.6927761242688695E-2</v>
      </c>
      <c r="L1691">
        <v>4.196122786495534E-2</v>
      </c>
      <c r="N1691">
        <v>0.270783</v>
      </c>
      <c r="O1691">
        <f t="shared" si="188"/>
        <v>1.6927761242688695E-2</v>
      </c>
      <c r="Q1691">
        <v>0.270783</v>
      </c>
      <c r="R1691">
        <f t="shared" si="189"/>
        <v>4.196122786495534E-2</v>
      </c>
      <c r="CH1691">
        <v>0.250664</v>
      </c>
      <c r="CI1691">
        <v>16.859000000000002</v>
      </c>
      <c r="CJ1691">
        <f t="shared" si="190"/>
        <v>1310.2647050290798</v>
      </c>
      <c r="CL1691">
        <v>0.250664</v>
      </c>
      <c r="CM1691">
        <v>1.7579999999999998E-2</v>
      </c>
      <c r="CN1691">
        <f t="shared" si="191"/>
        <v>1.366300107622707</v>
      </c>
    </row>
    <row r="1692" spans="4:92" x14ac:dyDescent="0.35">
      <c r="D1692">
        <v>0.27428900000000001</v>
      </c>
      <c r="E1692">
        <v>15.804600000000001</v>
      </c>
      <c r="F1692">
        <v>3.5834199999999998</v>
      </c>
      <c r="G1692">
        <v>13.0648</v>
      </c>
      <c r="I1692">
        <v>0.27428900000000001</v>
      </c>
      <c r="J1692">
        <f t="shared" si="187"/>
        <v>2.8050712655994021E-2</v>
      </c>
      <c r="K1692">
        <v>1.9018070891369192E-2</v>
      </c>
      <c r="L1692">
        <v>4.2952790037770194E-2</v>
      </c>
      <c r="N1692">
        <v>0.27428900000000001</v>
      </c>
      <c r="O1692">
        <f t="shared" si="188"/>
        <v>1.9018070891369192E-2</v>
      </c>
      <c r="Q1692">
        <v>0.27428900000000001</v>
      </c>
      <c r="R1692">
        <f t="shared" si="189"/>
        <v>4.2952790037770194E-2</v>
      </c>
      <c r="CH1692">
        <v>0.253911</v>
      </c>
      <c r="CI1692">
        <v>16.154800000000002</v>
      </c>
      <c r="CJ1692">
        <f t="shared" si="190"/>
        <v>1255.5349817191873</v>
      </c>
      <c r="CL1692">
        <v>0.253911</v>
      </c>
      <c r="CM1692">
        <v>1.745E-2</v>
      </c>
      <c r="CN1692">
        <f t="shared" si="191"/>
        <v>1.3561966369747578</v>
      </c>
    </row>
    <row r="1693" spans="4:92" x14ac:dyDescent="0.35">
      <c r="D1693">
        <v>0.277841</v>
      </c>
      <c r="E1693">
        <v>16.400400000000001</v>
      </c>
      <c r="F1693">
        <v>4.0667099999999996</v>
      </c>
      <c r="G1693">
        <v>13.8767</v>
      </c>
      <c r="I1693">
        <v>0.277841</v>
      </c>
      <c r="J1693">
        <f t="shared" si="187"/>
        <v>2.9108165207810663E-2</v>
      </c>
      <c r="K1693">
        <v>2.1583007036473534E-2</v>
      </c>
      <c r="L1693">
        <v>4.5622051735742269E-2</v>
      </c>
      <c r="N1693">
        <v>0.277841</v>
      </c>
      <c r="O1693">
        <f t="shared" si="188"/>
        <v>2.1583007036473534E-2</v>
      </c>
      <c r="Q1693">
        <v>0.277841</v>
      </c>
      <c r="R1693">
        <f t="shared" si="189"/>
        <v>4.5622051735742269E-2</v>
      </c>
      <c r="CH1693">
        <v>0.25719900000000001</v>
      </c>
      <c r="CI1693">
        <v>16.3871</v>
      </c>
      <c r="CJ1693">
        <f t="shared" si="190"/>
        <v>1273.5891065770231</v>
      </c>
      <c r="CL1693">
        <v>0.25719900000000001</v>
      </c>
      <c r="CM1693">
        <v>1.839E-2</v>
      </c>
      <c r="CN1693">
        <f t="shared" si="191"/>
        <v>1.4292525016599309</v>
      </c>
    </row>
    <row r="1694" spans="4:92" x14ac:dyDescent="0.35">
      <c r="D1694">
        <v>0.28144000000000002</v>
      </c>
      <c r="E1694">
        <v>16.385300000000001</v>
      </c>
      <c r="F1694">
        <v>4.3462399999999999</v>
      </c>
      <c r="G1694">
        <v>13.688700000000001</v>
      </c>
      <c r="I1694">
        <v>0.28144000000000002</v>
      </c>
      <c r="J1694">
        <f t="shared" si="187"/>
        <v>2.908136505082437E-2</v>
      </c>
      <c r="K1694">
        <v>2.3066539906263971E-2</v>
      </c>
      <c r="L1694">
        <v>4.5003969214226391E-2</v>
      </c>
      <c r="N1694">
        <v>0.28144000000000002</v>
      </c>
      <c r="O1694">
        <f t="shared" si="188"/>
        <v>2.3066539906263971E-2</v>
      </c>
      <c r="Q1694">
        <v>0.28144000000000002</v>
      </c>
      <c r="R1694">
        <f t="shared" si="189"/>
        <v>4.5003969214226391E-2</v>
      </c>
      <c r="CH1694">
        <v>0.26052900000000001</v>
      </c>
      <c r="CI1694">
        <v>16.340699999999998</v>
      </c>
      <c r="CJ1694">
        <f t="shared" si="190"/>
        <v>1269.9829447457548</v>
      </c>
      <c r="CL1694">
        <v>0.26052900000000001</v>
      </c>
      <c r="CM1694">
        <v>2.1860000000000001E-2</v>
      </c>
      <c r="CN1694">
        <f t="shared" si="191"/>
        <v>1.698937448955198</v>
      </c>
    </row>
    <row r="1695" spans="4:92" x14ac:dyDescent="0.35">
      <c r="D1695">
        <v>0.285084</v>
      </c>
      <c r="E1695">
        <v>16.584599999999998</v>
      </c>
      <c r="F1695">
        <v>4.9276999999999997</v>
      </c>
      <c r="G1695">
        <v>14.2971</v>
      </c>
      <c r="I1695">
        <v>0.285084</v>
      </c>
      <c r="J1695">
        <f t="shared" si="187"/>
        <v>2.9435091626146714E-2</v>
      </c>
      <c r="K1695">
        <v>2.615248782766183E-2</v>
      </c>
      <c r="L1695">
        <v>4.7004189459387377E-2</v>
      </c>
      <c r="N1695">
        <v>0.285084</v>
      </c>
      <c r="O1695">
        <f t="shared" si="188"/>
        <v>2.615248782766183E-2</v>
      </c>
      <c r="Q1695">
        <v>0.285084</v>
      </c>
      <c r="R1695">
        <f t="shared" si="189"/>
        <v>4.7004189459387377E-2</v>
      </c>
      <c r="CH1695">
        <v>0.263903</v>
      </c>
      <c r="CI1695">
        <v>15.440099999999999</v>
      </c>
      <c r="CJ1695">
        <f t="shared" si="190"/>
        <v>1199.9892088569602</v>
      </c>
      <c r="CL1695">
        <v>0.263903</v>
      </c>
      <c r="CM1695">
        <v>2.0119999999999999E-2</v>
      </c>
      <c r="CN1695">
        <f t="shared" si="191"/>
        <v>1.5637063802826432</v>
      </c>
    </row>
    <row r="1696" spans="4:92" x14ac:dyDescent="0.35">
      <c r="D1696">
        <v>0.28877599999999998</v>
      </c>
      <c r="E1696">
        <v>16.677800000000001</v>
      </c>
      <c r="F1696">
        <v>5.3265399999999996</v>
      </c>
      <c r="G1696">
        <v>14.4077</v>
      </c>
      <c r="I1696">
        <v>0.28877599999999998</v>
      </c>
      <c r="J1696">
        <f t="shared" si="187"/>
        <v>2.9600507164631633E-2</v>
      </c>
      <c r="K1696">
        <v>2.8269227532835575E-2</v>
      </c>
      <c r="L1696">
        <v>4.7367806091725986E-2</v>
      </c>
      <c r="N1696">
        <v>0.28877599999999998</v>
      </c>
      <c r="O1696">
        <f t="shared" si="188"/>
        <v>2.8269227532835575E-2</v>
      </c>
      <c r="Q1696">
        <v>0.28877599999999998</v>
      </c>
      <c r="R1696">
        <f t="shared" si="189"/>
        <v>4.7367806091725986E-2</v>
      </c>
      <c r="CH1696">
        <v>0.26732099999999998</v>
      </c>
      <c r="CI1696">
        <v>14.4015</v>
      </c>
      <c r="CJ1696">
        <f t="shared" si="190"/>
        <v>1119.2702502803425</v>
      </c>
      <c r="CL1696">
        <v>0.26732099999999998</v>
      </c>
      <c r="CM1696">
        <v>2.1229999999999999E-2</v>
      </c>
      <c r="CN1696">
        <f t="shared" si="191"/>
        <v>1.6499744758151349</v>
      </c>
    </row>
    <row r="1697" spans="4:92" x14ac:dyDescent="0.35">
      <c r="D1697">
        <v>0.292516</v>
      </c>
      <c r="E1697">
        <v>16.0581</v>
      </c>
      <c r="F1697">
        <v>5.5170599999999999</v>
      </c>
      <c r="G1697">
        <v>14.527799999999999</v>
      </c>
      <c r="I1697">
        <v>0.292516</v>
      </c>
      <c r="J1697">
        <f t="shared" si="187"/>
        <v>2.8500635821293648E-2</v>
      </c>
      <c r="K1697">
        <v>2.9280362947111227E-2</v>
      </c>
      <c r="L1697">
        <v>4.7762655617439052E-2</v>
      </c>
      <c r="N1697">
        <v>0.292516</v>
      </c>
      <c r="O1697">
        <f t="shared" si="188"/>
        <v>2.9280362947111227E-2</v>
      </c>
      <c r="Q1697">
        <v>0.292516</v>
      </c>
      <c r="R1697">
        <f t="shared" si="189"/>
        <v>4.7762655617439052E-2</v>
      </c>
      <c r="CH1697">
        <v>0.270783</v>
      </c>
      <c r="CI1697">
        <v>14.5867</v>
      </c>
      <c r="CJ1697">
        <f t="shared" si="190"/>
        <v>1133.6638100034211</v>
      </c>
      <c r="CL1697">
        <v>0.270783</v>
      </c>
      <c r="CM1697">
        <v>2.1680000000000001E-2</v>
      </c>
      <c r="CN1697">
        <f t="shared" si="191"/>
        <v>1.6849480280580371</v>
      </c>
    </row>
    <row r="1698" spans="4:92" x14ac:dyDescent="0.35">
      <c r="D1698">
        <v>0.29630400000000001</v>
      </c>
      <c r="E1698">
        <v>16.331900000000001</v>
      </c>
      <c r="F1698">
        <v>5.7713700000000001</v>
      </c>
      <c r="G1698">
        <v>14.4567</v>
      </c>
      <c r="I1698">
        <v>0.29630400000000001</v>
      </c>
      <c r="J1698">
        <f t="shared" si="187"/>
        <v>2.8986588336713914E-2</v>
      </c>
      <c r="K1698">
        <v>3.0630047217552341E-2</v>
      </c>
      <c r="L1698">
        <v>4.7528902068078527E-2</v>
      </c>
      <c r="N1698">
        <v>0.29630400000000001</v>
      </c>
      <c r="O1698">
        <f t="shared" si="188"/>
        <v>3.0630047217552341E-2</v>
      </c>
      <c r="Q1698">
        <v>0.29630400000000001</v>
      </c>
      <c r="R1698">
        <f t="shared" si="189"/>
        <v>4.7528902068078527E-2</v>
      </c>
      <c r="CH1698">
        <v>0.27428900000000001</v>
      </c>
      <c r="CI1698">
        <v>15.593999999999999</v>
      </c>
      <c r="CJ1698">
        <f t="shared" si="190"/>
        <v>1211.9501637240328</v>
      </c>
      <c r="CL1698">
        <v>0.27428900000000001</v>
      </c>
      <c r="CM1698">
        <v>2.197E-2</v>
      </c>
      <c r="CN1698">
        <f t="shared" si="191"/>
        <v>1.7074865395034629</v>
      </c>
    </row>
    <row r="1699" spans="4:92" x14ac:dyDescent="0.35">
      <c r="D1699">
        <v>0.30014099999999999</v>
      </c>
      <c r="E1699">
        <v>16.713999999999999</v>
      </c>
      <c r="F1699">
        <v>5.9161099999999998</v>
      </c>
      <c r="G1699">
        <v>14.651899999999999</v>
      </c>
      <c r="I1699">
        <v>0.30014099999999999</v>
      </c>
      <c r="J1699">
        <f t="shared" si="187"/>
        <v>2.9664756547605382E-2</v>
      </c>
      <c r="K1699">
        <v>3.1398217172739502E-2</v>
      </c>
      <c r="L1699">
        <v>4.8170655835099281E-2</v>
      </c>
      <c r="N1699">
        <v>0.30014099999999999</v>
      </c>
      <c r="O1699">
        <f t="shared" si="188"/>
        <v>3.1398217172739502E-2</v>
      </c>
      <c r="Q1699">
        <v>0.30014099999999999</v>
      </c>
      <c r="R1699">
        <f t="shared" si="189"/>
        <v>4.8170655835099281E-2</v>
      </c>
      <c r="CH1699">
        <v>0.277841</v>
      </c>
      <c r="CI1699">
        <v>16.399699999999999</v>
      </c>
      <c r="CJ1699">
        <f t="shared" si="190"/>
        <v>1274.5683660398242</v>
      </c>
      <c r="CL1699">
        <v>0.277841</v>
      </c>
      <c r="CM1699">
        <v>1.805E-2</v>
      </c>
      <c r="CN1699">
        <f t="shared" si="191"/>
        <v>1.4028280399652937</v>
      </c>
    </row>
    <row r="1700" spans="4:92" x14ac:dyDescent="0.35">
      <c r="D1700">
        <v>0.30402800000000002</v>
      </c>
      <c r="E1700">
        <v>16.669499999999999</v>
      </c>
      <c r="F1700">
        <v>6.0837300000000001</v>
      </c>
      <c r="G1700">
        <v>15.023300000000001</v>
      </c>
      <c r="I1700">
        <v>0.30402800000000002</v>
      </c>
      <c r="J1700">
        <f t="shared" si="187"/>
        <v>2.9585775952513337E-2</v>
      </c>
      <c r="K1700">
        <v>3.2287816785068313E-2</v>
      </c>
      <c r="L1700">
        <v>4.9391697582391848E-2</v>
      </c>
      <c r="N1700">
        <v>0.30402800000000002</v>
      </c>
      <c r="O1700">
        <f t="shared" si="188"/>
        <v>3.2287816785068313E-2</v>
      </c>
      <c r="Q1700">
        <v>0.30402800000000002</v>
      </c>
      <c r="R1700">
        <f t="shared" si="189"/>
        <v>4.9391697582391848E-2</v>
      </c>
      <c r="CH1700">
        <v>0.28144000000000002</v>
      </c>
      <c r="CI1700">
        <v>16.954799999999999</v>
      </c>
      <c r="CJ1700">
        <f t="shared" si="190"/>
        <v>1317.7101857065686</v>
      </c>
      <c r="CL1700">
        <v>0.28144000000000002</v>
      </c>
      <c r="CM1700">
        <v>2.0060000000000001E-2</v>
      </c>
      <c r="CN1700">
        <f t="shared" si="191"/>
        <v>1.5590432399835898</v>
      </c>
    </row>
    <row r="1701" spans="4:92" x14ac:dyDescent="0.35">
      <c r="D1701">
        <v>0.30796499999999999</v>
      </c>
      <c r="E1701">
        <v>16.8947</v>
      </c>
      <c r="F1701">
        <v>6.1438499999999996</v>
      </c>
      <c r="G1701">
        <v>15.064399999999999</v>
      </c>
      <c r="I1701">
        <v>0.30796499999999999</v>
      </c>
      <c r="J1701">
        <f t="shared" si="187"/>
        <v>2.998547100902409E-2</v>
      </c>
      <c r="K1701">
        <v>3.260688806948072E-2</v>
      </c>
      <c r="L1701">
        <v>4.9526820942148768E-2</v>
      </c>
      <c r="N1701">
        <v>0.30796499999999999</v>
      </c>
      <c r="O1701">
        <f t="shared" si="188"/>
        <v>3.260688806948072E-2</v>
      </c>
      <c r="Q1701">
        <v>0.30796499999999999</v>
      </c>
      <c r="R1701">
        <f t="shared" si="189"/>
        <v>4.9526820942148768E-2</v>
      </c>
      <c r="CH1701">
        <v>0.285084</v>
      </c>
      <c r="CI1701">
        <v>18.129799999999999</v>
      </c>
      <c r="CJ1701">
        <f t="shared" si="190"/>
        <v>1409.0300165630351</v>
      </c>
      <c r="CL1701">
        <v>0.285084</v>
      </c>
      <c r="CM1701">
        <v>1.9349999999999999E-2</v>
      </c>
      <c r="CN1701">
        <f t="shared" si="191"/>
        <v>1.5038627464447887</v>
      </c>
    </row>
    <row r="1702" spans="4:92" x14ac:dyDescent="0.35">
      <c r="D1702">
        <v>0.31195299999999998</v>
      </c>
      <c r="E1702">
        <v>16.746099999999998</v>
      </c>
      <c r="F1702">
        <v>6.2600499999999997</v>
      </c>
      <c r="G1702">
        <v>15.1999</v>
      </c>
      <c r="I1702">
        <v>0.31195299999999998</v>
      </c>
      <c r="J1702">
        <f t="shared" si="187"/>
        <v>2.9721729066761668E-2</v>
      </c>
      <c r="K1702">
        <v>3.3223589387656405E-2</v>
      </c>
      <c r="L1702">
        <v>4.9972300631858368E-2</v>
      </c>
      <c r="N1702">
        <v>0.31195299999999998</v>
      </c>
      <c r="O1702">
        <f t="shared" si="188"/>
        <v>3.3223589387656405E-2</v>
      </c>
      <c r="Q1702">
        <v>0.31195299999999998</v>
      </c>
      <c r="R1702">
        <f t="shared" si="189"/>
        <v>4.9972300631858368E-2</v>
      </c>
      <c r="CH1702">
        <v>0.28877599999999998</v>
      </c>
      <c r="CI1702">
        <v>19.7578</v>
      </c>
      <c r="CJ1702">
        <f t="shared" si="190"/>
        <v>1535.5565566773564</v>
      </c>
      <c r="CL1702">
        <v>0.28877599999999998</v>
      </c>
      <c r="CM1702">
        <v>1.882E-2</v>
      </c>
      <c r="CN1702">
        <f t="shared" si="191"/>
        <v>1.4626716738031484</v>
      </c>
    </row>
    <row r="1703" spans="4:92" x14ac:dyDescent="0.35">
      <c r="D1703">
        <v>0.31599300000000002</v>
      </c>
      <c r="E1703">
        <v>16.840499999999999</v>
      </c>
      <c r="F1703">
        <v>6.4275399999999996</v>
      </c>
      <c r="G1703">
        <v>15.313800000000001</v>
      </c>
      <c r="I1703">
        <v>0.31599300000000002</v>
      </c>
      <c r="J1703">
        <f t="shared" si="187"/>
        <v>2.9889274419046812E-2</v>
      </c>
      <c r="K1703">
        <v>3.4112499058751453E-2</v>
      </c>
      <c r="L1703">
        <v>5.0346766585053368E-2</v>
      </c>
      <c r="N1703">
        <v>0.31599300000000002</v>
      </c>
      <c r="O1703">
        <f t="shared" si="188"/>
        <v>3.4112499058751453E-2</v>
      </c>
      <c r="Q1703">
        <v>0.31599300000000002</v>
      </c>
      <c r="R1703">
        <f t="shared" si="189"/>
        <v>5.0346766585053368E-2</v>
      </c>
      <c r="CH1703">
        <v>0.292516</v>
      </c>
      <c r="CI1703">
        <v>20.0502</v>
      </c>
      <c r="CJ1703">
        <f t="shared" si="190"/>
        <v>1558.2815937347443</v>
      </c>
      <c r="CL1703">
        <v>0.292516</v>
      </c>
      <c r="CM1703">
        <v>1.7930000000000001E-2</v>
      </c>
      <c r="CN1703">
        <f t="shared" si="191"/>
        <v>1.3935017593671868</v>
      </c>
    </row>
    <row r="1704" spans="4:92" x14ac:dyDescent="0.35">
      <c r="D1704">
        <v>0.32008500000000001</v>
      </c>
      <c r="E1704">
        <v>17.019100000000002</v>
      </c>
      <c r="F1704">
        <v>6.6369600000000002</v>
      </c>
      <c r="G1704">
        <v>15.2423</v>
      </c>
      <c r="I1704">
        <v>0.32008500000000001</v>
      </c>
      <c r="J1704">
        <f t="shared" si="187"/>
        <v>3.0206261706315112E-2</v>
      </c>
      <c r="K1704">
        <v>3.5223941313935199E-2</v>
      </c>
      <c r="L1704">
        <v>5.0111697966498121E-2</v>
      </c>
      <c r="N1704">
        <v>0.32008500000000001</v>
      </c>
      <c r="O1704">
        <f t="shared" si="188"/>
        <v>3.5223941313935199E-2</v>
      </c>
      <c r="Q1704">
        <v>0.32008500000000001</v>
      </c>
      <c r="R1704">
        <f t="shared" si="189"/>
        <v>5.0111697966498121E-2</v>
      </c>
      <c r="CH1704">
        <v>0.29630400000000001</v>
      </c>
      <c r="CI1704">
        <v>19.482500000000002</v>
      </c>
      <c r="CJ1704">
        <f t="shared" si="190"/>
        <v>1514.1605146051988</v>
      </c>
      <c r="CL1704">
        <v>0.29630400000000001</v>
      </c>
      <c r="CM1704">
        <v>1.789E-2</v>
      </c>
      <c r="CN1704">
        <f t="shared" si="191"/>
        <v>1.3903929991678174</v>
      </c>
    </row>
    <row r="1705" spans="4:92" x14ac:dyDescent="0.35">
      <c r="D1705">
        <v>0.32423000000000002</v>
      </c>
      <c r="E1705">
        <v>17.115500000000001</v>
      </c>
      <c r="F1705">
        <v>6.6468499999999997</v>
      </c>
      <c r="G1705">
        <v>15.204000000000001</v>
      </c>
      <c r="I1705">
        <v>0.32423000000000002</v>
      </c>
      <c r="J1705">
        <f t="shared" si="187"/>
        <v>3.0377356748267321E-2</v>
      </c>
      <c r="K1705">
        <v>3.5276429920103505E-2</v>
      </c>
      <c r="L1705">
        <v>4.9985780091104194E-2</v>
      </c>
      <c r="N1705">
        <v>0.32423000000000002</v>
      </c>
      <c r="O1705">
        <f t="shared" si="188"/>
        <v>3.5276429920103505E-2</v>
      </c>
      <c r="Q1705">
        <v>0.32423000000000002</v>
      </c>
      <c r="R1705">
        <f t="shared" si="189"/>
        <v>4.9985780091104194E-2</v>
      </c>
      <c r="CH1705">
        <v>0.30014099999999999</v>
      </c>
      <c r="CI1705">
        <v>20.479399999999998</v>
      </c>
      <c r="CJ1705">
        <f t="shared" si="190"/>
        <v>1591.6385906739742</v>
      </c>
      <c r="CL1705">
        <v>0.30014099999999999</v>
      </c>
      <c r="CM1705">
        <v>1.805E-2</v>
      </c>
      <c r="CN1705">
        <f t="shared" si="191"/>
        <v>1.4028280399652937</v>
      </c>
    </row>
    <row r="1706" spans="4:92" x14ac:dyDescent="0.35">
      <c r="D1706">
        <v>0.32842900000000003</v>
      </c>
      <c r="E1706">
        <v>17.113299999999999</v>
      </c>
      <c r="F1706">
        <v>6.8300200000000002</v>
      </c>
      <c r="G1706">
        <v>15.285399999999999</v>
      </c>
      <c r="I1706">
        <v>0.32842900000000003</v>
      </c>
      <c r="J1706">
        <f t="shared" si="187"/>
        <v>3.0373452089633553E-2</v>
      </c>
      <c r="K1706">
        <v>3.6248557118470463E-2</v>
      </c>
      <c r="L1706">
        <v>5.0253396672228619E-2</v>
      </c>
      <c r="N1706">
        <v>0.32842900000000003</v>
      </c>
      <c r="O1706">
        <f t="shared" si="188"/>
        <v>3.6248557118470463E-2</v>
      </c>
      <c r="Q1706">
        <v>0.32842900000000003</v>
      </c>
      <c r="R1706">
        <f t="shared" si="189"/>
        <v>5.0253396672228619E-2</v>
      </c>
      <c r="CH1706">
        <v>0.30402800000000002</v>
      </c>
      <c r="CI1706">
        <v>20.473099999999999</v>
      </c>
      <c r="CJ1706">
        <f t="shared" si="190"/>
        <v>1591.1489609425737</v>
      </c>
      <c r="CL1706">
        <v>0.30402800000000002</v>
      </c>
      <c r="CM1706">
        <v>1.7610000000000001E-2</v>
      </c>
      <c r="CN1706">
        <f t="shared" si="191"/>
        <v>1.368631677772234</v>
      </c>
    </row>
    <row r="1707" spans="4:92" x14ac:dyDescent="0.35">
      <c r="D1707">
        <v>0.33268199999999998</v>
      </c>
      <c r="E1707">
        <v>17.140499999999999</v>
      </c>
      <c r="F1707">
        <v>6.6198199999999998</v>
      </c>
      <c r="G1707">
        <v>15.7463</v>
      </c>
      <c r="I1707">
        <v>0.33268199999999998</v>
      </c>
      <c r="J1707">
        <f t="shared" si="187"/>
        <v>3.0421727869105544E-2</v>
      </c>
      <c r="K1707">
        <v>3.5132975215884155E-2</v>
      </c>
      <c r="L1707">
        <v>5.1768685151838592E-2</v>
      </c>
      <c r="N1707">
        <v>0.33268199999999998</v>
      </c>
      <c r="O1707">
        <f t="shared" si="188"/>
        <v>3.5132975215884155E-2</v>
      </c>
      <c r="Q1707">
        <v>0.33268199999999998</v>
      </c>
      <c r="R1707">
        <f t="shared" si="189"/>
        <v>5.1768685151838592E-2</v>
      </c>
      <c r="CH1707">
        <v>0.30796499999999999</v>
      </c>
      <c r="CI1707">
        <v>20.658300000000001</v>
      </c>
      <c r="CJ1707">
        <f t="shared" si="190"/>
        <v>1605.5425206656525</v>
      </c>
      <c r="CL1707">
        <v>0.30796499999999999</v>
      </c>
      <c r="CM1707">
        <v>1.7610000000000001E-2</v>
      </c>
      <c r="CN1707">
        <f t="shared" si="191"/>
        <v>1.368631677772234</v>
      </c>
    </row>
    <row r="1708" spans="4:92" x14ac:dyDescent="0.35">
      <c r="D1708">
        <v>0.33699099999999999</v>
      </c>
      <c r="E1708">
        <v>17.1113</v>
      </c>
      <c r="F1708">
        <v>6.9531299999999998</v>
      </c>
      <c r="G1708">
        <v>15.758800000000001</v>
      </c>
      <c r="I1708">
        <v>0.33699099999999999</v>
      </c>
      <c r="J1708">
        <f t="shared" si="187"/>
        <v>3.0369902399966495E-2</v>
      </c>
      <c r="K1708">
        <v>3.6901931466840579E-2</v>
      </c>
      <c r="L1708">
        <v>5.1809781064173423E-2</v>
      </c>
      <c r="N1708">
        <v>0.33699099999999999</v>
      </c>
      <c r="O1708">
        <f t="shared" si="188"/>
        <v>3.6901931466840579E-2</v>
      </c>
      <c r="Q1708">
        <v>0.33699099999999999</v>
      </c>
      <c r="R1708">
        <f t="shared" si="189"/>
        <v>5.1809781064173423E-2</v>
      </c>
      <c r="CH1708">
        <v>0.31195299999999998</v>
      </c>
      <c r="CI1708">
        <v>21.8386</v>
      </c>
      <c r="CJ1708">
        <f t="shared" si="190"/>
        <v>1697.2742622485355</v>
      </c>
      <c r="CL1708">
        <v>0.31195299999999998</v>
      </c>
      <c r="CM1708">
        <v>1.9480000000000001E-2</v>
      </c>
      <c r="CN1708">
        <f t="shared" si="191"/>
        <v>1.5139662170927382</v>
      </c>
    </row>
    <row r="1709" spans="4:92" x14ac:dyDescent="0.35">
      <c r="D1709">
        <v>0.34135500000000002</v>
      </c>
      <c r="E1709">
        <v>16.717500000000001</v>
      </c>
      <c r="F1709">
        <v>6.8859399999999997</v>
      </c>
      <c r="G1709">
        <v>15.6586</v>
      </c>
      <c r="I1709">
        <v>0.34135500000000002</v>
      </c>
      <c r="J1709">
        <f t="shared" si="187"/>
        <v>2.9670968504522739E-2</v>
      </c>
      <c r="K1709">
        <v>3.6545337993792178E-2</v>
      </c>
      <c r="L1709">
        <v>5.1480356230897396E-2</v>
      </c>
      <c r="N1709">
        <v>0.34135500000000002</v>
      </c>
      <c r="O1709">
        <f t="shared" si="188"/>
        <v>3.6545337993792178E-2</v>
      </c>
      <c r="Q1709">
        <v>0.34135500000000002</v>
      </c>
      <c r="R1709">
        <f t="shared" si="189"/>
        <v>5.1480356230897396E-2</v>
      </c>
      <c r="CH1709">
        <v>0.31599300000000002</v>
      </c>
      <c r="CI1709">
        <v>22.031600000000001</v>
      </c>
      <c r="CJ1709">
        <f t="shared" si="190"/>
        <v>1712.2740302104912</v>
      </c>
      <c r="CL1709">
        <v>0.31599300000000002</v>
      </c>
      <c r="CM1709">
        <v>1.8589999999999999E-2</v>
      </c>
      <c r="CN1709">
        <f t="shared" si="191"/>
        <v>1.4447963026567763</v>
      </c>
    </row>
    <row r="1710" spans="4:92" x14ac:dyDescent="0.35">
      <c r="D1710">
        <v>0.345775</v>
      </c>
      <c r="E1710">
        <v>17.385100000000001</v>
      </c>
      <c r="F1710">
        <v>7.1038399999999999</v>
      </c>
      <c r="G1710">
        <v>15.718299999999999</v>
      </c>
      <c r="I1710">
        <v>0.345775</v>
      </c>
      <c r="J1710">
        <f t="shared" si="187"/>
        <v>3.0855854915386768E-2</v>
      </c>
      <c r="K1710">
        <v>3.7701785646378071E-2</v>
      </c>
      <c r="L1710">
        <v>5.1676630308208564E-2</v>
      </c>
      <c r="N1710">
        <v>0.345775</v>
      </c>
      <c r="O1710">
        <f t="shared" si="188"/>
        <v>3.7701785646378071E-2</v>
      </c>
      <c r="Q1710">
        <v>0.345775</v>
      </c>
      <c r="R1710">
        <f t="shared" si="189"/>
        <v>5.1676630308208564E-2</v>
      </c>
      <c r="CH1710">
        <v>0.32008500000000001</v>
      </c>
      <c r="CI1710">
        <v>21.7851</v>
      </c>
      <c r="CJ1710">
        <f t="shared" si="190"/>
        <v>1693.1162954818794</v>
      </c>
      <c r="CL1710">
        <v>0.32008500000000001</v>
      </c>
      <c r="CM1710">
        <v>2.1440000000000001E-2</v>
      </c>
      <c r="CN1710">
        <f t="shared" si="191"/>
        <v>1.6662954668618228</v>
      </c>
    </row>
    <row r="1711" spans="4:92" x14ac:dyDescent="0.35">
      <c r="D1711">
        <v>0.35025299999999998</v>
      </c>
      <c r="E1711">
        <v>17.5337</v>
      </c>
      <c r="F1711">
        <v>7.3501500000000002</v>
      </c>
      <c r="G1711">
        <v>15.889099999999999</v>
      </c>
      <c r="I1711">
        <v>0.35025299999999998</v>
      </c>
      <c r="J1711">
        <f t="shared" si="187"/>
        <v>3.1119596857649187E-2</v>
      </c>
      <c r="K1711">
        <v>3.9009011994741688E-2</v>
      </c>
      <c r="L1711">
        <v>5.2238164854351725E-2</v>
      </c>
      <c r="N1711">
        <v>0.35025299999999998</v>
      </c>
      <c r="O1711">
        <f t="shared" si="188"/>
        <v>3.9009011994741688E-2</v>
      </c>
      <c r="Q1711">
        <v>0.35025299999999998</v>
      </c>
      <c r="R1711">
        <f t="shared" si="189"/>
        <v>5.2238164854351725E-2</v>
      </c>
      <c r="CH1711">
        <v>0.32423000000000002</v>
      </c>
      <c r="CI1711">
        <v>22.124099999999999</v>
      </c>
      <c r="CJ1711">
        <f t="shared" si="190"/>
        <v>1719.4630381715322</v>
      </c>
      <c r="CL1711">
        <v>0.32423000000000002</v>
      </c>
      <c r="CM1711">
        <v>2.026E-2</v>
      </c>
      <c r="CN1711">
        <f t="shared" si="191"/>
        <v>1.574587040980435</v>
      </c>
    </row>
    <row r="1712" spans="4:92" x14ac:dyDescent="0.35">
      <c r="D1712">
        <v>0.35478900000000002</v>
      </c>
      <c r="E1712">
        <v>17.423300000000001</v>
      </c>
      <c r="F1712">
        <v>7.3538800000000002</v>
      </c>
      <c r="G1712">
        <v>15.8042</v>
      </c>
      <c r="I1712">
        <v>0.35478900000000002</v>
      </c>
      <c r="J1712">
        <f t="shared" si="187"/>
        <v>3.0923653988027575E-2</v>
      </c>
      <c r="K1712">
        <v>3.9028808000910319E-2</v>
      </c>
      <c r="L1712">
        <v>5.1959041417773535E-2</v>
      </c>
      <c r="N1712">
        <v>0.35478900000000002</v>
      </c>
      <c r="O1712">
        <f t="shared" si="188"/>
        <v>3.9028808000910319E-2</v>
      </c>
      <c r="Q1712">
        <v>0.35478900000000002</v>
      </c>
      <c r="R1712">
        <f t="shared" si="189"/>
        <v>5.1959041417773535E-2</v>
      </c>
      <c r="CH1712">
        <v>0.32842900000000003</v>
      </c>
      <c r="CI1712">
        <v>22.189499999999999</v>
      </c>
      <c r="CJ1712">
        <f t="shared" si="190"/>
        <v>1724.5458610975006</v>
      </c>
      <c r="CL1712">
        <v>0.32842900000000003</v>
      </c>
      <c r="CM1712">
        <v>1.8540000000000001E-2</v>
      </c>
      <c r="CN1712">
        <f t="shared" si="191"/>
        <v>1.440910352407565</v>
      </c>
    </row>
    <row r="1713" spans="4:92" x14ac:dyDescent="0.35">
      <c r="D1713">
        <v>0.35938300000000001</v>
      </c>
      <c r="E1713">
        <v>17.270499999999998</v>
      </c>
      <c r="F1713">
        <v>7.6932299999999998</v>
      </c>
      <c r="G1713">
        <v>15.856299999999999</v>
      </c>
      <c r="I1713">
        <v>0.35938300000000001</v>
      </c>
      <c r="J1713">
        <f t="shared" si="187"/>
        <v>3.0652457697464327E-2</v>
      </c>
      <c r="K1713">
        <v>4.0829819983035261E-2</v>
      </c>
      <c r="L1713">
        <v>5.213032918038512E-2</v>
      </c>
      <c r="N1713">
        <v>0.35938300000000001</v>
      </c>
      <c r="O1713">
        <f t="shared" si="188"/>
        <v>4.0829819983035261E-2</v>
      </c>
      <c r="Q1713">
        <v>0.35938300000000001</v>
      </c>
      <c r="R1713">
        <f t="shared" si="189"/>
        <v>5.213032918038512E-2</v>
      </c>
      <c r="CH1713">
        <v>0.33268199999999998</v>
      </c>
      <c r="CI1713">
        <v>22.431000000000001</v>
      </c>
      <c r="CJ1713">
        <f t="shared" si="190"/>
        <v>1743.3150008011914</v>
      </c>
      <c r="CL1713">
        <v>0.33268199999999998</v>
      </c>
      <c r="CM1713">
        <v>2.0420000000000001E-2</v>
      </c>
      <c r="CN1713">
        <f t="shared" si="191"/>
        <v>1.5870220817779115</v>
      </c>
    </row>
    <row r="1714" spans="4:92" x14ac:dyDescent="0.35">
      <c r="D1714">
        <v>0.364037</v>
      </c>
      <c r="E1714">
        <v>17.117699999999999</v>
      </c>
      <c r="F1714">
        <v>7.5636799999999997</v>
      </c>
      <c r="G1714">
        <v>16.011099999999999</v>
      </c>
      <c r="I1714">
        <v>0.364037</v>
      </c>
      <c r="J1714">
        <f t="shared" si="187"/>
        <v>3.0381261406901082E-2</v>
      </c>
      <c r="K1714">
        <v>4.0142267007392742E-2</v>
      </c>
      <c r="L1714">
        <v>5.2639260958739692E-2</v>
      </c>
      <c r="N1714">
        <v>0.364037</v>
      </c>
      <c r="O1714">
        <f t="shared" si="188"/>
        <v>4.0142267007392742E-2</v>
      </c>
      <c r="Q1714">
        <v>0.364037</v>
      </c>
      <c r="R1714">
        <f t="shared" si="189"/>
        <v>5.2639260958739692E-2</v>
      </c>
      <c r="CH1714">
        <v>0.33699099999999999</v>
      </c>
      <c r="CI1714">
        <v>23.087800000000001</v>
      </c>
      <c r="CJ1714">
        <f t="shared" si="190"/>
        <v>1794.3608432748317</v>
      </c>
      <c r="CL1714">
        <v>0.33699099999999999</v>
      </c>
      <c r="CM1714">
        <v>1.9390000000000001E-2</v>
      </c>
      <c r="CN1714">
        <f t="shared" si="191"/>
        <v>1.5069715066441578</v>
      </c>
    </row>
    <row r="1715" spans="4:92" x14ac:dyDescent="0.35">
      <c r="D1715">
        <v>0.36875200000000002</v>
      </c>
      <c r="E1715">
        <v>17.407399999999999</v>
      </c>
      <c r="F1715">
        <v>7.8075700000000001</v>
      </c>
      <c r="G1715">
        <v>16.1023</v>
      </c>
      <c r="I1715">
        <v>0.36875200000000002</v>
      </c>
      <c r="J1715">
        <f t="shared" si="187"/>
        <v>3.089543395517446E-2</v>
      </c>
      <c r="K1715">
        <v>4.1436649834327918E-2</v>
      </c>
      <c r="L1715">
        <v>5.2939096735134632E-2</v>
      </c>
      <c r="N1715">
        <v>0.36875200000000002</v>
      </c>
      <c r="O1715">
        <f t="shared" si="188"/>
        <v>4.1436649834327918E-2</v>
      </c>
      <c r="Q1715">
        <v>0.36875200000000002</v>
      </c>
      <c r="R1715">
        <f t="shared" si="189"/>
        <v>5.2939096735134632E-2</v>
      </c>
      <c r="CH1715">
        <v>0.34135500000000002</v>
      </c>
      <c r="CI1715">
        <v>22.497199999999999</v>
      </c>
      <c r="CJ1715">
        <f t="shared" si="190"/>
        <v>1748.4599989311473</v>
      </c>
      <c r="CL1715">
        <v>0.34135500000000002</v>
      </c>
      <c r="CM1715">
        <v>2.24E-2</v>
      </c>
      <c r="CN1715">
        <f t="shared" si="191"/>
        <v>1.7409057116466804</v>
      </c>
    </row>
    <row r="1716" spans="4:92" x14ac:dyDescent="0.35">
      <c r="D1716">
        <v>0.373527</v>
      </c>
      <c r="E1716">
        <v>17.566199999999998</v>
      </c>
      <c r="F1716">
        <v>7.8986400000000003</v>
      </c>
      <c r="G1716">
        <v>16.115300000000001</v>
      </c>
      <c r="I1716">
        <v>0.373527</v>
      </c>
      <c r="J1716">
        <f t="shared" si="187"/>
        <v>3.117727931473888E-2</v>
      </c>
      <c r="K1716">
        <v>4.1919980204777656E-2</v>
      </c>
      <c r="L1716">
        <v>5.2981836483962867E-2</v>
      </c>
      <c r="N1716">
        <v>0.373527</v>
      </c>
      <c r="O1716">
        <f t="shared" si="188"/>
        <v>4.1919980204777656E-2</v>
      </c>
      <c r="Q1716">
        <v>0.373527</v>
      </c>
      <c r="R1716">
        <f t="shared" si="189"/>
        <v>5.2981836483962867E-2</v>
      </c>
      <c r="CH1716">
        <v>0.345775</v>
      </c>
      <c r="CI1716">
        <v>23.7315</v>
      </c>
      <c r="CJ1716">
        <f t="shared" si="190"/>
        <v>1844.3885667831785</v>
      </c>
      <c r="CL1716">
        <v>0.345775</v>
      </c>
      <c r="CM1716">
        <v>1.7999999999999999E-2</v>
      </c>
      <c r="CN1716">
        <f t="shared" si="191"/>
        <v>1.3989420897160825</v>
      </c>
    </row>
    <row r="1717" spans="4:92" x14ac:dyDescent="0.35">
      <c r="D1717">
        <v>0.37836399999999998</v>
      </c>
      <c r="E1717">
        <v>17.780899999999999</v>
      </c>
      <c r="F1717">
        <v>7.6689499999999997</v>
      </c>
      <c r="G1717">
        <v>16.3279</v>
      </c>
      <c r="I1717">
        <v>0.37836399999999998</v>
      </c>
      <c r="J1717">
        <f t="shared" si="187"/>
        <v>3.1558338500497579E-2</v>
      </c>
      <c r="K1717">
        <v>4.0700960189530046E-2</v>
      </c>
      <c r="L1717">
        <v>5.3680795760953706E-2</v>
      </c>
      <c r="N1717">
        <v>0.37836399999999998</v>
      </c>
      <c r="O1717">
        <f t="shared" si="188"/>
        <v>4.0700960189530046E-2</v>
      </c>
      <c r="Q1717">
        <v>0.37836399999999998</v>
      </c>
      <c r="R1717">
        <f t="shared" si="189"/>
        <v>5.3680795760953706E-2</v>
      </c>
      <c r="CH1717">
        <v>0.35025299999999998</v>
      </c>
      <c r="CI1717">
        <v>23.342099999999999</v>
      </c>
      <c r="CJ1717">
        <f t="shared" si="190"/>
        <v>1814.1247862423204</v>
      </c>
      <c r="CL1717">
        <v>0.35025299999999998</v>
      </c>
      <c r="CM1717">
        <v>1.8259999999999998E-2</v>
      </c>
      <c r="CN1717">
        <f t="shared" si="191"/>
        <v>1.4191490310119814</v>
      </c>
    </row>
    <row r="1718" spans="4:92" x14ac:dyDescent="0.35">
      <c r="D1718">
        <v>0.38326399999999999</v>
      </c>
      <c r="E1718">
        <v>17.869399999999999</v>
      </c>
      <c r="F1718">
        <v>7.04556</v>
      </c>
      <c r="G1718">
        <v>16.175799999999999</v>
      </c>
      <c r="I1718">
        <v>0.38326399999999999</v>
      </c>
      <c r="J1718">
        <f t="shared" si="187"/>
        <v>3.1715412268264902E-2</v>
      </c>
      <c r="K1718">
        <v>3.7392479684043488E-2</v>
      </c>
      <c r="L1718">
        <v>5.3180740699663449E-2</v>
      </c>
      <c r="N1718">
        <v>0.38326399999999999</v>
      </c>
      <c r="O1718">
        <f t="shared" si="188"/>
        <v>3.7392479684043488E-2</v>
      </c>
      <c r="Q1718">
        <v>0.38326399999999999</v>
      </c>
      <c r="R1718">
        <f t="shared" si="189"/>
        <v>5.3180740699663449E-2</v>
      </c>
      <c r="CH1718">
        <v>0.35478900000000002</v>
      </c>
      <c r="CI1718">
        <v>24.4481</v>
      </c>
      <c r="CJ1718">
        <f t="shared" si="190"/>
        <v>1900.0820057548754</v>
      </c>
      <c r="CL1718">
        <v>0.35478900000000002</v>
      </c>
      <c r="CM1718">
        <v>2.0150000000000001E-2</v>
      </c>
      <c r="CN1718">
        <f t="shared" si="191"/>
        <v>1.5660379504321702</v>
      </c>
    </row>
    <row r="1719" spans="4:92" x14ac:dyDescent="0.35">
      <c r="D1719">
        <v>0.38822800000000002</v>
      </c>
      <c r="E1719">
        <v>17.624600000000001</v>
      </c>
      <c r="F1719">
        <v>8.2049599999999998</v>
      </c>
      <c r="G1719">
        <v>16.4316</v>
      </c>
      <c r="I1719">
        <v>0.38822800000000002</v>
      </c>
      <c r="J1719">
        <f t="shared" si="187"/>
        <v>3.1280930253016981E-2</v>
      </c>
      <c r="K1719">
        <v>4.3545694041125113E-2</v>
      </c>
      <c r="L1719">
        <v>5.4021727449683477E-2</v>
      </c>
      <c r="N1719">
        <v>0.38822800000000002</v>
      </c>
      <c r="O1719">
        <f t="shared" si="188"/>
        <v>4.3545694041125113E-2</v>
      </c>
      <c r="Q1719">
        <v>0.38822800000000002</v>
      </c>
      <c r="R1719">
        <f t="shared" si="189"/>
        <v>5.4021727449683477E-2</v>
      </c>
      <c r="CH1719">
        <v>0.35938300000000001</v>
      </c>
      <c r="CI1719">
        <v>24.209199999999999</v>
      </c>
      <c r="CJ1719">
        <f t="shared" si="190"/>
        <v>1881.5149354641435</v>
      </c>
      <c r="CL1719">
        <v>0.35938300000000001</v>
      </c>
      <c r="CM1719">
        <v>1.9990000000000001E-2</v>
      </c>
      <c r="CN1719">
        <f t="shared" si="191"/>
        <v>1.5536029096346939</v>
      </c>
    </row>
    <row r="1720" spans="4:92" x14ac:dyDescent="0.35">
      <c r="D1720">
        <v>0.39325500000000002</v>
      </c>
      <c r="E1720">
        <v>17.373999999999999</v>
      </c>
      <c r="F1720">
        <v>8.4014500000000005</v>
      </c>
      <c r="G1720">
        <v>16.5199</v>
      </c>
      <c r="I1720">
        <v>0.39325500000000002</v>
      </c>
      <c r="J1720">
        <f t="shared" si="187"/>
        <v>3.0836154137734589E-2</v>
      </c>
      <c r="K1720">
        <v>4.4588513679751106E-2</v>
      </c>
      <c r="L1720">
        <v>5.431202897441674E-2</v>
      </c>
      <c r="N1720">
        <v>0.39325500000000002</v>
      </c>
      <c r="O1720">
        <f t="shared" si="188"/>
        <v>4.4588513679751106E-2</v>
      </c>
      <c r="Q1720">
        <v>0.39325500000000002</v>
      </c>
      <c r="R1720">
        <f t="shared" si="189"/>
        <v>5.431202897441674E-2</v>
      </c>
      <c r="CH1720">
        <v>0.364037</v>
      </c>
      <c r="CI1720">
        <v>23.6326</v>
      </c>
      <c r="CJ1720">
        <f t="shared" si="190"/>
        <v>1836.7021571902383</v>
      </c>
      <c r="CL1720">
        <v>0.364037</v>
      </c>
      <c r="CM1720">
        <v>1.8519999999999998E-2</v>
      </c>
      <c r="CN1720">
        <f t="shared" si="191"/>
        <v>1.4393559723078804</v>
      </c>
    </row>
    <row r="1721" spans="4:92" x14ac:dyDescent="0.35">
      <c r="D1721">
        <v>0.39834799999999998</v>
      </c>
      <c r="E1721">
        <v>17.923300000000001</v>
      </c>
      <c r="F1721">
        <v>8.6318800000000007</v>
      </c>
      <c r="G1721">
        <v>16.663</v>
      </c>
      <c r="I1721">
        <v>0.39834799999999998</v>
      </c>
      <c r="J1721">
        <f t="shared" si="187"/>
        <v>3.1811076404792124E-2</v>
      </c>
      <c r="K1721">
        <v>4.5811461052790887E-2</v>
      </c>
      <c r="L1721">
        <v>5.478249497882591E-2</v>
      </c>
      <c r="N1721">
        <v>0.39834799999999998</v>
      </c>
      <c r="O1721">
        <f t="shared" si="188"/>
        <v>4.5811461052790887E-2</v>
      </c>
      <c r="Q1721">
        <v>0.39834799999999998</v>
      </c>
      <c r="R1721">
        <f t="shared" si="189"/>
        <v>5.478249497882591E-2</v>
      </c>
      <c r="CH1721">
        <v>0.36875200000000002</v>
      </c>
      <c r="CI1721">
        <v>24.572600000000001</v>
      </c>
      <c r="CJ1721">
        <f t="shared" si="190"/>
        <v>1909.7580218754117</v>
      </c>
      <c r="CL1721">
        <v>0.36875200000000002</v>
      </c>
      <c r="CM1721">
        <v>1.7829999999999999E-2</v>
      </c>
      <c r="CN1721">
        <f t="shared" si="191"/>
        <v>1.3857298588687639</v>
      </c>
    </row>
    <row r="1722" spans="4:92" x14ac:dyDescent="0.35">
      <c r="D1722">
        <v>0.40350599999999998</v>
      </c>
      <c r="E1722">
        <v>17.833100000000002</v>
      </c>
      <c r="F1722">
        <v>9.1521899999999992</v>
      </c>
      <c r="G1722">
        <v>16.8048</v>
      </c>
      <c r="I1722">
        <v>0.40350599999999998</v>
      </c>
      <c r="J1722">
        <f t="shared" si="187"/>
        <v>3.1650985400807803E-2</v>
      </c>
      <c r="K1722">
        <v>4.8572871232308856E-2</v>
      </c>
      <c r="L1722">
        <v>5.5248687008352254E-2</v>
      </c>
      <c r="N1722">
        <v>0.40350599999999998</v>
      </c>
      <c r="O1722">
        <f t="shared" si="188"/>
        <v>4.8572871232308856E-2</v>
      </c>
      <c r="Q1722">
        <v>0.40350599999999998</v>
      </c>
      <c r="R1722">
        <f t="shared" si="189"/>
        <v>5.5248687008352254E-2</v>
      </c>
      <c r="CH1722">
        <v>0.373527</v>
      </c>
      <c r="CI1722">
        <v>24.730499999999999</v>
      </c>
      <c r="CJ1722">
        <f t="shared" si="190"/>
        <v>1922.0298527624209</v>
      </c>
      <c r="CL1722">
        <v>0.373527</v>
      </c>
      <c r="CM1722">
        <v>2.0789999999999999E-2</v>
      </c>
      <c r="CN1722">
        <f t="shared" si="191"/>
        <v>1.6157781136220752</v>
      </c>
    </row>
    <row r="1723" spans="4:92" x14ac:dyDescent="0.35">
      <c r="D1723">
        <v>0.40873199999999998</v>
      </c>
      <c r="E1723">
        <v>17.796399999999998</v>
      </c>
      <c r="F1723">
        <v>9.3605999999999998</v>
      </c>
      <c r="G1723">
        <v>16.668900000000001</v>
      </c>
      <c r="I1723">
        <v>0.40873199999999998</v>
      </c>
      <c r="J1723">
        <f t="shared" si="187"/>
        <v>3.1585848595417278E-2</v>
      </c>
      <c r="K1723">
        <v>4.9678953174830315E-2</v>
      </c>
      <c r="L1723">
        <v>5.480189224944796E-2</v>
      </c>
      <c r="N1723">
        <v>0.40873199999999998</v>
      </c>
      <c r="O1723">
        <f t="shared" si="188"/>
        <v>4.9678953174830315E-2</v>
      </c>
      <c r="Q1723">
        <v>0.40873199999999998</v>
      </c>
      <c r="R1723">
        <f t="shared" si="189"/>
        <v>5.480189224944796E-2</v>
      </c>
      <c r="CH1723">
        <v>0.37836399999999998</v>
      </c>
      <c r="CI1723">
        <v>25.6585</v>
      </c>
      <c r="CJ1723">
        <f t="shared" si="190"/>
        <v>1994.1530893877834</v>
      </c>
      <c r="CL1723">
        <v>0.37836399999999998</v>
      </c>
      <c r="CM1723">
        <v>2.1870000000000001E-2</v>
      </c>
      <c r="CN1723">
        <f t="shared" si="191"/>
        <v>1.6997146390050402</v>
      </c>
    </row>
    <row r="1724" spans="4:92" x14ac:dyDescent="0.35">
      <c r="D1724">
        <v>0.41402499999999998</v>
      </c>
      <c r="E1724">
        <v>18.035499999999999</v>
      </c>
      <c r="F1724">
        <v>8.4509500000000006</v>
      </c>
      <c r="G1724">
        <v>16.410799999999998</v>
      </c>
      <c r="I1724">
        <v>0.41402499999999998</v>
      </c>
      <c r="J1724">
        <f t="shared" si="187"/>
        <v>3.2010213995114091E-2</v>
      </c>
      <c r="K1724">
        <v>4.4851222072605633E-2</v>
      </c>
      <c r="L1724">
        <v>5.3953343851558311E-2</v>
      </c>
      <c r="N1724">
        <v>0.41402499999999998</v>
      </c>
      <c r="O1724">
        <f t="shared" si="188"/>
        <v>4.4851222072605633E-2</v>
      </c>
      <c r="Q1724">
        <v>0.41402499999999998</v>
      </c>
      <c r="R1724">
        <f t="shared" si="189"/>
        <v>5.3953343851558311E-2</v>
      </c>
      <c r="CH1724">
        <v>0.38326399999999999</v>
      </c>
      <c r="CI1724">
        <v>22.668500000000002</v>
      </c>
      <c r="CJ1724">
        <f t="shared" si="190"/>
        <v>1761.7732644849455</v>
      </c>
      <c r="CL1724">
        <v>0.38326399999999999</v>
      </c>
      <c r="CM1724">
        <v>1.9640000000000001E-2</v>
      </c>
      <c r="CN1724">
        <f t="shared" si="191"/>
        <v>1.5264012578902144</v>
      </c>
    </row>
    <row r="1725" spans="4:92" x14ac:dyDescent="0.35">
      <c r="D1725">
        <v>0.41938700000000001</v>
      </c>
      <c r="E1725">
        <v>17.771599999999999</v>
      </c>
      <c r="F1725">
        <v>6.66221</v>
      </c>
      <c r="G1725">
        <v>15.9855</v>
      </c>
      <c r="I1725">
        <v>0.41938700000000001</v>
      </c>
      <c r="J1725">
        <f t="shared" si="187"/>
        <v>3.1541832443545761E-2</v>
      </c>
      <c r="K1725">
        <v>3.5357949130492304E-2</v>
      </c>
      <c r="L1725">
        <v>5.2555096530277956E-2</v>
      </c>
      <c r="N1725">
        <v>0.41938700000000001</v>
      </c>
      <c r="O1725">
        <f t="shared" si="188"/>
        <v>3.5357949130492304E-2</v>
      </c>
      <c r="Q1725">
        <v>0.41938700000000001</v>
      </c>
      <c r="R1725">
        <f t="shared" si="189"/>
        <v>5.2555096530277956E-2</v>
      </c>
      <c r="CH1725">
        <v>0.38822800000000002</v>
      </c>
      <c r="CI1725">
        <v>25.942299999999999</v>
      </c>
      <c r="CJ1725">
        <f t="shared" si="190"/>
        <v>2016.2097430023071</v>
      </c>
      <c r="CL1725">
        <v>0.38822800000000002</v>
      </c>
      <c r="CM1725">
        <v>2.0129999999999999E-2</v>
      </c>
      <c r="CN1725">
        <f t="shared" si="191"/>
        <v>1.5644835703324855</v>
      </c>
    </row>
    <row r="1726" spans="4:92" x14ac:dyDescent="0.35">
      <c r="D1726">
        <v>0.42481799999999997</v>
      </c>
      <c r="E1726">
        <v>17.862500000000001</v>
      </c>
      <c r="F1726">
        <v>8.4921399999999991</v>
      </c>
      <c r="G1726">
        <v>16.691299999999998</v>
      </c>
      <c r="I1726">
        <v>0.42481799999999997</v>
      </c>
      <c r="J1726">
        <f t="shared" si="187"/>
        <v>3.1703165838913555E-2</v>
      </c>
      <c r="K1726">
        <v>4.5069827298902153E-2</v>
      </c>
      <c r="L1726">
        <v>5.4875536124351969E-2</v>
      </c>
      <c r="N1726">
        <v>0.42481799999999997</v>
      </c>
      <c r="O1726">
        <f t="shared" si="188"/>
        <v>4.5069827298902153E-2</v>
      </c>
      <c r="Q1726">
        <v>0.42481799999999997</v>
      </c>
      <c r="R1726">
        <f t="shared" si="189"/>
        <v>5.4875536124351969E-2</v>
      </c>
      <c r="CH1726">
        <v>0.39325500000000002</v>
      </c>
      <c r="CI1726">
        <v>25.806899999999999</v>
      </c>
      <c r="CJ1726">
        <f t="shared" si="190"/>
        <v>2005.6865897274427</v>
      </c>
      <c r="CL1726">
        <v>0.39325500000000002</v>
      </c>
      <c r="CM1726">
        <v>1.9769999999999999E-2</v>
      </c>
      <c r="CN1726">
        <f t="shared" si="191"/>
        <v>1.5365047285381639</v>
      </c>
    </row>
    <row r="1727" spans="4:92" x14ac:dyDescent="0.35">
      <c r="D1727">
        <v>0.43031900000000001</v>
      </c>
      <c r="E1727">
        <v>18.017199999999999</v>
      </c>
      <c r="F1727">
        <v>9.8504699999999996</v>
      </c>
      <c r="G1727">
        <v>17.136399999999998</v>
      </c>
      <c r="I1727">
        <v>0.43031900000000001</v>
      </c>
      <c r="J1727">
        <f t="shared" si="187"/>
        <v>3.1977734334660508E-2</v>
      </c>
      <c r="K1727">
        <v>5.22788109608434E-2</v>
      </c>
      <c r="L1727">
        <v>5.63388793707707E-2</v>
      </c>
      <c r="N1727">
        <v>0.43031900000000001</v>
      </c>
      <c r="O1727">
        <f t="shared" si="188"/>
        <v>5.22788109608434E-2</v>
      </c>
      <c r="Q1727">
        <v>0.43031900000000001</v>
      </c>
      <c r="R1727">
        <f t="shared" si="189"/>
        <v>5.63388793707707E-2</v>
      </c>
      <c r="CH1727">
        <v>0.39834799999999998</v>
      </c>
      <c r="CI1727">
        <v>25.183900000000001</v>
      </c>
      <c r="CJ1727">
        <f t="shared" si="190"/>
        <v>1957.2676496222696</v>
      </c>
      <c r="CL1727">
        <v>0.39834799999999998</v>
      </c>
      <c r="CM1727">
        <v>1.8630000000000001E-2</v>
      </c>
      <c r="CN1727">
        <f t="shared" si="191"/>
        <v>1.4479050628561454</v>
      </c>
    </row>
    <row r="1728" spans="4:92" x14ac:dyDescent="0.35">
      <c r="D1728">
        <v>0.435892</v>
      </c>
      <c r="E1728">
        <v>18.252500000000001</v>
      </c>
      <c r="F1728">
        <v>10.784800000000001</v>
      </c>
      <c r="G1728">
        <v>17.5198</v>
      </c>
      <c r="I1728">
        <v>0.435892</v>
      </c>
      <c r="J1728">
        <f t="shared" si="187"/>
        <v>3.2395355323989905E-2</v>
      </c>
      <c r="K1728">
        <v>5.7237524752677175E-2</v>
      </c>
      <c r="L1728">
        <v>5.7599373193904714E-2</v>
      </c>
      <c r="N1728">
        <v>0.435892</v>
      </c>
      <c r="O1728">
        <f t="shared" si="188"/>
        <v>5.7237524752677175E-2</v>
      </c>
      <c r="Q1728">
        <v>0.435892</v>
      </c>
      <c r="R1728">
        <f t="shared" si="189"/>
        <v>5.7599373193904714E-2</v>
      </c>
      <c r="CH1728">
        <v>0.40350599999999998</v>
      </c>
      <c r="CI1728">
        <v>26.881499999999999</v>
      </c>
      <c r="CJ1728">
        <f t="shared" si="190"/>
        <v>2089.2034324834926</v>
      </c>
      <c r="CL1728">
        <v>0.40350599999999998</v>
      </c>
      <c r="CM1728">
        <v>2.1440000000000001E-2</v>
      </c>
      <c r="CN1728">
        <f t="shared" si="191"/>
        <v>1.6662954668618228</v>
      </c>
    </row>
    <row r="1729" spans="4:92" x14ac:dyDescent="0.35">
      <c r="D1729">
        <v>0.44153700000000001</v>
      </c>
      <c r="E1729">
        <v>18.367899999999999</v>
      </c>
      <c r="F1729">
        <v>11.5762</v>
      </c>
      <c r="G1729">
        <v>17.413799999999998</v>
      </c>
      <c r="I1729">
        <v>0.44153700000000001</v>
      </c>
      <c r="J1729">
        <f t="shared" si="187"/>
        <v>3.2600172417779162E-2</v>
      </c>
      <c r="K1729">
        <v>6.1437674694193832E-2</v>
      </c>
      <c r="L1729">
        <v>5.7250879857305322E-2</v>
      </c>
      <c r="N1729">
        <v>0.44153700000000001</v>
      </c>
      <c r="O1729">
        <f t="shared" si="188"/>
        <v>6.1437674694193832E-2</v>
      </c>
      <c r="Q1729">
        <v>0.44153700000000001</v>
      </c>
      <c r="R1729">
        <f t="shared" si="189"/>
        <v>5.7250879857305322E-2</v>
      </c>
      <c r="CH1729">
        <v>0.40873199999999998</v>
      </c>
      <c r="CI1729">
        <v>27.998899999999999</v>
      </c>
      <c r="CJ1729">
        <f t="shared" si="190"/>
        <v>2176.0466486528676</v>
      </c>
      <c r="CL1729">
        <v>0.40873199999999998</v>
      </c>
      <c r="CM1729">
        <v>1.9910000000000001E-2</v>
      </c>
      <c r="CN1729">
        <f t="shared" si="191"/>
        <v>1.5473853892359557</v>
      </c>
    </row>
    <row r="1730" spans="4:92" x14ac:dyDescent="0.35">
      <c r="D1730">
        <v>0.44725500000000001</v>
      </c>
      <c r="E1730">
        <v>18.844200000000001</v>
      </c>
      <c r="F1730">
        <v>12.144399999999999</v>
      </c>
      <c r="G1730">
        <v>17.389600000000002</v>
      </c>
      <c r="I1730">
        <v>0.44725500000000001</v>
      </c>
      <c r="J1730">
        <f t="shared" si="187"/>
        <v>3.3445531011989077E-2</v>
      </c>
      <c r="K1730">
        <v>6.4453248609748229E-2</v>
      </c>
      <c r="L1730">
        <v>5.7171318171025089E-2</v>
      </c>
      <c r="N1730">
        <v>0.44725500000000001</v>
      </c>
      <c r="O1730">
        <f t="shared" si="188"/>
        <v>6.4453248609748229E-2</v>
      </c>
      <c r="Q1730">
        <v>0.44725500000000001</v>
      </c>
      <c r="R1730">
        <f t="shared" si="189"/>
        <v>5.7171318171025089E-2</v>
      </c>
      <c r="CH1730">
        <v>0.41402499999999998</v>
      </c>
      <c r="CI1730">
        <v>26.270299999999999</v>
      </c>
      <c r="CJ1730">
        <f t="shared" si="190"/>
        <v>2041.7015766371333</v>
      </c>
      <c r="CL1730">
        <v>0.41402499999999998</v>
      </c>
      <c r="CM1730">
        <v>2.0109999999999999E-2</v>
      </c>
      <c r="CN1730">
        <f t="shared" si="191"/>
        <v>1.5629291902328011</v>
      </c>
    </row>
    <row r="1731" spans="4:92" x14ac:dyDescent="0.35">
      <c r="D1731">
        <v>0.45304699999999998</v>
      </c>
      <c r="E1731">
        <v>18.058299999999999</v>
      </c>
      <c r="F1731">
        <v>13.2187</v>
      </c>
      <c r="G1731">
        <v>18.009</v>
      </c>
      <c r="I1731">
        <v>0.45304699999999998</v>
      </c>
      <c r="J1731">
        <f t="shared" si="187"/>
        <v>3.2050680457318549E-2</v>
      </c>
      <c r="K1731">
        <v>7.0154816820730451E-2</v>
      </c>
      <c r="L1731">
        <v>5.9207702819040732E-2</v>
      </c>
      <c r="N1731">
        <v>0.45304699999999998</v>
      </c>
      <c r="O1731">
        <f t="shared" si="188"/>
        <v>7.0154816820730451E-2</v>
      </c>
      <c r="Q1731">
        <v>0.45304699999999998</v>
      </c>
      <c r="R1731">
        <f t="shared" si="189"/>
        <v>5.9207702819040732E-2</v>
      </c>
      <c r="CH1731">
        <v>0.41938700000000001</v>
      </c>
      <c r="CI1731">
        <v>22.437200000000001</v>
      </c>
      <c r="CJ1731">
        <f t="shared" si="190"/>
        <v>1743.7968586320937</v>
      </c>
      <c r="CL1731">
        <v>0.41938700000000001</v>
      </c>
      <c r="CM1731">
        <v>1.7399999999999999E-2</v>
      </c>
      <c r="CN1731">
        <f t="shared" si="191"/>
        <v>1.3523106867255463</v>
      </c>
    </row>
    <row r="1732" spans="4:92" x14ac:dyDescent="0.35">
      <c r="D1732">
        <v>0.45891399999999999</v>
      </c>
      <c r="E1732">
        <v>18.834</v>
      </c>
      <c r="F1732">
        <v>14.1182</v>
      </c>
      <c r="G1732">
        <v>17.994499999999999</v>
      </c>
      <c r="I1732">
        <v>0.45891399999999999</v>
      </c>
      <c r="J1732">
        <f t="shared" ref="J1732:J1795" si="192">E1732/SUM($E$3:$E$2002)/$C$3</f>
        <v>3.3427427594687073E-2</v>
      </c>
      <c r="K1732">
        <v>7.4928679434319315E-2</v>
      </c>
      <c r="L1732">
        <v>5.916003156073233E-2</v>
      </c>
      <c r="N1732">
        <v>0.45891399999999999</v>
      </c>
      <c r="O1732">
        <f t="shared" ref="O1732:O1795" si="193">F1732/SUM($F$3:$F$2002)/$C$3</f>
        <v>7.4928679434319315E-2</v>
      </c>
      <c r="Q1732">
        <v>0.45891399999999999</v>
      </c>
      <c r="R1732">
        <f t="shared" ref="R1732:R1795" si="194">G1732/SUM($G$3:$G$2002)/$C$3</f>
        <v>5.916003156073233E-2</v>
      </c>
      <c r="CH1732">
        <v>0.42481799999999997</v>
      </c>
      <c r="CI1732">
        <v>24.7163</v>
      </c>
      <c r="CJ1732">
        <f t="shared" si="190"/>
        <v>1920.926242891645</v>
      </c>
      <c r="CL1732">
        <v>0.42481799999999997</v>
      </c>
      <c r="CM1732">
        <v>1.704E-2</v>
      </c>
      <c r="CN1732">
        <f t="shared" si="191"/>
        <v>1.3243318449312247</v>
      </c>
    </row>
    <row r="1733" spans="4:92" x14ac:dyDescent="0.35">
      <c r="D1733">
        <v>0.46485700000000002</v>
      </c>
      <c r="E1733">
        <v>18.623200000000001</v>
      </c>
      <c r="F1733">
        <v>14.964399999999999</v>
      </c>
      <c r="G1733">
        <v>18.180299999999999</v>
      </c>
      <c r="I1733">
        <v>0.46485700000000002</v>
      </c>
      <c r="J1733">
        <f t="shared" si="192"/>
        <v>3.3053290303779147E-2</v>
      </c>
      <c r="K1733">
        <v>7.941966614206683E-2</v>
      </c>
      <c r="L1733">
        <v>5.9770881201677291E-2</v>
      </c>
      <c r="N1733">
        <v>0.46485700000000002</v>
      </c>
      <c r="O1733">
        <f t="shared" si="193"/>
        <v>7.941966614206683E-2</v>
      </c>
      <c r="Q1733">
        <v>0.46485700000000002</v>
      </c>
      <c r="R1733">
        <f t="shared" si="194"/>
        <v>5.9770881201677291E-2</v>
      </c>
      <c r="CH1733">
        <v>0.43031900000000001</v>
      </c>
      <c r="CI1733">
        <v>27.909800000000001</v>
      </c>
      <c r="CJ1733">
        <f t="shared" si="190"/>
        <v>2169.1218853087735</v>
      </c>
      <c r="CL1733">
        <v>0.43031900000000001</v>
      </c>
      <c r="CM1733">
        <v>1.763E-2</v>
      </c>
      <c r="CN1733">
        <f t="shared" si="191"/>
        <v>1.3701860578719185</v>
      </c>
    </row>
    <row r="1734" spans="4:92" x14ac:dyDescent="0.35">
      <c r="D1734">
        <v>0.47087600000000002</v>
      </c>
      <c r="E1734">
        <v>18.584299999999999</v>
      </c>
      <c r="F1734">
        <v>16.058</v>
      </c>
      <c r="G1734">
        <v>18.3019</v>
      </c>
      <c r="I1734">
        <v>0.47087600000000002</v>
      </c>
      <c r="J1734">
        <f t="shared" si="192"/>
        <v>3.2984248839754864E-2</v>
      </c>
      <c r="K1734">
        <v>8.5223664090061019E-2</v>
      </c>
      <c r="L1734">
        <v>6.0170662236870551E-2</v>
      </c>
      <c r="N1734">
        <v>0.47087600000000002</v>
      </c>
      <c r="O1734">
        <f t="shared" si="193"/>
        <v>8.5223664090061019E-2</v>
      </c>
      <c r="Q1734">
        <v>0.47087600000000002</v>
      </c>
      <c r="R1734">
        <f t="shared" si="194"/>
        <v>6.0170662236870551E-2</v>
      </c>
      <c r="CH1734">
        <v>0.435892</v>
      </c>
      <c r="CI1734">
        <v>27.934899999999999</v>
      </c>
      <c r="CJ1734">
        <f t="shared" si="190"/>
        <v>2171.0726323338772</v>
      </c>
      <c r="CL1734">
        <v>0.435892</v>
      </c>
      <c r="CM1734">
        <v>2.0320000000000001E-2</v>
      </c>
      <c r="CN1734">
        <f t="shared" si="191"/>
        <v>1.5792501812794888</v>
      </c>
    </row>
    <row r="1735" spans="4:92" x14ac:dyDescent="0.35">
      <c r="D1735">
        <v>0.47697400000000001</v>
      </c>
      <c r="E1735">
        <v>18.703399999999998</v>
      </c>
      <c r="F1735">
        <v>16.9373</v>
      </c>
      <c r="G1735">
        <v>18.089700000000001</v>
      </c>
      <c r="I1735">
        <v>0.47697400000000001</v>
      </c>
      <c r="J1735">
        <f t="shared" si="192"/>
        <v>3.319563285942817E-2</v>
      </c>
      <c r="K1735">
        <v>8.989032045040421E-2</v>
      </c>
      <c r="L1735">
        <v>5.9473018029074426E-2</v>
      </c>
      <c r="N1735">
        <v>0.47697400000000001</v>
      </c>
      <c r="O1735">
        <f t="shared" si="193"/>
        <v>8.989032045040421E-2</v>
      </c>
      <c r="Q1735">
        <v>0.47697400000000001</v>
      </c>
      <c r="R1735">
        <f t="shared" si="194"/>
        <v>5.9473018029074426E-2</v>
      </c>
      <c r="CH1735">
        <v>0.44153700000000001</v>
      </c>
      <c r="CI1735">
        <v>29.092700000000001</v>
      </c>
      <c r="CJ1735">
        <f t="shared" si="190"/>
        <v>2261.0556963046151</v>
      </c>
      <c r="CL1735">
        <v>0.44153700000000001</v>
      </c>
      <c r="CM1735">
        <v>1.8610000000000002E-2</v>
      </c>
      <c r="CN1735">
        <f t="shared" si="191"/>
        <v>1.4463506827564609</v>
      </c>
    </row>
    <row r="1736" spans="4:92" x14ac:dyDescent="0.35">
      <c r="D1736">
        <v>0.483151</v>
      </c>
      <c r="E1736">
        <v>18.917899999999999</v>
      </c>
      <c r="F1736">
        <v>17.616700000000002</v>
      </c>
      <c r="G1736">
        <v>18.3523</v>
      </c>
      <c r="I1736">
        <v>0.483151</v>
      </c>
      <c r="J1736">
        <f t="shared" si="192"/>
        <v>3.3576337076220167E-2</v>
      </c>
      <c r="K1736">
        <v>9.3496059482835861E-2</v>
      </c>
      <c r="L1736">
        <v>6.0336360955404594E-2</v>
      </c>
      <c r="N1736">
        <v>0.483151</v>
      </c>
      <c r="O1736">
        <f t="shared" si="193"/>
        <v>9.3496059482835861E-2</v>
      </c>
      <c r="Q1736">
        <v>0.483151</v>
      </c>
      <c r="R1736">
        <f t="shared" si="194"/>
        <v>6.0336360955404594E-2</v>
      </c>
      <c r="CH1736">
        <v>0.44725500000000001</v>
      </c>
      <c r="CI1736">
        <v>30.254899999999999</v>
      </c>
      <c r="CJ1736">
        <f t="shared" si="190"/>
        <v>2351.3807238972836</v>
      </c>
      <c r="CL1736">
        <v>0.44725500000000001</v>
      </c>
      <c r="CM1736">
        <v>1.915E-2</v>
      </c>
      <c r="CN1736">
        <f t="shared" si="191"/>
        <v>1.4883189454479433</v>
      </c>
    </row>
    <row r="1737" spans="4:92" x14ac:dyDescent="0.35">
      <c r="D1737">
        <v>0.48940800000000001</v>
      </c>
      <c r="E1737">
        <v>18.792200000000001</v>
      </c>
      <c r="F1737">
        <v>13.860099999999999</v>
      </c>
      <c r="G1737">
        <v>18.150400000000001</v>
      </c>
      <c r="I1737">
        <v>0.48940800000000001</v>
      </c>
      <c r="J1737">
        <f t="shared" si="192"/>
        <v>3.3353239080645566E-2</v>
      </c>
      <c r="K1737">
        <v>7.3558880723293973E-2</v>
      </c>
      <c r="L1737">
        <v>5.9672579779372376E-2</v>
      </c>
      <c r="N1737">
        <v>0.48940800000000001</v>
      </c>
      <c r="O1737">
        <f t="shared" si="193"/>
        <v>7.3558880723293973E-2</v>
      </c>
      <c r="Q1737">
        <v>0.48940800000000001</v>
      </c>
      <c r="R1737">
        <f t="shared" si="194"/>
        <v>5.9672579779372376E-2</v>
      </c>
      <c r="CH1737">
        <v>0.45304699999999998</v>
      </c>
      <c r="CI1737">
        <v>31.156500000000001</v>
      </c>
      <c r="CJ1737">
        <f t="shared" si="190"/>
        <v>2421.4521787910626</v>
      </c>
      <c r="CL1737">
        <v>0.45304699999999998</v>
      </c>
      <c r="CM1737">
        <v>2.036E-2</v>
      </c>
      <c r="CN1737">
        <f t="shared" si="191"/>
        <v>1.5823589414788577</v>
      </c>
    </row>
    <row r="1738" spans="4:92" x14ac:dyDescent="0.35">
      <c r="D1738">
        <v>0.49574600000000002</v>
      </c>
      <c r="E1738">
        <v>18.7546</v>
      </c>
      <c r="F1738">
        <v>12.9038</v>
      </c>
      <c r="G1738">
        <v>18.0487</v>
      </c>
      <c r="I1738">
        <v>0.49574600000000002</v>
      </c>
      <c r="J1738">
        <f t="shared" si="192"/>
        <v>3.3286504914904869E-2</v>
      </c>
      <c r="K1738">
        <v>6.8483566862954884E-2</v>
      </c>
      <c r="L1738">
        <v>5.9338223436616169E-2</v>
      </c>
      <c r="N1738">
        <v>0.49574600000000002</v>
      </c>
      <c r="O1738">
        <f t="shared" si="193"/>
        <v>6.8483566862954884E-2</v>
      </c>
      <c r="Q1738">
        <v>0.49574600000000002</v>
      </c>
      <c r="R1738">
        <f t="shared" si="194"/>
        <v>5.9338223436616169E-2</v>
      </c>
      <c r="CH1738">
        <v>0.45891399999999999</v>
      </c>
      <c r="CI1738">
        <v>31.631900000000002</v>
      </c>
      <c r="CJ1738">
        <f t="shared" ref="CJ1738:CJ1801" si="195">CI1738/$CG$9</f>
        <v>2458.3997937605641</v>
      </c>
      <c r="CL1738">
        <v>0.45891399999999999</v>
      </c>
      <c r="CM1738">
        <v>1.942E-2</v>
      </c>
      <c r="CN1738">
        <f t="shared" ref="CN1738:CN1801" si="196">CM1738/$CG$9</f>
        <v>1.5093030767936846</v>
      </c>
    </row>
    <row r="1739" spans="4:92" x14ac:dyDescent="0.35">
      <c r="D1739">
        <v>0.502166</v>
      </c>
      <c r="E1739">
        <v>18.5871</v>
      </c>
      <c r="F1739">
        <v>13.572900000000001</v>
      </c>
      <c r="G1739">
        <v>18.227599999999999</v>
      </c>
      <c r="I1739">
        <v>0.502166</v>
      </c>
      <c r="J1739">
        <f t="shared" si="192"/>
        <v>3.2989218405288741E-2</v>
      </c>
      <c r="K1739">
        <v>7.2034641320711745E-2</v>
      </c>
      <c r="L1739">
        <v>5.9926388133952291E-2</v>
      </c>
      <c r="N1739">
        <v>0.502166</v>
      </c>
      <c r="O1739">
        <f t="shared" si="193"/>
        <v>7.2034641320711745E-2</v>
      </c>
      <c r="Q1739">
        <v>0.502166</v>
      </c>
      <c r="R1739">
        <f t="shared" si="194"/>
        <v>5.9926388133952291E-2</v>
      </c>
      <c r="CH1739">
        <v>0.46485700000000002</v>
      </c>
      <c r="CI1739">
        <v>33.527999999999999</v>
      </c>
      <c r="CJ1739">
        <f t="shared" si="195"/>
        <v>2605.7627991111563</v>
      </c>
      <c r="CL1739">
        <v>0.46485700000000002</v>
      </c>
      <c r="CM1739">
        <v>2.01E-2</v>
      </c>
      <c r="CN1739">
        <f t="shared" si="196"/>
        <v>1.5621520001829587</v>
      </c>
    </row>
    <row r="1740" spans="4:92" x14ac:dyDescent="0.35">
      <c r="D1740">
        <v>0.50866900000000004</v>
      </c>
      <c r="E1740">
        <v>18.792300000000001</v>
      </c>
      <c r="F1740">
        <v>14.636900000000001</v>
      </c>
      <c r="G1740">
        <v>18.097300000000001</v>
      </c>
      <c r="I1740">
        <v>0.50866900000000004</v>
      </c>
      <c r="J1740">
        <f t="shared" si="192"/>
        <v>3.3353416565128913E-2</v>
      </c>
      <c r="K1740">
        <v>7.7681544957019205E-2</v>
      </c>
      <c r="L1740">
        <v>5.9498004343774002E-2</v>
      </c>
      <c r="N1740">
        <v>0.50866900000000004</v>
      </c>
      <c r="O1740">
        <f t="shared" si="193"/>
        <v>7.7681544957019205E-2</v>
      </c>
      <c r="Q1740">
        <v>0.50866900000000004</v>
      </c>
      <c r="R1740">
        <f t="shared" si="194"/>
        <v>5.9498004343774002E-2</v>
      </c>
      <c r="CH1740">
        <v>0.47087600000000002</v>
      </c>
      <c r="CI1740">
        <v>34.286099999999998</v>
      </c>
      <c r="CJ1740">
        <f t="shared" si="195"/>
        <v>2664.6815767896983</v>
      </c>
      <c r="CL1740">
        <v>0.47087600000000002</v>
      </c>
      <c r="CM1740">
        <v>2.0660000000000001E-2</v>
      </c>
      <c r="CN1740">
        <f t="shared" si="196"/>
        <v>1.6056746429741258</v>
      </c>
    </row>
    <row r="1741" spans="4:92" x14ac:dyDescent="0.35">
      <c r="D1741">
        <v>0.51525600000000005</v>
      </c>
      <c r="E1741">
        <v>19.164400000000001</v>
      </c>
      <c r="F1741">
        <v>14.9756</v>
      </c>
      <c r="G1741">
        <v>18.6126</v>
      </c>
      <c r="I1741">
        <v>0.51525600000000005</v>
      </c>
      <c r="J1741">
        <f t="shared" si="192"/>
        <v>3.4013836327685093E-2</v>
      </c>
      <c r="K1741">
        <v>7.9479107232975327E-2</v>
      </c>
      <c r="L1741">
        <v>6.1192142233865161E-2</v>
      </c>
      <c r="N1741">
        <v>0.51525600000000005</v>
      </c>
      <c r="O1741">
        <f t="shared" si="193"/>
        <v>7.9479107232975327E-2</v>
      </c>
      <c r="Q1741">
        <v>0.51525600000000005</v>
      </c>
      <c r="R1741">
        <f t="shared" si="194"/>
        <v>6.1192142233865161E-2</v>
      </c>
      <c r="CH1741">
        <v>0.47697400000000001</v>
      </c>
      <c r="CI1741">
        <v>35.592199999999998</v>
      </c>
      <c r="CJ1741">
        <f t="shared" si="195"/>
        <v>2766.1903691995972</v>
      </c>
      <c r="CL1741">
        <v>0.47697400000000001</v>
      </c>
      <c r="CM1741">
        <v>2.3789999999999999E-2</v>
      </c>
      <c r="CN1741">
        <f t="shared" si="196"/>
        <v>1.8489351285747555</v>
      </c>
    </row>
    <row r="1742" spans="4:92" x14ac:dyDescent="0.35">
      <c r="D1742">
        <v>0.52192899999999998</v>
      </c>
      <c r="E1742">
        <v>18.868600000000001</v>
      </c>
      <c r="F1742">
        <v>15.512700000000001</v>
      </c>
      <c r="G1742">
        <v>18.7438</v>
      </c>
      <c r="I1742">
        <v>0.52192899999999998</v>
      </c>
      <c r="J1742">
        <f t="shared" si="192"/>
        <v>3.3488837225927187E-2</v>
      </c>
      <c r="K1742">
        <v>8.2329625976453463E-2</v>
      </c>
      <c r="L1742">
        <v>6.1623484929731562E-2</v>
      </c>
      <c r="N1742">
        <v>0.52192899999999998</v>
      </c>
      <c r="O1742">
        <f t="shared" si="193"/>
        <v>8.2329625976453463E-2</v>
      </c>
      <c r="Q1742">
        <v>0.52192899999999998</v>
      </c>
      <c r="R1742">
        <f t="shared" si="194"/>
        <v>6.1623484929731562E-2</v>
      </c>
      <c r="CH1742">
        <v>0.483151</v>
      </c>
      <c r="CI1742">
        <v>35.876199999999997</v>
      </c>
      <c r="CJ1742">
        <f t="shared" si="195"/>
        <v>2788.2625666151175</v>
      </c>
      <c r="CL1742">
        <v>0.483151</v>
      </c>
      <c r="CM1742">
        <v>2.938E-2</v>
      </c>
      <c r="CN1742">
        <f t="shared" si="196"/>
        <v>2.2833843664365836</v>
      </c>
    </row>
    <row r="1743" spans="4:92" x14ac:dyDescent="0.35">
      <c r="D1743">
        <v>0.52868800000000005</v>
      </c>
      <c r="E1743">
        <v>19.090499999999999</v>
      </c>
      <c r="F1743">
        <v>16.163599999999999</v>
      </c>
      <c r="G1743">
        <v>18.550899999999999</v>
      </c>
      <c r="I1743">
        <v>0.52868800000000005</v>
      </c>
      <c r="J1743">
        <f t="shared" si="192"/>
        <v>3.388267529448729E-2</v>
      </c>
      <c r="K1743">
        <v>8.5784108661484018E-2</v>
      </c>
      <c r="L1743">
        <v>6.0989292810580416E-2</v>
      </c>
      <c r="N1743">
        <v>0.52868800000000005</v>
      </c>
      <c r="O1743">
        <f t="shared" si="193"/>
        <v>8.5784108661484018E-2</v>
      </c>
      <c r="Q1743">
        <v>0.52868800000000005</v>
      </c>
      <c r="R1743">
        <f t="shared" si="194"/>
        <v>6.0989292810580416E-2</v>
      </c>
      <c r="CH1743">
        <v>0.48940800000000001</v>
      </c>
      <c r="CI1743">
        <v>33.882899999999999</v>
      </c>
      <c r="CJ1743">
        <f t="shared" si="195"/>
        <v>2633.3452739800582</v>
      </c>
      <c r="CL1743">
        <v>0.48940800000000001</v>
      </c>
      <c r="CM1743">
        <v>1.9740000000000001E-2</v>
      </c>
      <c r="CN1743">
        <f t="shared" si="196"/>
        <v>1.5341731583886371</v>
      </c>
    </row>
    <row r="1744" spans="4:92" x14ac:dyDescent="0.35">
      <c r="D1744">
        <v>0.53553399999999995</v>
      </c>
      <c r="E1744">
        <v>19.183499999999999</v>
      </c>
      <c r="F1744">
        <v>16.2425</v>
      </c>
      <c r="G1744">
        <v>18.7913</v>
      </c>
      <c r="I1744">
        <v>0.53553399999999995</v>
      </c>
      <c r="J1744">
        <f t="shared" si="192"/>
        <v>3.4047735864005495E-2</v>
      </c>
      <c r="K1744">
        <v>8.6202849917973362E-2</v>
      </c>
      <c r="L1744">
        <v>6.1779649396603936E-2</v>
      </c>
      <c r="N1744">
        <v>0.53553399999999995</v>
      </c>
      <c r="O1744">
        <f t="shared" si="193"/>
        <v>8.6202849917973362E-2</v>
      </c>
      <c r="Q1744">
        <v>0.53553399999999995</v>
      </c>
      <c r="R1744">
        <f t="shared" si="194"/>
        <v>6.1779649396603936E-2</v>
      </c>
      <c r="CH1744">
        <v>0.49574600000000002</v>
      </c>
      <c r="CI1744">
        <v>32.046700000000001</v>
      </c>
      <c r="CJ1744">
        <f t="shared" si="195"/>
        <v>2490.6376370280213</v>
      </c>
      <c r="CL1744">
        <v>0.49574600000000002</v>
      </c>
      <c r="CM1744">
        <v>1.7979999999999999E-2</v>
      </c>
      <c r="CN1744">
        <f t="shared" si="196"/>
        <v>1.3973877096163978</v>
      </c>
    </row>
    <row r="1745" spans="4:92" x14ac:dyDescent="0.35">
      <c r="D1745">
        <v>0.54247000000000001</v>
      </c>
      <c r="E1745">
        <v>18.9693</v>
      </c>
      <c r="F1745">
        <v>16.460999999999999</v>
      </c>
      <c r="G1745">
        <v>19.0151</v>
      </c>
      <c r="I1745">
        <v>0.54247000000000001</v>
      </c>
      <c r="J1745">
        <f t="shared" si="192"/>
        <v>3.3667564100663565E-2</v>
      </c>
      <c r="K1745">
        <v>8.7362481914715046E-2</v>
      </c>
      <c r="L1745">
        <v>6.2515430611046793E-2</v>
      </c>
      <c r="N1745">
        <v>0.54247000000000001</v>
      </c>
      <c r="O1745">
        <f t="shared" si="193"/>
        <v>8.7362481914715046E-2</v>
      </c>
      <c r="Q1745">
        <v>0.54247000000000001</v>
      </c>
      <c r="R1745">
        <f t="shared" si="194"/>
        <v>6.2515430611046793E-2</v>
      </c>
      <c r="CH1745">
        <v>0.502166</v>
      </c>
      <c r="CI1745">
        <v>33.816299999999998</v>
      </c>
      <c r="CJ1745">
        <f t="shared" si="195"/>
        <v>2628.1691882481086</v>
      </c>
      <c r="CL1745">
        <v>0.502166</v>
      </c>
      <c r="CM1745">
        <v>1.7999999999999999E-2</v>
      </c>
      <c r="CN1745">
        <f t="shared" si="196"/>
        <v>1.3989420897160825</v>
      </c>
    </row>
    <row r="1746" spans="4:92" x14ac:dyDescent="0.35">
      <c r="D1746">
        <v>0.54949499999999996</v>
      </c>
      <c r="E1746">
        <v>19.440999999999999</v>
      </c>
      <c r="F1746">
        <v>17.464700000000001</v>
      </c>
      <c r="G1746">
        <v>18.9056</v>
      </c>
      <c r="I1746">
        <v>0.54949499999999996</v>
      </c>
      <c r="J1746">
        <f t="shared" si="192"/>
        <v>3.4504758408639237E-2</v>
      </c>
      <c r="K1746">
        <v>9.2689358963363361E-2</v>
      </c>
      <c r="L1746">
        <v>6.215543041899365E-2</v>
      </c>
      <c r="N1746">
        <v>0.54949499999999996</v>
      </c>
      <c r="O1746">
        <f t="shared" si="193"/>
        <v>9.2689358963363361E-2</v>
      </c>
      <c r="Q1746">
        <v>0.54949499999999996</v>
      </c>
      <c r="R1746">
        <f t="shared" si="194"/>
        <v>6.215543041899365E-2</v>
      </c>
      <c r="CH1746">
        <v>0.50866900000000004</v>
      </c>
      <c r="CI1746">
        <v>33.401499999999999</v>
      </c>
      <c r="CJ1746">
        <f t="shared" si="195"/>
        <v>2595.9313449806514</v>
      </c>
      <c r="CL1746">
        <v>0.50866900000000004</v>
      </c>
      <c r="CM1746">
        <v>1.9179999999999999E-2</v>
      </c>
      <c r="CN1746">
        <f t="shared" si="196"/>
        <v>1.4906505155974701</v>
      </c>
    </row>
    <row r="1747" spans="4:92" x14ac:dyDescent="0.35">
      <c r="D1747">
        <v>0.55661099999999997</v>
      </c>
      <c r="E1747">
        <v>19.8215</v>
      </c>
      <c r="F1747">
        <v>17.345300000000002</v>
      </c>
      <c r="G1747">
        <v>19.1099</v>
      </c>
      <c r="I1747">
        <v>0.55661099999999997</v>
      </c>
      <c r="J1747">
        <f t="shared" si="192"/>
        <v>3.5180086867797063E-2</v>
      </c>
      <c r="K1747">
        <v>9.2055674476356694E-2</v>
      </c>
      <c r="L1747">
        <v>6.2827102010194161E-2</v>
      </c>
      <c r="N1747">
        <v>0.55661099999999997</v>
      </c>
      <c r="O1747">
        <f t="shared" si="193"/>
        <v>9.2055674476356694E-2</v>
      </c>
      <c r="Q1747">
        <v>0.55661099999999997</v>
      </c>
      <c r="R1747">
        <f t="shared" si="194"/>
        <v>6.2827102010194161E-2</v>
      </c>
      <c r="CH1747">
        <v>0.51525600000000005</v>
      </c>
      <c r="CI1747">
        <v>35.041699999999999</v>
      </c>
      <c r="CJ1747">
        <f t="shared" si="195"/>
        <v>2723.4060569557805</v>
      </c>
      <c r="CL1747">
        <v>0.51525600000000005</v>
      </c>
      <c r="CM1747">
        <v>1.8489999999999999E-2</v>
      </c>
      <c r="CN1747">
        <f t="shared" si="196"/>
        <v>1.4370244021583536</v>
      </c>
    </row>
    <row r="1748" spans="4:92" x14ac:dyDescent="0.35">
      <c r="D1748">
        <v>0.56381899999999996</v>
      </c>
      <c r="E1748">
        <v>19.344999999999999</v>
      </c>
      <c r="F1748">
        <v>17.770299999999999</v>
      </c>
      <c r="G1748">
        <v>19.314499999999999</v>
      </c>
      <c r="I1748">
        <v>0.56381899999999996</v>
      </c>
      <c r="J1748">
        <f t="shared" si="192"/>
        <v>3.4334373304620448E-2</v>
      </c>
      <c r="K1748">
        <v>9.4311251586723835E-2</v>
      </c>
      <c r="L1748">
        <v>6.3499759903290709E-2</v>
      </c>
      <c r="N1748">
        <v>0.56381899999999996</v>
      </c>
      <c r="O1748">
        <f t="shared" si="193"/>
        <v>9.4311251586723835E-2</v>
      </c>
      <c r="Q1748">
        <v>0.56381899999999996</v>
      </c>
      <c r="R1748">
        <f t="shared" si="194"/>
        <v>6.3499759903290709E-2</v>
      </c>
      <c r="CH1748">
        <v>0.52192899999999998</v>
      </c>
      <c r="CI1748">
        <v>33.993400000000001</v>
      </c>
      <c r="CJ1748">
        <f t="shared" si="195"/>
        <v>2641.9332240308154</v>
      </c>
      <c r="CL1748">
        <v>0.52192899999999998</v>
      </c>
      <c r="CM1748">
        <v>2.0420000000000001E-2</v>
      </c>
      <c r="CN1748">
        <f t="shared" si="196"/>
        <v>1.5870220817779115</v>
      </c>
    </row>
    <row r="1749" spans="4:92" x14ac:dyDescent="0.35">
      <c r="D1749">
        <v>0.57111999999999996</v>
      </c>
      <c r="E1749">
        <v>19.729700000000001</v>
      </c>
      <c r="F1749">
        <v>17.9085</v>
      </c>
      <c r="G1749">
        <v>19.017099999999999</v>
      </c>
      <c r="I1749">
        <v>0.57111999999999996</v>
      </c>
      <c r="J1749">
        <f t="shared" si="192"/>
        <v>3.5017156112079097E-2</v>
      </c>
      <c r="K1749">
        <v>9.5044712190612654E-2</v>
      </c>
      <c r="L1749">
        <v>6.2522005957020357E-2</v>
      </c>
      <c r="N1749">
        <v>0.57111999999999996</v>
      </c>
      <c r="O1749">
        <f t="shared" si="193"/>
        <v>9.5044712190612654E-2</v>
      </c>
      <c r="Q1749">
        <v>0.57111999999999996</v>
      </c>
      <c r="R1749">
        <f t="shared" si="194"/>
        <v>6.2522005957020357E-2</v>
      </c>
      <c r="CH1749">
        <v>0.52868800000000005</v>
      </c>
      <c r="CI1749">
        <v>34.417400000000001</v>
      </c>
      <c r="CJ1749">
        <f t="shared" si="195"/>
        <v>2674.8860821441276</v>
      </c>
      <c r="CL1749">
        <v>0.52868800000000005</v>
      </c>
      <c r="CM1749">
        <v>1.8259999999999998E-2</v>
      </c>
      <c r="CN1749">
        <f t="shared" si="196"/>
        <v>1.4191490310119814</v>
      </c>
    </row>
    <row r="1750" spans="4:92" x14ac:dyDescent="0.35">
      <c r="D1750">
        <v>0.57851600000000003</v>
      </c>
      <c r="E1750">
        <v>19.549299999999999</v>
      </c>
      <c r="F1750">
        <v>17.401700000000002</v>
      </c>
      <c r="G1750">
        <v>18.555</v>
      </c>
      <c r="I1750">
        <v>0.57851600000000003</v>
      </c>
      <c r="J1750">
        <f t="shared" si="192"/>
        <v>3.4696974104110441E-2</v>
      </c>
      <c r="K1750">
        <v>9.2355002827003055E-2</v>
      </c>
      <c r="L1750">
        <v>6.1002772269826241E-2</v>
      </c>
      <c r="N1750">
        <v>0.57851600000000003</v>
      </c>
      <c r="O1750">
        <f t="shared" si="193"/>
        <v>9.2355002827003055E-2</v>
      </c>
      <c r="Q1750">
        <v>0.57851600000000003</v>
      </c>
      <c r="R1750">
        <f t="shared" si="194"/>
        <v>6.1002772269826241E-2</v>
      </c>
      <c r="CH1750">
        <v>0.53553399999999995</v>
      </c>
      <c r="CI1750">
        <v>35.038800000000002</v>
      </c>
      <c r="CJ1750">
        <f t="shared" si="195"/>
        <v>2723.1806718413263</v>
      </c>
      <c r="CL1750">
        <v>0.53553399999999995</v>
      </c>
      <c r="CM1750">
        <v>2.196E-2</v>
      </c>
      <c r="CN1750">
        <f t="shared" si="196"/>
        <v>1.7067093494536207</v>
      </c>
    </row>
    <row r="1751" spans="4:92" x14ac:dyDescent="0.35">
      <c r="D1751">
        <v>0.58600799999999997</v>
      </c>
      <c r="E1751">
        <v>18.904599999999999</v>
      </c>
      <c r="F1751">
        <v>17.2011</v>
      </c>
      <c r="G1751">
        <v>18.9312</v>
      </c>
      <c r="I1751">
        <v>0.58600799999999997</v>
      </c>
      <c r="J1751">
        <f t="shared" si="192"/>
        <v>3.3552731639934226E-2</v>
      </c>
      <c r="K1751">
        <v>9.1290370430909748E-2</v>
      </c>
      <c r="L1751">
        <v>6.2239594847455386E-2</v>
      </c>
      <c r="N1751">
        <v>0.58600799999999997</v>
      </c>
      <c r="O1751">
        <f t="shared" si="193"/>
        <v>9.1290370430909748E-2</v>
      </c>
      <c r="Q1751">
        <v>0.58600799999999997</v>
      </c>
      <c r="R1751">
        <f t="shared" si="194"/>
        <v>6.2239594847455386E-2</v>
      </c>
      <c r="CH1751">
        <v>0.54247000000000001</v>
      </c>
      <c r="CI1751">
        <v>35.271599999999999</v>
      </c>
      <c r="CJ1751">
        <f t="shared" si="195"/>
        <v>2741.2736562016539</v>
      </c>
      <c r="CL1751">
        <v>0.54247000000000001</v>
      </c>
      <c r="CM1751">
        <v>1.8030000000000001E-2</v>
      </c>
      <c r="CN1751">
        <f t="shared" si="196"/>
        <v>1.4012736598656093</v>
      </c>
    </row>
    <row r="1752" spans="4:92" x14ac:dyDescent="0.35">
      <c r="D1752">
        <v>0.59359700000000004</v>
      </c>
      <c r="E1752">
        <v>19.148399999999999</v>
      </c>
      <c r="F1752">
        <v>12.192299999999999</v>
      </c>
      <c r="G1752">
        <v>17.970500000000001</v>
      </c>
      <c r="I1752">
        <v>0.59359700000000004</v>
      </c>
      <c r="J1752">
        <f t="shared" si="192"/>
        <v>3.3985438810348621E-2</v>
      </c>
      <c r="K1752">
        <v>6.4707465418187254E-2</v>
      </c>
      <c r="L1752">
        <v>5.9081127409049451E-2</v>
      </c>
      <c r="N1752">
        <v>0.59359700000000004</v>
      </c>
      <c r="O1752">
        <f t="shared" si="193"/>
        <v>6.4707465418187254E-2</v>
      </c>
      <c r="Q1752">
        <v>0.59359700000000004</v>
      </c>
      <c r="R1752">
        <f t="shared" si="194"/>
        <v>5.9081127409049451E-2</v>
      </c>
      <c r="CH1752">
        <v>0.54949499999999996</v>
      </c>
      <c r="CI1752">
        <v>36.0548</v>
      </c>
      <c r="CJ1752">
        <f t="shared" si="195"/>
        <v>2802.1431809053006</v>
      </c>
      <c r="CL1752">
        <v>0.54949499999999996</v>
      </c>
      <c r="CM1752">
        <v>1.924E-2</v>
      </c>
      <c r="CN1752">
        <f t="shared" si="196"/>
        <v>1.4953136558965237</v>
      </c>
    </row>
    <row r="1753" spans="4:92" x14ac:dyDescent="0.35">
      <c r="D1753">
        <v>0.60128400000000004</v>
      </c>
      <c r="E1753">
        <v>19.2515</v>
      </c>
      <c r="F1753">
        <v>13.85</v>
      </c>
      <c r="G1753">
        <v>18.729500000000002</v>
      </c>
      <c r="I1753">
        <v>0.60128400000000004</v>
      </c>
      <c r="J1753">
        <f t="shared" si="192"/>
        <v>3.4168425312685477E-2</v>
      </c>
      <c r="K1753">
        <v>7.3505277596671137E-2</v>
      </c>
      <c r="L1753">
        <v>6.1576471206020521E-2</v>
      </c>
      <c r="N1753">
        <v>0.60128400000000004</v>
      </c>
      <c r="O1753">
        <f t="shared" si="193"/>
        <v>7.3505277596671137E-2</v>
      </c>
      <c r="Q1753">
        <v>0.60128400000000004</v>
      </c>
      <c r="R1753">
        <f t="shared" si="194"/>
        <v>6.1576471206020521E-2</v>
      </c>
      <c r="CH1753">
        <v>0.55661099999999997</v>
      </c>
      <c r="CI1753">
        <v>35.023899999999998</v>
      </c>
      <c r="CJ1753">
        <f t="shared" si="195"/>
        <v>2722.022658667061</v>
      </c>
      <c r="CL1753">
        <v>0.55661099999999997</v>
      </c>
      <c r="CM1753">
        <v>1.8270000000000002E-2</v>
      </c>
      <c r="CN1753">
        <f t="shared" si="196"/>
        <v>1.4199262210618238</v>
      </c>
    </row>
    <row r="1754" spans="4:92" x14ac:dyDescent="0.35">
      <c r="D1754">
        <v>0.60907100000000003</v>
      </c>
      <c r="E1754">
        <v>19.5075</v>
      </c>
      <c r="F1754">
        <v>15.2117</v>
      </c>
      <c r="G1754">
        <v>18.440799999999999</v>
      </c>
      <c r="I1754">
        <v>0.60907100000000003</v>
      </c>
      <c r="J1754">
        <f t="shared" si="192"/>
        <v>3.4622785590068927E-2</v>
      </c>
      <c r="K1754">
        <v>8.073214665828754E-2</v>
      </c>
      <c r="L1754">
        <v>6.0627320014735211E-2</v>
      </c>
      <c r="N1754">
        <v>0.60907100000000003</v>
      </c>
      <c r="O1754">
        <f t="shared" si="193"/>
        <v>8.073214665828754E-2</v>
      </c>
      <c r="Q1754">
        <v>0.60907100000000003</v>
      </c>
      <c r="R1754">
        <f t="shared" si="194"/>
        <v>6.0627320014735211E-2</v>
      </c>
      <c r="CH1754">
        <v>0.56381899999999996</v>
      </c>
      <c r="CI1754">
        <v>35.497399999999999</v>
      </c>
      <c r="CJ1754">
        <f t="shared" si="195"/>
        <v>2758.8226075270923</v>
      </c>
      <c r="CL1754">
        <v>0.56381899999999996</v>
      </c>
      <c r="CM1754">
        <v>1.9259999999999999E-2</v>
      </c>
      <c r="CN1754">
        <f t="shared" si="196"/>
        <v>1.4968680359962081</v>
      </c>
    </row>
    <row r="1755" spans="4:92" x14ac:dyDescent="0.35">
      <c r="D1755">
        <v>0.61695800000000001</v>
      </c>
      <c r="E1755">
        <v>19.241900000000001</v>
      </c>
      <c r="F1755">
        <v>15.5931</v>
      </c>
      <c r="G1755">
        <v>19.031199999999998</v>
      </c>
      <c r="I1755">
        <v>0.61695800000000001</v>
      </c>
      <c r="J1755">
        <f t="shared" si="192"/>
        <v>3.41513868022836E-2</v>
      </c>
      <c r="K1755">
        <v>8.2756328093332332E-2</v>
      </c>
      <c r="L1755">
        <v>6.2568362146134038E-2</v>
      </c>
      <c r="N1755">
        <v>0.61695800000000001</v>
      </c>
      <c r="O1755">
        <f t="shared" si="193"/>
        <v>8.2756328093332332E-2</v>
      </c>
      <c r="Q1755">
        <v>0.61695800000000001</v>
      </c>
      <c r="R1755">
        <f t="shared" si="194"/>
        <v>6.2568362146134038E-2</v>
      </c>
      <c r="CH1755">
        <v>0.57111999999999996</v>
      </c>
      <c r="CI1755">
        <v>36.492199999999997</v>
      </c>
      <c r="CJ1755">
        <f t="shared" si="195"/>
        <v>2836.1374736854013</v>
      </c>
      <c r="CL1755">
        <v>0.57111999999999996</v>
      </c>
      <c r="CM1755">
        <v>1.8700000000000001E-2</v>
      </c>
      <c r="CN1755">
        <f t="shared" si="196"/>
        <v>1.4533453932050413</v>
      </c>
    </row>
    <row r="1756" spans="4:92" x14ac:dyDescent="0.35">
      <c r="D1756">
        <v>0.62494799999999995</v>
      </c>
      <c r="E1756">
        <v>19.555299999999999</v>
      </c>
      <c r="F1756">
        <v>16.315300000000001</v>
      </c>
      <c r="G1756">
        <v>19.229199999999999</v>
      </c>
      <c r="I1756">
        <v>0.62494799999999995</v>
      </c>
      <c r="J1756">
        <f t="shared" si="192"/>
        <v>3.4707623173111615E-2</v>
      </c>
      <c r="K1756">
        <v>8.6589217008878602E-2</v>
      </c>
      <c r="L1756">
        <v>6.3219321397517805E-2</v>
      </c>
      <c r="N1756">
        <v>0.62494799999999995</v>
      </c>
      <c r="O1756">
        <f t="shared" si="193"/>
        <v>8.6589217008878602E-2</v>
      </c>
      <c r="Q1756">
        <v>0.62494799999999995</v>
      </c>
      <c r="R1756">
        <f t="shared" si="194"/>
        <v>6.3219321397517805E-2</v>
      </c>
      <c r="CH1756">
        <v>0.57851600000000003</v>
      </c>
      <c r="CI1756">
        <v>36.399900000000002</v>
      </c>
      <c r="CJ1756">
        <f t="shared" si="195"/>
        <v>2828.9640095253576</v>
      </c>
      <c r="CL1756">
        <v>0.57851600000000003</v>
      </c>
      <c r="CM1756">
        <v>1.8589999999999999E-2</v>
      </c>
      <c r="CN1756">
        <f t="shared" si="196"/>
        <v>1.4447963026567763</v>
      </c>
    </row>
    <row r="1757" spans="4:92" x14ac:dyDescent="0.35">
      <c r="D1757">
        <v>0.63304099999999996</v>
      </c>
      <c r="E1757">
        <v>19.701899999999998</v>
      </c>
      <c r="F1757">
        <v>16.809200000000001</v>
      </c>
      <c r="G1757">
        <v>18.950399999999998</v>
      </c>
      <c r="I1757">
        <v>0.63304099999999996</v>
      </c>
      <c r="J1757">
        <f t="shared" si="192"/>
        <v>3.4967815425706983E-2</v>
      </c>
      <c r="K1757">
        <v>8.9210462973138241E-2</v>
      </c>
      <c r="L1757">
        <v>6.2302718168801681E-2</v>
      </c>
      <c r="N1757">
        <v>0.63304099999999996</v>
      </c>
      <c r="O1757">
        <f t="shared" si="193"/>
        <v>8.9210462973138241E-2</v>
      </c>
      <c r="Q1757">
        <v>0.63304099999999996</v>
      </c>
      <c r="R1757">
        <f t="shared" si="194"/>
        <v>6.2302718168801681E-2</v>
      </c>
      <c r="CH1757">
        <v>0.58600799999999997</v>
      </c>
      <c r="CI1757">
        <v>36.777200000000001</v>
      </c>
      <c r="CJ1757">
        <f t="shared" si="195"/>
        <v>2858.2873901059061</v>
      </c>
      <c r="CL1757">
        <v>0.58600799999999997</v>
      </c>
      <c r="CM1757">
        <v>1.7860000000000001E-2</v>
      </c>
      <c r="CN1757">
        <f t="shared" si="196"/>
        <v>1.3880614290182909</v>
      </c>
    </row>
    <row r="1758" spans="4:92" x14ac:dyDescent="0.35">
      <c r="D1758">
        <v>0.641239</v>
      </c>
      <c r="E1758">
        <v>19.582799999999999</v>
      </c>
      <c r="F1758">
        <v>17.834</v>
      </c>
      <c r="G1758">
        <v>19.2713</v>
      </c>
      <c r="I1758">
        <v>0.641239</v>
      </c>
      <c r="J1758">
        <f t="shared" si="192"/>
        <v>3.4756431406033662E-2</v>
      </c>
      <c r="K1758">
        <v>9.4649322791265922E-2</v>
      </c>
      <c r="L1758">
        <v>6.3357732430261521E-2</v>
      </c>
      <c r="N1758">
        <v>0.641239</v>
      </c>
      <c r="O1758">
        <f t="shared" si="193"/>
        <v>9.4649322791265922E-2</v>
      </c>
      <c r="Q1758">
        <v>0.641239</v>
      </c>
      <c r="R1758">
        <f t="shared" si="194"/>
        <v>6.3357732430261521E-2</v>
      </c>
      <c r="CH1758">
        <v>0.59359700000000004</v>
      </c>
      <c r="CI1758">
        <v>29.282</v>
      </c>
      <c r="CJ1758">
        <f t="shared" si="195"/>
        <v>2275.7679039481291</v>
      </c>
      <c r="CL1758">
        <v>0.59359700000000004</v>
      </c>
      <c r="CM1758">
        <v>1.8460000000000001E-2</v>
      </c>
      <c r="CN1758">
        <f t="shared" si="196"/>
        <v>1.4346928320088268</v>
      </c>
    </row>
    <row r="1759" spans="4:92" x14ac:dyDescent="0.35">
      <c r="D1759">
        <v>0.64954299999999998</v>
      </c>
      <c r="E1759">
        <v>19.684799999999999</v>
      </c>
      <c r="F1759">
        <v>18.815999999999999</v>
      </c>
      <c r="G1759">
        <v>19.128399999999999</v>
      </c>
      <c r="I1759">
        <v>0.64954299999999998</v>
      </c>
      <c r="J1759">
        <f t="shared" si="192"/>
        <v>3.4937465579053639E-2</v>
      </c>
      <c r="K1759">
        <v>9.9861032726278998E-2</v>
      </c>
      <c r="L1759">
        <v>6.2887923960449704E-2</v>
      </c>
      <c r="N1759">
        <v>0.64954299999999998</v>
      </c>
      <c r="O1759">
        <f t="shared" si="193"/>
        <v>9.9861032726278998E-2</v>
      </c>
      <c r="Q1759">
        <v>0.64954299999999998</v>
      </c>
      <c r="R1759">
        <f t="shared" si="194"/>
        <v>6.2887923960449704E-2</v>
      </c>
      <c r="CH1759">
        <v>0.60128400000000004</v>
      </c>
      <c r="CI1759">
        <v>32.8581</v>
      </c>
      <c r="CJ1759">
        <f t="shared" si="195"/>
        <v>2553.6988376722229</v>
      </c>
      <c r="CL1759">
        <v>0.60128400000000004</v>
      </c>
      <c r="CM1759">
        <v>2.0990000000000002E-2</v>
      </c>
      <c r="CN1759">
        <f t="shared" si="196"/>
        <v>1.6313219146189208</v>
      </c>
    </row>
    <row r="1760" spans="4:92" x14ac:dyDescent="0.35">
      <c r="D1760">
        <v>0.65795499999999996</v>
      </c>
      <c r="E1760">
        <v>19.402699999999999</v>
      </c>
      <c r="F1760">
        <v>18.784400000000002</v>
      </c>
      <c r="G1760">
        <v>19.7684</v>
      </c>
      <c r="I1760">
        <v>0.65795499999999996</v>
      </c>
      <c r="J1760">
        <f t="shared" si="192"/>
        <v>3.4436781851515073E-2</v>
      </c>
      <c r="K1760">
        <v>9.9693323934072889E-2</v>
      </c>
      <c r="L1760">
        <v>6.4992034671993174E-2</v>
      </c>
      <c r="N1760">
        <v>0.65795499999999996</v>
      </c>
      <c r="O1760">
        <f t="shared" si="193"/>
        <v>9.9693323934072889E-2</v>
      </c>
      <c r="Q1760">
        <v>0.65795499999999996</v>
      </c>
      <c r="R1760">
        <f t="shared" si="194"/>
        <v>6.4992034671993174E-2</v>
      </c>
      <c r="CH1760">
        <v>0.60907100000000003</v>
      </c>
      <c r="CI1760">
        <v>32.680100000000003</v>
      </c>
      <c r="CJ1760">
        <f t="shared" si="195"/>
        <v>2539.8648547850307</v>
      </c>
      <c r="CL1760">
        <v>0.60907100000000003</v>
      </c>
      <c r="CM1760">
        <v>1.8890000000000001E-2</v>
      </c>
      <c r="CN1760">
        <f t="shared" si="196"/>
        <v>1.4681120041520443</v>
      </c>
    </row>
    <row r="1761" spans="4:92" x14ac:dyDescent="0.35">
      <c r="D1761">
        <v>0.66647599999999996</v>
      </c>
      <c r="E1761">
        <v>19.459700000000002</v>
      </c>
      <c r="F1761">
        <v>18.885100000000001</v>
      </c>
      <c r="G1761">
        <v>19.394100000000002</v>
      </c>
      <c r="I1761">
        <v>0.66647599999999996</v>
      </c>
      <c r="J1761">
        <f t="shared" si="192"/>
        <v>3.453794800702624E-2</v>
      </c>
      <c r="K1761">
        <v>0.10022776302822342</v>
      </c>
      <c r="L1761">
        <v>6.3761458673038937E-2</v>
      </c>
      <c r="N1761">
        <v>0.66647599999999996</v>
      </c>
      <c r="O1761">
        <f t="shared" si="193"/>
        <v>0.10022776302822342</v>
      </c>
      <c r="Q1761">
        <v>0.66647599999999996</v>
      </c>
      <c r="R1761">
        <f t="shared" si="194"/>
        <v>6.3761458673038937E-2</v>
      </c>
      <c r="CH1761">
        <v>0.61695800000000001</v>
      </c>
      <c r="CI1761">
        <v>34.031199999999998</v>
      </c>
      <c r="CJ1761">
        <f t="shared" si="195"/>
        <v>2644.8710024192192</v>
      </c>
      <c r="CL1761">
        <v>0.61695800000000001</v>
      </c>
      <c r="CM1761">
        <v>1.4829999999999999E-2</v>
      </c>
      <c r="CN1761">
        <f t="shared" si="196"/>
        <v>1.1525728439160834</v>
      </c>
    </row>
    <row r="1762" spans="4:92" x14ac:dyDescent="0.35">
      <c r="D1762">
        <v>0.67510599999999998</v>
      </c>
      <c r="E1762">
        <v>19.6661</v>
      </c>
      <c r="F1762">
        <v>19.313600000000001</v>
      </c>
      <c r="G1762">
        <v>19.405100000000001</v>
      </c>
      <c r="I1762">
        <v>0.67510599999999998</v>
      </c>
      <c r="J1762">
        <f t="shared" si="192"/>
        <v>3.4904275980666644E-2</v>
      </c>
      <c r="K1762">
        <v>0.10250191547949948</v>
      </c>
      <c r="L1762">
        <v>6.3797623075893581E-2</v>
      </c>
      <c r="N1762">
        <v>0.67510599999999998</v>
      </c>
      <c r="O1762">
        <f t="shared" si="193"/>
        <v>0.10250191547949948</v>
      </c>
      <c r="Q1762">
        <v>0.67510599999999998</v>
      </c>
      <c r="R1762">
        <f t="shared" si="194"/>
        <v>6.3797623075893581E-2</v>
      </c>
      <c r="CH1762">
        <v>0.62494799999999995</v>
      </c>
      <c r="CI1762">
        <v>33.1038</v>
      </c>
      <c r="CJ1762">
        <f t="shared" si="195"/>
        <v>2572.7943971968471</v>
      </c>
      <c r="CL1762">
        <v>0.62494799999999995</v>
      </c>
      <c r="CM1762">
        <v>1.728E-2</v>
      </c>
      <c r="CN1762">
        <f t="shared" si="196"/>
        <v>1.3429844061274392</v>
      </c>
    </row>
    <row r="1763" spans="4:92" x14ac:dyDescent="0.35">
      <c r="D1763">
        <v>0.68384900000000004</v>
      </c>
      <c r="E1763">
        <v>19.9193</v>
      </c>
      <c r="F1763">
        <v>18.959700000000002</v>
      </c>
      <c r="G1763">
        <v>19.281099999999999</v>
      </c>
      <c r="I1763">
        <v>0.68384900000000004</v>
      </c>
      <c r="J1763">
        <f t="shared" si="192"/>
        <v>3.535366669251621E-2</v>
      </c>
      <c r="K1763">
        <v>0.1006236831515961</v>
      </c>
      <c r="L1763">
        <v>6.3389951625532029E-2</v>
      </c>
      <c r="N1763">
        <v>0.68384900000000004</v>
      </c>
      <c r="O1763">
        <f t="shared" si="193"/>
        <v>0.1006236831515961</v>
      </c>
      <c r="Q1763">
        <v>0.68384900000000004</v>
      </c>
      <c r="R1763">
        <f t="shared" si="194"/>
        <v>6.3389951625532029E-2</v>
      </c>
      <c r="CH1763">
        <v>0.63304099999999996</v>
      </c>
      <c r="CI1763">
        <v>34.161499999999997</v>
      </c>
      <c r="CJ1763">
        <f t="shared" si="195"/>
        <v>2654.9977887686637</v>
      </c>
      <c r="CL1763">
        <v>0.63304099999999996</v>
      </c>
      <c r="CM1763">
        <v>2.0199999999999999E-2</v>
      </c>
      <c r="CN1763">
        <f t="shared" si="196"/>
        <v>1.5699239006813814</v>
      </c>
    </row>
    <row r="1764" spans="4:92" x14ac:dyDescent="0.35">
      <c r="D1764">
        <v>0.69270500000000002</v>
      </c>
      <c r="E1764">
        <v>20.165400000000002</v>
      </c>
      <c r="F1764">
        <v>19.659300000000002</v>
      </c>
      <c r="G1764">
        <v>19.292999999999999</v>
      </c>
      <c r="I1764">
        <v>0.69270500000000002</v>
      </c>
      <c r="J1764">
        <f t="shared" si="192"/>
        <v>3.5790456006047723E-2</v>
      </c>
      <c r="K1764">
        <v>0.10433662843727344</v>
      </c>
      <c r="L1764">
        <v>6.3429074934074792E-2</v>
      </c>
      <c r="N1764">
        <v>0.69270500000000002</v>
      </c>
      <c r="O1764">
        <f t="shared" si="193"/>
        <v>0.10433662843727344</v>
      </c>
      <c r="Q1764">
        <v>0.69270500000000002</v>
      </c>
      <c r="R1764">
        <f t="shared" si="194"/>
        <v>6.3429074934074792E-2</v>
      </c>
      <c r="CH1764">
        <v>0.641239</v>
      </c>
      <c r="CI1764">
        <v>35.960700000000003</v>
      </c>
      <c r="CJ1764">
        <f t="shared" si="195"/>
        <v>2794.8298225362851</v>
      </c>
      <c r="CL1764">
        <v>0.641239</v>
      </c>
      <c r="CM1764">
        <v>2.0109999999999999E-2</v>
      </c>
      <c r="CN1764">
        <f t="shared" si="196"/>
        <v>1.5629291902328011</v>
      </c>
    </row>
    <row r="1765" spans="4:92" x14ac:dyDescent="0.35">
      <c r="D1765">
        <v>0.70167599999999997</v>
      </c>
      <c r="E1765">
        <v>20.187000000000001</v>
      </c>
      <c r="F1765">
        <v>19.146100000000001</v>
      </c>
      <c r="G1765">
        <v>19.7469</v>
      </c>
      <c r="I1765">
        <v>0.70167599999999997</v>
      </c>
      <c r="J1765">
        <f t="shared" si="192"/>
        <v>3.5828792654451956E-2</v>
      </c>
      <c r="K1765">
        <v>0.10161295273600184</v>
      </c>
      <c r="L1765">
        <v>6.4921349702777256E-2</v>
      </c>
      <c r="N1765">
        <v>0.70167599999999997</v>
      </c>
      <c r="O1765">
        <f t="shared" si="193"/>
        <v>0.10161295273600184</v>
      </c>
      <c r="Q1765">
        <v>0.70167599999999997</v>
      </c>
      <c r="R1765">
        <f t="shared" si="194"/>
        <v>6.4921349702777256E-2</v>
      </c>
      <c r="CH1765">
        <v>0.64954299999999998</v>
      </c>
      <c r="CI1765">
        <v>36.218699999999998</v>
      </c>
      <c r="CJ1765">
        <f t="shared" si="195"/>
        <v>2814.8813258222153</v>
      </c>
      <c r="CL1765">
        <v>0.64954299999999998</v>
      </c>
      <c r="CM1765">
        <v>1.9009999999999999E-2</v>
      </c>
      <c r="CN1765">
        <f t="shared" si="196"/>
        <v>1.4774382847501515</v>
      </c>
    </row>
    <row r="1766" spans="4:92" x14ac:dyDescent="0.35">
      <c r="D1766">
        <v>0.710762</v>
      </c>
      <c r="E1766">
        <v>20.463799999999999</v>
      </c>
      <c r="F1766">
        <v>18.797899999999998</v>
      </c>
      <c r="G1766">
        <v>19.714500000000001</v>
      </c>
      <c r="I1766">
        <v>0.710762</v>
      </c>
      <c r="J1766">
        <f t="shared" si="192"/>
        <v>3.63200697043728E-2</v>
      </c>
      <c r="K1766">
        <v>9.976497167757864E-2</v>
      </c>
      <c r="L1766">
        <v>6.4814829098005372E-2</v>
      </c>
      <c r="N1766">
        <v>0.710762</v>
      </c>
      <c r="O1766">
        <f t="shared" si="193"/>
        <v>9.976497167757864E-2</v>
      </c>
      <c r="Q1766">
        <v>0.710762</v>
      </c>
      <c r="R1766">
        <f t="shared" si="194"/>
        <v>6.4814829098005372E-2</v>
      </c>
      <c r="CH1766">
        <v>0.65795499999999996</v>
      </c>
      <c r="CI1766">
        <v>36.864899999999999</v>
      </c>
      <c r="CJ1766">
        <f t="shared" si="195"/>
        <v>2865.1033468430228</v>
      </c>
      <c r="CL1766">
        <v>0.65795499999999996</v>
      </c>
      <c r="CM1766">
        <v>1.9269999999999999E-2</v>
      </c>
      <c r="CN1766">
        <f t="shared" si="196"/>
        <v>1.4976452260460504</v>
      </c>
    </row>
    <row r="1767" spans="4:92" x14ac:dyDescent="0.35">
      <c r="D1767">
        <v>0.71996700000000002</v>
      </c>
      <c r="E1767">
        <v>20.100300000000001</v>
      </c>
      <c r="F1767">
        <v>18.9436</v>
      </c>
      <c r="G1767">
        <v>19.832799999999999</v>
      </c>
      <c r="I1767">
        <v>0.71996700000000002</v>
      </c>
      <c r="J1767">
        <f t="shared" si="192"/>
        <v>3.5674913607384978E-2</v>
      </c>
      <c r="K1767">
        <v>0.10053823658341512</v>
      </c>
      <c r="L1767">
        <v>6.5203760812342221E-2</v>
      </c>
      <c r="N1767">
        <v>0.71996700000000002</v>
      </c>
      <c r="O1767">
        <f t="shared" si="193"/>
        <v>0.10053823658341512</v>
      </c>
      <c r="Q1767">
        <v>0.71996700000000002</v>
      </c>
      <c r="R1767">
        <f t="shared" si="194"/>
        <v>6.5203760812342221E-2</v>
      </c>
      <c r="CH1767">
        <v>0.66647599999999996</v>
      </c>
      <c r="CI1767">
        <v>38.129300000000001</v>
      </c>
      <c r="CJ1767">
        <f t="shared" si="195"/>
        <v>2963.3712567450793</v>
      </c>
      <c r="CL1767">
        <v>0.66647599999999996</v>
      </c>
      <c r="CM1767">
        <v>1.7909999999999999E-2</v>
      </c>
      <c r="CN1767">
        <f t="shared" si="196"/>
        <v>1.3919473792675019</v>
      </c>
    </row>
    <row r="1768" spans="4:92" x14ac:dyDescent="0.35">
      <c r="D1768">
        <v>0.72928999999999999</v>
      </c>
      <c r="E1768">
        <v>20.121400000000001</v>
      </c>
      <c r="F1768">
        <v>18.559799999999999</v>
      </c>
      <c r="G1768">
        <v>19.242599999999999</v>
      </c>
      <c r="I1768">
        <v>0.72928999999999999</v>
      </c>
      <c r="J1768">
        <f t="shared" si="192"/>
        <v>3.5712362833372445E-2</v>
      </c>
      <c r="K1768">
        <v>9.8501317771747074E-2</v>
      </c>
      <c r="L1768">
        <v>6.3263376215540748E-2</v>
      </c>
      <c r="N1768">
        <v>0.72928999999999999</v>
      </c>
      <c r="O1768">
        <f t="shared" si="193"/>
        <v>9.8501317771747074E-2</v>
      </c>
      <c r="Q1768">
        <v>0.72928999999999999</v>
      </c>
      <c r="R1768">
        <f t="shared" si="194"/>
        <v>6.3263376215540748E-2</v>
      </c>
      <c r="CH1768">
        <v>0.67510599999999998</v>
      </c>
      <c r="CI1768">
        <v>38.039400000000001</v>
      </c>
      <c r="CJ1768">
        <f t="shared" si="195"/>
        <v>2956.3843181969969</v>
      </c>
      <c r="CL1768">
        <v>0.67510599999999998</v>
      </c>
      <c r="CM1768">
        <v>1.9730000000000001E-2</v>
      </c>
      <c r="CN1768">
        <f t="shared" si="196"/>
        <v>1.533395968338795</v>
      </c>
    </row>
    <row r="1769" spans="4:92" x14ac:dyDescent="0.35">
      <c r="D1769">
        <v>0.73873500000000003</v>
      </c>
      <c r="E1769">
        <v>20.207799999999999</v>
      </c>
      <c r="F1769">
        <v>17.846599999999999</v>
      </c>
      <c r="G1769">
        <v>19.682300000000001</v>
      </c>
      <c r="I1769">
        <v>0.73873500000000003</v>
      </c>
      <c r="J1769">
        <f t="shared" si="192"/>
        <v>3.5865709426989356E-2</v>
      </c>
      <c r="K1769">
        <v>9.4716194018537994E-2</v>
      </c>
      <c r="L1769">
        <v>6.4708966027830842E-2</v>
      </c>
      <c r="N1769">
        <v>0.73873500000000003</v>
      </c>
      <c r="O1769">
        <f t="shared" si="193"/>
        <v>9.4716194018537994E-2</v>
      </c>
      <c r="Q1769">
        <v>0.73873500000000003</v>
      </c>
      <c r="R1769">
        <f t="shared" si="194"/>
        <v>6.4708966027830842E-2</v>
      </c>
      <c r="CH1769">
        <v>0.68384900000000004</v>
      </c>
      <c r="CI1769">
        <v>37.978900000000003</v>
      </c>
      <c r="CJ1769">
        <f t="shared" si="195"/>
        <v>2951.6823183954516</v>
      </c>
      <c r="CL1769">
        <v>0.68384900000000004</v>
      </c>
      <c r="CM1769">
        <v>1.83E-2</v>
      </c>
      <c r="CN1769">
        <f t="shared" si="196"/>
        <v>1.4222577912113505</v>
      </c>
    </row>
    <row r="1770" spans="4:92" x14ac:dyDescent="0.35">
      <c r="D1770">
        <v>0.74830200000000002</v>
      </c>
      <c r="E1770">
        <v>19.8307</v>
      </c>
      <c r="F1770">
        <v>17.0017</v>
      </c>
      <c r="G1770">
        <v>19.860099999999999</v>
      </c>
      <c r="I1770">
        <v>0.74830200000000002</v>
      </c>
      <c r="J1770">
        <f t="shared" si="192"/>
        <v>3.5196415440265534E-2</v>
      </c>
      <c r="K1770">
        <v>9.0232106723128064E-2</v>
      </c>
      <c r="L1770">
        <v>6.529351428488149E-2</v>
      </c>
      <c r="N1770">
        <v>0.74830200000000002</v>
      </c>
      <c r="O1770">
        <f t="shared" si="193"/>
        <v>9.0232106723128064E-2</v>
      </c>
      <c r="Q1770">
        <v>0.74830200000000002</v>
      </c>
      <c r="R1770">
        <f t="shared" si="194"/>
        <v>6.529351428488149E-2</v>
      </c>
      <c r="CH1770">
        <v>0.69270500000000002</v>
      </c>
      <c r="CI1770">
        <v>38.560499999999998</v>
      </c>
      <c r="CJ1770">
        <f t="shared" si="195"/>
        <v>2996.8836916942773</v>
      </c>
      <c r="CL1770">
        <v>0.69270500000000002</v>
      </c>
      <c r="CM1770">
        <v>1.7350000000000001E-2</v>
      </c>
      <c r="CN1770">
        <f t="shared" si="196"/>
        <v>1.3484247364763351</v>
      </c>
    </row>
    <row r="1771" spans="4:92" x14ac:dyDescent="0.35">
      <c r="D1771">
        <v>0.757992</v>
      </c>
      <c r="E1771">
        <v>19.7789</v>
      </c>
      <c r="F1771">
        <v>17.541799999999999</v>
      </c>
      <c r="G1771">
        <v>19.381499999999999</v>
      </c>
      <c r="I1771">
        <v>0.757992</v>
      </c>
      <c r="J1771">
        <f t="shared" si="192"/>
        <v>3.5104478477888723E-2</v>
      </c>
      <c r="K1771">
        <v>9.309854718738525E-2</v>
      </c>
      <c r="L1771">
        <v>6.3720033993405409E-2</v>
      </c>
      <c r="N1771">
        <v>0.757992</v>
      </c>
      <c r="O1771">
        <f t="shared" si="193"/>
        <v>9.309854718738525E-2</v>
      </c>
      <c r="Q1771">
        <v>0.757992</v>
      </c>
      <c r="R1771">
        <f t="shared" si="194"/>
        <v>6.3720033993405409E-2</v>
      </c>
      <c r="CH1771">
        <v>0.70167599999999997</v>
      </c>
      <c r="CI1771">
        <v>37.896799999999999</v>
      </c>
      <c r="CJ1771">
        <f t="shared" si="195"/>
        <v>2945.3015880862463</v>
      </c>
      <c r="CL1771">
        <v>0.70167599999999997</v>
      </c>
      <c r="CM1771">
        <v>1.9220000000000001E-2</v>
      </c>
      <c r="CN1771">
        <f t="shared" si="196"/>
        <v>1.4937592757968392</v>
      </c>
    </row>
    <row r="1772" spans="4:92" x14ac:dyDescent="0.35">
      <c r="D1772">
        <v>0.76780800000000005</v>
      </c>
      <c r="E1772">
        <v>20.355699999999999</v>
      </c>
      <c r="F1772">
        <v>17.7012</v>
      </c>
      <c r="G1772">
        <v>19.720700000000001</v>
      </c>
      <c r="I1772">
        <v>0.76780800000000005</v>
      </c>
      <c r="J1772">
        <f t="shared" si="192"/>
        <v>3.6128208977868309E-2</v>
      </c>
      <c r="K1772">
        <v>9.3944521284779439E-2</v>
      </c>
      <c r="L1772">
        <v>6.4835212670523445E-2</v>
      </c>
      <c r="N1772">
        <v>0.76780800000000005</v>
      </c>
      <c r="O1772">
        <f t="shared" si="193"/>
        <v>9.3944521284779439E-2</v>
      </c>
      <c r="Q1772">
        <v>0.76780800000000005</v>
      </c>
      <c r="R1772">
        <f t="shared" si="194"/>
        <v>6.4835212670523445E-2</v>
      </c>
      <c r="CH1772">
        <v>0.710762</v>
      </c>
      <c r="CI1772">
        <v>37.717599999999997</v>
      </c>
      <c r="CJ1772">
        <f t="shared" si="195"/>
        <v>2931.3743423930728</v>
      </c>
      <c r="CL1772">
        <v>0.710762</v>
      </c>
      <c r="CM1772">
        <v>1.976E-2</v>
      </c>
      <c r="CN1772">
        <f t="shared" si="196"/>
        <v>1.5357275384883216</v>
      </c>
    </row>
    <row r="1773" spans="4:92" x14ac:dyDescent="0.35">
      <c r="D1773">
        <v>0.77775099999999997</v>
      </c>
      <c r="E1773">
        <v>20.257100000000001</v>
      </c>
      <c r="F1773">
        <v>17.6343</v>
      </c>
      <c r="G1773">
        <v>19.8248</v>
      </c>
      <c r="I1773">
        <v>0.77775099999999997</v>
      </c>
      <c r="J1773">
        <f t="shared" si="192"/>
        <v>3.5953209277282343E-2</v>
      </c>
      <c r="K1773">
        <v>9.3589466911406335E-2</v>
      </c>
      <c r="L1773">
        <v>6.5177459428447937E-2</v>
      </c>
      <c r="N1773">
        <v>0.77775099999999997</v>
      </c>
      <c r="O1773">
        <f t="shared" si="193"/>
        <v>9.3589466911406335E-2</v>
      </c>
      <c r="Q1773">
        <v>0.77775099999999997</v>
      </c>
      <c r="R1773">
        <f t="shared" si="194"/>
        <v>6.5177459428447937E-2</v>
      </c>
      <c r="CH1773">
        <v>0.71996700000000002</v>
      </c>
      <c r="CI1773">
        <v>38.137</v>
      </c>
      <c r="CJ1773">
        <f t="shared" si="195"/>
        <v>2963.9696930834575</v>
      </c>
      <c r="CL1773">
        <v>0.71996700000000002</v>
      </c>
      <c r="CM1773">
        <v>2.2159999999999999E-2</v>
      </c>
      <c r="CN1773">
        <f t="shared" si="196"/>
        <v>1.7222531504504659</v>
      </c>
    </row>
    <row r="1774" spans="4:92" x14ac:dyDescent="0.35">
      <c r="D1774">
        <v>0.78782300000000005</v>
      </c>
      <c r="E1774">
        <v>20.2225</v>
      </c>
      <c r="F1774">
        <v>16.973500000000001</v>
      </c>
      <c r="G1774">
        <v>19.449400000000001</v>
      </c>
      <c r="I1774">
        <v>0.78782300000000005</v>
      </c>
      <c r="J1774">
        <f t="shared" si="192"/>
        <v>3.5891799646042229E-2</v>
      </c>
      <c r="K1774">
        <v>9.0082442547804897E-2</v>
      </c>
      <c r="L1774">
        <v>6.3943266989208228E-2</v>
      </c>
      <c r="N1774">
        <v>0.78782300000000005</v>
      </c>
      <c r="O1774">
        <f t="shared" si="193"/>
        <v>9.0082442547804897E-2</v>
      </c>
      <c r="Q1774">
        <v>0.78782300000000005</v>
      </c>
      <c r="R1774">
        <f t="shared" si="194"/>
        <v>6.3943266989208228E-2</v>
      </c>
      <c r="CH1774">
        <v>0.72928999999999999</v>
      </c>
      <c r="CI1774">
        <v>37.035499999999999</v>
      </c>
      <c r="CJ1774">
        <f t="shared" si="195"/>
        <v>2878.3622090933318</v>
      </c>
      <c r="CL1774">
        <v>0.72928999999999999</v>
      </c>
      <c r="CM1774">
        <v>1.7229999999999999E-2</v>
      </c>
      <c r="CN1774">
        <f t="shared" si="196"/>
        <v>1.3390984558782277</v>
      </c>
    </row>
    <row r="1775" spans="4:92" x14ac:dyDescent="0.35">
      <c r="D1775">
        <v>0.79802600000000001</v>
      </c>
      <c r="E1775">
        <v>20.7056</v>
      </c>
      <c r="F1775">
        <v>15.8165</v>
      </c>
      <c r="G1775">
        <v>19.770900000000001</v>
      </c>
      <c r="I1775">
        <v>0.79802600000000001</v>
      </c>
      <c r="J1775">
        <f t="shared" si="192"/>
        <v>3.6749227185120137E-2</v>
      </c>
      <c r="K1775">
        <v>8.394196556734651E-2</v>
      </c>
      <c r="L1775">
        <v>6.5000253854460135E-2</v>
      </c>
      <c r="N1775">
        <v>0.79802600000000001</v>
      </c>
      <c r="O1775">
        <f t="shared" si="193"/>
        <v>8.394196556734651E-2</v>
      </c>
      <c r="Q1775">
        <v>0.79802600000000001</v>
      </c>
      <c r="R1775">
        <f t="shared" si="194"/>
        <v>6.5000253854460135E-2</v>
      </c>
      <c r="CH1775">
        <v>0.73873500000000003</v>
      </c>
      <c r="CI1775">
        <v>38.048099999999998</v>
      </c>
      <c r="CJ1775">
        <f t="shared" si="195"/>
        <v>2957.0604735403599</v>
      </c>
      <c r="CL1775">
        <v>0.73873500000000003</v>
      </c>
      <c r="CM1775">
        <v>2.111E-2</v>
      </c>
      <c r="CN1775">
        <f t="shared" si="196"/>
        <v>1.6406481952170278</v>
      </c>
    </row>
    <row r="1776" spans="4:92" x14ac:dyDescent="0.35">
      <c r="D1776">
        <v>0.80835999999999997</v>
      </c>
      <c r="E1776">
        <v>20.322500000000002</v>
      </c>
      <c r="F1776">
        <v>15.5669</v>
      </c>
      <c r="G1776">
        <v>19.894600000000001</v>
      </c>
      <c r="I1776">
        <v>0.80835999999999997</v>
      </c>
      <c r="J1776">
        <f t="shared" si="192"/>
        <v>3.6069284129395147E-2</v>
      </c>
      <c r="K1776">
        <v>8.2617278398528518E-2</v>
      </c>
      <c r="L1776">
        <v>6.5406939002925643E-2</v>
      </c>
      <c r="N1776">
        <v>0.80835999999999997</v>
      </c>
      <c r="O1776">
        <f t="shared" si="193"/>
        <v>8.2617278398528518E-2</v>
      </c>
      <c r="Q1776">
        <v>0.80835999999999997</v>
      </c>
      <c r="R1776">
        <f t="shared" si="194"/>
        <v>6.5406939002925643E-2</v>
      </c>
      <c r="CH1776">
        <v>0.74830200000000002</v>
      </c>
      <c r="CI1776">
        <v>37.165399999999998</v>
      </c>
      <c r="CJ1776">
        <f t="shared" si="195"/>
        <v>2888.4579078407828</v>
      </c>
      <c r="CL1776">
        <v>0.74830200000000002</v>
      </c>
      <c r="CM1776">
        <v>1.856E-2</v>
      </c>
      <c r="CN1776">
        <f t="shared" si="196"/>
        <v>1.4424647325072495</v>
      </c>
    </row>
    <row r="1777" spans="4:92" x14ac:dyDescent="0.35">
      <c r="D1777">
        <v>0.818828</v>
      </c>
      <c r="E1777">
        <v>20.479700000000001</v>
      </c>
      <c r="F1777">
        <v>16.769100000000002</v>
      </c>
      <c r="G1777">
        <v>19.675699999999999</v>
      </c>
      <c r="I1777">
        <v>0.818828</v>
      </c>
      <c r="J1777">
        <f t="shared" si="192"/>
        <v>3.6348289737225918E-2</v>
      </c>
      <c r="K1777">
        <v>8.8997642638724783E-2</v>
      </c>
      <c r="L1777">
        <v>6.4687267386118033E-2</v>
      </c>
      <c r="N1777">
        <v>0.818828</v>
      </c>
      <c r="O1777">
        <f t="shared" si="193"/>
        <v>8.8997642638724783E-2</v>
      </c>
      <c r="Q1777">
        <v>0.818828</v>
      </c>
      <c r="R1777">
        <f t="shared" si="194"/>
        <v>6.4687267386118033E-2</v>
      </c>
      <c r="CH1777">
        <v>0.757992</v>
      </c>
      <c r="CI1777">
        <v>37.509</v>
      </c>
      <c r="CJ1777">
        <f t="shared" si="195"/>
        <v>2915.162157953363</v>
      </c>
      <c r="CL1777">
        <v>0.757992</v>
      </c>
      <c r="CM1777">
        <v>1.959E-2</v>
      </c>
      <c r="CN1777">
        <f t="shared" si="196"/>
        <v>1.522515307641003</v>
      </c>
    </row>
    <row r="1778" spans="4:92" x14ac:dyDescent="0.35">
      <c r="D1778">
        <v>0.82943199999999995</v>
      </c>
      <c r="E1778">
        <v>20.047699999999999</v>
      </c>
      <c r="F1778">
        <v>16.924099999999999</v>
      </c>
      <c r="G1778">
        <v>19.9968</v>
      </c>
      <c r="I1778">
        <v>0.82943199999999995</v>
      </c>
      <c r="J1778">
        <f t="shared" si="192"/>
        <v>3.5581556769141341E-2</v>
      </c>
      <c r="K1778">
        <v>8.9820264878976319E-2</v>
      </c>
      <c r="L1778">
        <v>6.5742939182175233E-2</v>
      </c>
      <c r="N1778">
        <v>0.82943199999999995</v>
      </c>
      <c r="O1778">
        <f t="shared" si="193"/>
        <v>8.9820264878976319E-2</v>
      </c>
      <c r="Q1778">
        <v>0.82943199999999995</v>
      </c>
      <c r="R1778">
        <f t="shared" si="194"/>
        <v>6.5742939182175233E-2</v>
      </c>
      <c r="CH1778">
        <v>0.76780800000000005</v>
      </c>
      <c r="CI1778">
        <v>38.598700000000001</v>
      </c>
      <c r="CJ1778">
        <f t="shared" si="195"/>
        <v>2999.852557684675</v>
      </c>
      <c r="CL1778">
        <v>0.76780800000000005</v>
      </c>
      <c r="CM1778">
        <v>2.1149999999999999E-2</v>
      </c>
      <c r="CN1778">
        <f t="shared" si="196"/>
        <v>1.6437569554163969</v>
      </c>
    </row>
    <row r="1779" spans="4:92" x14ac:dyDescent="0.35">
      <c r="D1779">
        <v>0.84017399999999998</v>
      </c>
      <c r="E1779">
        <v>19.841200000000001</v>
      </c>
      <c r="F1779">
        <v>16.410499999999999</v>
      </c>
      <c r="G1779">
        <v>19.909199999999998</v>
      </c>
      <c r="I1779">
        <v>0.84017399999999998</v>
      </c>
      <c r="J1779">
        <f t="shared" si="192"/>
        <v>3.5215051311017584E-2</v>
      </c>
      <c r="K1779">
        <v>8.7094466281600849E-2</v>
      </c>
      <c r="L1779">
        <v>6.5454939028532722E-2</v>
      </c>
      <c r="N1779">
        <v>0.84017399999999998</v>
      </c>
      <c r="O1779">
        <f t="shared" si="193"/>
        <v>8.7094466281600849E-2</v>
      </c>
      <c r="Q1779">
        <v>0.84017399999999998</v>
      </c>
      <c r="R1779">
        <f t="shared" si="194"/>
        <v>6.5454939028532722E-2</v>
      </c>
      <c r="CH1779">
        <v>0.77775099999999997</v>
      </c>
      <c r="CI1779">
        <v>38.106999999999999</v>
      </c>
      <c r="CJ1779">
        <f t="shared" si="195"/>
        <v>2961.6381229339308</v>
      </c>
      <c r="CL1779">
        <v>0.77775099999999997</v>
      </c>
      <c r="CM1779">
        <v>1.7569999999999999E-2</v>
      </c>
      <c r="CN1779">
        <f t="shared" si="196"/>
        <v>1.3655229175728649</v>
      </c>
    </row>
    <row r="1780" spans="4:92" x14ac:dyDescent="0.35">
      <c r="D1780">
        <v>0.85105399999999998</v>
      </c>
      <c r="E1780">
        <v>20.188600000000001</v>
      </c>
      <c r="F1780">
        <v>12.8567</v>
      </c>
      <c r="G1780">
        <v>19.4434</v>
      </c>
      <c r="I1780">
        <v>0.85105399999999998</v>
      </c>
      <c r="J1780">
        <f t="shared" si="192"/>
        <v>3.5831632406185601E-2</v>
      </c>
      <c r="K1780">
        <v>6.8233595846723602E-2</v>
      </c>
      <c r="L1780">
        <v>6.3923540951287508E-2</v>
      </c>
      <c r="N1780">
        <v>0.85105399999999998</v>
      </c>
      <c r="O1780">
        <f t="shared" si="193"/>
        <v>6.8233595846723602E-2</v>
      </c>
      <c r="Q1780">
        <v>0.85105399999999998</v>
      </c>
      <c r="R1780">
        <f t="shared" si="194"/>
        <v>6.3923540951287508E-2</v>
      </c>
      <c r="CH1780">
        <v>0.78782300000000005</v>
      </c>
      <c r="CI1780">
        <v>37.817300000000003</v>
      </c>
      <c r="CJ1780">
        <f t="shared" si="195"/>
        <v>2939.1229271900006</v>
      </c>
      <c r="CL1780">
        <v>0.78782300000000005</v>
      </c>
      <c r="CM1780">
        <v>1.9019999999999999E-2</v>
      </c>
      <c r="CN1780">
        <f t="shared" si="196"/>
        <v>1.4782154747999936</v>
      </c>
    </row>
    <row r="1781" spans="4:92" x14ac:dyDescent="0.35">
      <c r="D1781">
        <v>0.86207500000000004</v>
      </c>
      <c r="E1781">
        <v>20.175599999999999</v>
      </c>
      <c r="F1781">
        <v>15.054500000000001</v>
      </c>
      <c r="G1781">
        <v>19.615500000000001</v>
      </c>
      <c r="I1781">
        <v>0.86207500000000004</v>
      </c>
      <c r="J1781">
        <f t="shared" si="192"/>
        <v>3.580855942334972E-2</v>
      </c>
      <c r="K1781">
        <v>7.9897848489464685E-2</v>
      </c>
      <c r="L1781">
        <v>6.4489349472313495E-2</v>
      </c>
      <c r="N1781">
        <v>0.86207500000000004</v>
      </c>
      <c r="O1781">
        <f t="shared" si="193"/>
        <v>7.9897848489464685E-2</v>
      </c>
      <c r="Q1781">
        <v>0.86207500000000004</v>
      </c>
      <c r="R1781">
        <f t="shared" si="194"/>
        <v>6.4489349472313495E-2</v>
      </c>
      <c r="CH1781">
        <v>0.79802600000000001</v>
      </c>
      <c r="CI1781">
        <v>35.991500000000002</v>
      </c>
      <c r="CJ1781">
        <f t="shared" si="195"/>
        <v>2797.2235678897991</v>
      </c>
      <c r="CL1781">
        <v>0.79802600000000001</v>
      </c>
      <c r="CM1781">
        <v>1.6650000000000002E-2</v>
      </c>
      <c r="CN1781">
        <f t="shared" si="196"/>
        <v>1.2940214329873765</v>
      </c>
    </row>
    <row r="1782" spans="4:92" x14ac:dyDescent="0.35">
      <c r="D1782">
        <v>0.87323899999999999</v>
      </c>
      <c r="E1782">
        <v>20.543199999999999</v>
      </c>
      <c r="F1782">
        <v>15.177099999999999</v>
      </c>
      <c r="G1782">
        <v>19.7224</v>
      </c>
      <c r="I1782">
        <v>0.87323899999999999</v>
      </c>
      <c r="J1782">
        <f t="shared" si="192"/>
        <v>3.6460992384155011E-2</v>
      </c>
      <c r="K1782">
        <v>8.054851614530234E-2</v>
      </c>
      <c r="L1782">
        <v>6.4840801714600979E-2</v>
      </c>
      <c r="N1782">
        <v>0.87323899999999999</v>
      </c>
      <c r="O1782">
        <f t="shared" si="193"/>
        <v>8.054851614530234E-2</v>
      </c>
      <c r="Q1782">
        <v>0.87323899999999999</v>
      </c>
      <c r="R1782">
        <f t="shared" si="194"/>
        <v>6.4840801714600979E-2</v>
      </c>
      <c r="CH1782">
        <v>0.80835999999999997</v>
      </c>
      <c r="CI1782">
        <v>34.529600000000002</v>
      </c>
      <c r="CJ1782">
        <f t="shared" si="195"/>
        <v>2683.6061545033581</v>
      </c>
      <c r="CL1782">
        <v>0.80835999999999997</v>
      </c>
      <c r="CM1782">
        <v>2.155E-2</v>
      </c>
      <c r="CN1782">
        <f t="shared" si="196"/>
        <v>1.6748445574100876</v>
      </c>
    </row>
    <row r="1783" spans="4:92" x14ac:dyDescent="0.35">
      <c r="D1783">
        <v>0.884548</v>
      </c>
      <c r="E1783">
        <v>20.359200000000001</v>
      </c>
      <c r="F1783">
        <v>15.052199999999999</v>
      </c>
      <c r="G1783">
        <v>19.699200000000001</v>
      </c>
      <c r="I1783">
        <v>0.884548</v>
      </c>
      <c r="J1783">
        <f t="shared" si="192"/>
        <v>3.6134420934785666E-2</v>
      </c>
      <c r="K1783">
        <v>7.9885641836867388E-2</v>
      </c>
      <c r="L1783">
        <v>6.4764527701307542E-2</v>
      </c>
      <c r="N1783">
        <v>0.884548</v>
      </c>
      <c r="O1783">
        <f t="shared" si="193"/>
        <v>7.9885641836867388E-2</v>
      </c>
      <c r="Q1783">
        <v>0.884548</v>
      </c>
      <c r="R1783">
        <f t="shared" si="194"/>
        <v>6.4764527701307542E-2</v>
      </c>
      <c r="CH1783">
        <v>0.818828</v>
      </c>
      <c r="CI1783">
        <v>35.957700000000003</v>
      </c>
      <c r="CJ1783">
        <f t="shared" si="195"/>
        <v>2794.5966655213324</v>
      </c>
      <c r="CL1783">
        <v>0.818828</v>
      </c>
      <c r="CM1783">
        <v>2.1069999999999998E-2</v>
      </c>
      <c r="CN1783">
        <f t="shared" si="196"/>
        <v>1.6375394350176586</v>
      </c>
    </row>
    <row r="1784" spans="4:92" x14ac:dyDescent="0.35">
      <c r="D1784">
        <v>0.89600299999999999</v>
      </c>
      <c r="E1784">
        <v>20.451699999999999</v>
      </c>
      <c r="F1784">
        <v>14.2049</v>
      </c>
      <c r="G1784">
        <v>19.5701</v>
      </c>
      <c r="I1784">
        <v>0.89600299999999999</v>
      </c>
      <c r="J1784">
        <f t="shared" si="192"/>
        <v>3.6298594081887105E-2</v>
      </c>
      <c r="K1784">
        <v>7.5388817164834213E-2</v>
      </c>
      <c r="L1784">
        <v>6.4340089118713376E-2</v>
      </c>
      <c r="N1784">
        <v>0.89600299999999999</v>
      </c>
      <c r="O1784">
        <f t="shared" si="193"/>
        <v>7.5388817164834213E-2</v>
      </c>
      <c r="Q1784">
        <v>0.89600299999999999</v>
      </c>
      <c r="R1784">
        <f t="shared" si="194"/>
        <v>6.4340089118713376E-2</v>
      </c>
      <c r="CH1784">
        <v>0.82943199999999995</v>
      </c>
      <c r="CI1784">
        <v>36.958500000000001</v>
      </c>
      <c r="CJ1784">
        <f t="shared" si="195"/>
        <v>2872.3778457095464</v>
      </c>
      <c r="CL1784">
        <v>0.82943199999999995</v>
      </c>
      <c r="CM1784">
        <v>2.2880000000000001E-2</v>
      </c>
      <c r="CN1784">
        <f t="shared" si="196"/>
        <v>1.7782108340391094</v>
      </c>
    </row>
    <row r="1785" spans="4:92" x14ac:dyDescent="0.35">
      <c r="D1785">
        <v>0.90760600000000002</v>
      </c>
      <c r="E1785">
        <v>20.193200000000001</v>
      </c>
      <c r="F1785">
        <v>13.3207</v>
      </c>
      <c r="G1785">
        <v>19.4481</v>
      </c>
      <c r="I1785">
        <v>0.90760600000000002</v>
      </c>
      <c r="J1785">
        <f t="shared" si="192"/>
        <v>3.583979669241983E-2</v>
      </c>
      <c r="K1785">
        <v>7.0696155327218582E-2</v>
      </c>
      <c r="L1785">
        <v>6.3938993014325401E-2</v>
      </c>
      <c r="N1785">
        <v>0.90760600000000002</v>
      </c>
      <c r="O1785">
        <f t="shared" si="193"/>
        <v>7.0696155327218582E-2</v>
      </c>
      <c r="Q1785">
        <v>0.90760600000000002</v>
      </c>
      <c r="R1785">
        <f t="shared" si="194"/>
        <v>6.3938993014325401E-2</v>
      </c>
      <c r="CH1785">
        <v>0.84017399999999998</v>
      </c>
      <c r="CI1785">
        <v>35.991799999999998</v>
      </c>
      <c r="CJ1785">
        <f t="shared" si="195"/>
        <v>2797.2468835912941</v>
      </c>
      <c r="CL1785">
        <v>0.84017399999999998</v>
      </c>
      <c r="CM1785">
        <v>2.1649999999999999E-2</v>
      </c>
      <c r="CN1785">
        <f t="shared" si="196"/>
        <v>1.6826164579085103</v>
      </c>
    </row>
    <row r="1786" spans="4:92" x14ac:dyDescent="0.35">
      <c r="D1786">
        <v>0.91935900000000004</v>
      </c>
      <c r="E1786">
        <v>20.419</v>
      </c>
      <c r="F1786">
        <v>12.9998</v>
      </c>
      <c r="G1786">
        <v>19.846599999999999</v>
      </c>
      <c r="I1786">
        <v>0.91935900000000004</v>
      </c>
      <c r="J1786">
        <f t="shared" si="192"/>
        <v>3.6240556655830702E-2</v>
      </c>
      <c r="K1786">
        <v>6.8993061927884874E-2</v>
      </c>
      <c r="L1786">
        <v>6.5249130699559871E-2</v>
      </c>
      <c r="N1786">
        <v>0.91935900000000004</v>
      </c>
      <c r="O1786">
        <f t="shared" si="193"/>
        <v>6.8993061927884874E-2</v>
      </c>
      <c r="Q1786">
        <v>0.91935900000000004</v>
      </c>
      <c r="R1786">
        <f t="shared" si="194"/>
        <v>6.5249130699559871E-2</v>
      </c>
      <c r="CH1786">
        <v>0.85105399999999998</v>
      </c>
      <c r="CI1786">
        <v>32.510599999999997</v>
      </c>
      <c r="CJ1786">
        <f t="shared" si="195"/>
        <v>2526.6914834402037</v>
      </c>
      <c r="CL1786">
        <v>0.85105399999999998</v>
      </c>
      <c r="CM1786">
        <v>1.9910000000000001E-2</v>
      </c>
      <c r="CN1786">
        <f t="shared" si="196"/>
        <v>1.5473853892359557</v>
      </c>
    </row>
    <row r="1787" spans="4:92" x14ac:dyDescent="0.35">
      <c r="D1787">
        <v>0.93126500000000001</v>
      </c>
      <c r="E1787">
        <v>19.799800000000001</v>
      </c>
      <c r="F1787">
        <v>12.9817</v>
      </c>
      <c r="G1787">
        <v>19.658200000000001</v>
      </c>
      <c r="I1787">
        <v>0.93126500000000001</v>
      </c>
      <c r="J1787">
        <f t="shared" si="192"/>
        <v>3.5141572734909483E-2</v>
      </c>
      <c r="K1787">
        <v>6.8897000879184531E-2</v>
      </c>
      <c r="L1787">
        <v>6.4629733108849285E-2</v>
      </c>
      <c r="N1787">
        <v>0.93126500000000001</v>
      </c>
      <c r="O1787">
        <f t="shared" si="193"/>
        <v>6.8897000879184531E-2</v>
      </c>
      <c r="Q1787">
        <v>0.93126500000000001</v>
      </c>
      <c r="R1787">
        <f t="shared" si="194"/>
        <v>6.4629733108849285E-2</v>
      </c>
      <c r="CH1787">
        <v>0.86207500000000004</v>
      </c>
      <c r="CI1787">
        <v>34.873899999999999</v>
      </c>
      <c r="CJ1787">
        <f t="shared" si="195"/>
        <v>2710.3648079194272</v>
      </c>
      <c r="CL1787">
        <v>0.86207500000000004</v>
      </c>
      <c r="CM1787">
        <v>1.9050000000000001E-2</v>
      </c>
      <c r="CN1787">
        <f t="shared" si="196"/>
        <v>1.4805470449495206</v>
      </c>
    </row>
    <row r="1788" spans="4:92" x14ac:dyDescent="0.35">
      <c r="D1788">
        <v>0.94332499999999997</v>
      </c>
      <c r="E1788">
        <v>20.730699999999999</v>
      </c>
      <c r="F1788">
        <v>13.734299999999999</v>
      </c>
      <c r="G1788">
        <v>18.775400000000001</v>
      </c>
      <c r="I1788">
        <v>0.94332499999999997</v>
      </c>
      <c r="J1788">
        <f t="shared" si="192"/>
        <v>3.679377579044172E-2</v>
      </c>
      <c r="K1788">
        <v>7.2891229898625301E-2</v>
      </c>
      <c r="L1788">
        <v>6.1727375396114025E-2</v>
      </c>
      <c r="N1788">
        <v>0.94332499999999997</v>
      </c>
      <c r="O1788">
        <f t="shared" si="193"/>
        <v>7.2891229898625301E-2</v>
      </c>
      <c r="Q1788">
        <v>0.94332499999999997</v>
      </c>
      <c r="R1788">
        <f t="shared" si="194"/>
        <v>6.1727375396114025E-2</v>
      </c>
      <c r="CH1788">
        <v>0.87323899999999999</v>
      </c>
      <c r="CI1788">
        <v>35.434600000000003</v>
      </c>
      <c r="CJ1788">
        <f t="shared" si="195"/>
        <v>2753.9418540140832</v>
      </c>
      <c r="CL1788">
        <v>0.87323899999999999</v>
      </c>
      <c r="CM1788">
        <v>1.831E-2</v>
      </c>
      <c r="CN1788">
        <f t="shared" si="196"/>
        <v>1.4230349812611929</v>
      </c>
    </row>
    <row r="1789" spans="4:92" x14ac:dyDescent="0.35">
      <c r="D1789">
        <v>0.95554099999999997</v>
      </c>
      <c r="E1789">
        <v>20.504999999999999</v>
      </c>
      <c r="F1789">
        <v>13.5266</v>
      </c>
      <c r="G1789">
        <v>19.221499999999999</v>
      </c>
      <c r="I1789">
        <v>0.95554099999999997</v>
      </c>
      <c r="J1789">
        <f t="shared" si="192"/>
        <v>3.6393193311514201E-2</v>
      </c>
      <c r="K1789">
        <v>7.1788916096688221E-2</v>
      </c>
      <c r="L1789">
        <v>6.3194006315519552E-2</v>
      </c>
      <c r="N1789">
        <v>0.95554099999999997</v>
      </c>
      <c r="O1789">
        <f t="shared" si="193"/>
        <v>7.1788916096688221E-2</v>
      </c>
      <c r="Q1789">
        <v>0.95554099999999997</v>
      </c>
      <c r="R1789">
        <f t="shared" si="194"/>
        <v>6.3194006315519552E-2</v>
      </c>
      <c r="CH1789">
        <v>0.884548</v>
      </c>
      <c r="CI1789">
        <v>36.143099999999997</v>
      </c>
      <c r="CJ1789">
        <f t="shared" si="195"/>
        <v>2809.0057690454078</v>
      </c>
      <c r="CL1789">
        <v>0.884548</v>
      </c>
      <c r="CM1789">
        <v>1.8720000000000001E-2</v>
      </c>
      <c r="CN1789">
        <f t="shared" si="196"/>
        <v>1.4548997733047258</v>
      </c>
    </row>
    <row r="1790" spans="4:92" x14ac:dyDescent="0.35">
      <c r="D1790">
        <v>0.967916</v>
      </c>
      <c r="E1790">
        <v>20.669699999999999</v>
      </c>
      <c r="F1790">
        <v>14.616400000000001</v>
      </c>
      <c r="G1790">
        <v>19.236999999999998</v>
      </c>
      <c r="I1790">
        <v>0.967916</v>
      </c>
      <c r="J1790">
        <f t="shared" si="192"/>
        <v>3.6685510255596444E-2</v>
      </c>
      <c r="K1790">
        <v>7.7572746531695602E-2</v>
      </c>
      <c r="L1790">
        <v>6.3244965246814736E-2</v>
      </c>
      <c r="N1790">
        <v>0.967916</v>
      </c>
      <c r="O1790">
        <f t="shared" si="193"/>
        <v>7.7572746531695602E-2</v>
      </c>
      <c r="Q1790">
        <v>0.967916</v>
      </c>
      <c r="R1790">
        <f t="shared" si="194"/>
        <v>6.3244965246814736E-2</v>
      </c>
      <c r="CH1790">
        <v>0.89600299999999999</v>
      </c>
      <c r="CI1790">
        <v>34.752800000000001</v>
      </c>
      <c r="CJ1790">
        <f t="shared" si="195"/>
        <v>2700.9530364158372</v>
      </c>
      <c r="CL1790">
        <v>0.89600299999999999</v>
      </c>
      <c r="CM1790">
        <v>1.6289999999999999E-2</v>
      </c>
      <c r="CN1790">
        <f t="shared" si="196"/>
        <v>1.2660425911930546</v>
      </c>
    </row>
    <row r="1791" spans="4:92" x14ac:dyDescent="0.35">
      <c r="D1791">
        <v>0.98045000000000004</v>
      </c>
      <c r="E1791">
        <v>20.986799999999999</v>
      </c>
      <c r="F1791">
        <v>14.662100000000001</v>
      </c>
      <c r="G1791">
        <v>19.597999999999999</v>
      </c>
      <c r="I1791">
        <v>0.98045000000000004</v>
      </c>
      <c r="J1791">
        <f t="shared" si="192"/>
        <v>3.7248313552308523E-2</v>
      </c>
      <c r="K1791">
        <v>7.7815287411563322E-2</v>
      </c>
      <c r="L1791">
        <v>6.443181519504472E-2</v>
      </c>
      <c r="N1791">
        <v>0.98045000000000004</v>
      </c>
      <c r="O1791">
        <f t="shared" si="193"/>
        <v>7.7815287411563322E-2</v>
      </c>
      <c r="Q1791">
        <v>0.98045000000000004</v>
      </c>
      <c r="R1791">
        <f t="shared" si="194"/>
        <v>6.443181519504472E-2</v>
      </c>
      <c r="CH1791">
        <v>0.90760600000000002</v>
      </c>
      <c r="CI1791">
        <v>33.950400000000002</v>
      </c>
      <c r="CJ1791">
        <f t="shared" si="195"/>
        <v>2638.5913068164937</v>
      </c>
      <c r="CL1791">
        <v>0.90760600000000002</v>
      </c>
      <c r="CM1791">
        <v>1.9470000000000001E-2</v>
      </c>
      <c r="CN1791">
        <f t="shared" si="196"/>
        <v>1.513189027042896</v>
      </c>
    </row>
    <row r="1792" spans="4:92" x14ac:dyDescent="0.35">
      <c r="D1792">
        <v>0.993147</v>
      </c>
      <c r="E1792">
        <v>20.3965</v>
      </c>
      <c r="F1792">
        <v>15.8065</v>
      </c>
      <c r="G1792">
        <v>19.7133</v>
      </c>
      <c r="I1792">
        <v>0.993147</v>
      </c>
      <c r="J1792">
        <f t="shared" si="192"/>
        <v>3.6200622647076297E-2</v>
      </c>
      <c r="K1792">
        <v>8.3888893164749623E-2</v>
      </c>
      <c r="L1792">
        <v>6.4810883890421223E-2</v>
      </c>
      <c r="N1792">
        <v>0.993147</v>
      </c>
      <c r="O1792">
        <f t="shared" si="193"/>
        <v>8.3888893164749623E-2</v>
      </c>
      <c r="Q1792">
        <v>0.993147</v>
      </c>
      <c r="R1792">
        <f t="shared" si="194"/>
        <v>6.4810883890421223E-2</v>
      </c>
      <c r="CH1792">
        <v>0.91935900000000004</v>
      </c>
      <c r="CI1792">
        <v>33.419800000000002</v>
      </c>
      <c r="CJ1792">
        <f t="shared" si="195"/>
        <v>2597.3536027718633</v>
      </c>
      <c r="CL1792">
        <v>0.91935900000000004</v>
      </c>
      <c r="CM1792">
        <v>2.3359999999999999E-2</v>
      </c>
      <c r="CN1792">
        <f t="shared" si="196"/>
        <v>1.815515956431538</v>
      </c>
    </row>
    <row r="1793" spans="4:92" x14ac:dyDescent="0.35">
      <c r="D1793">
        <v>1.0060100000000001</v>
      </c>
      <c r="E1793">
        <v>20.692599999999999</v>
      </c>
      <c r="F1793">
        <v>15.999599999999999</v>
      </c>
      <c r="G1793">
        <v>19.685500000000001</v>
      </c>
      <c r="I1793">
        <v>1.0060100000000001</v>
      </c>
      <c r="J1793">
        <f t="shared" si="192"/>
        <v>3.6726154202284263E-2</v>
      </c>
      <c r="K1793">
        <v>8.4913721258895278E-2</v>
      </c>
      <c r="L1793">
        <v>6.4719486581388555E-2</v>
      </c>
      <c r="N1793">
        <v>1.0060100000000001</v>
      </c>
      <c r="O1793">
        <f t="shared" si="193"/>
        <v>8.4913721258895278E-2</v>
      </c>
      <c r="Q1793">
        <v>1.0060100000000001</v>
      </c>
      <c r="R1793">
        <f t="shared" si="194"/>
        <v>6.4719486581388555E-2</v>
      </c>
      <c r="CH1793">
        <v>0.93126500000000001</v>
      </c>
      <c r="CI1793">
        <v>33.664499999999997</v>
      </c>
      <c r="CJ1793">
        <f t="shared" si="195"/>
        <v>2616.3714432915031</v>
      </c>
      <c r="CL1793">
        <v>0.93126500000000001</v>
      </c>
      <c r="CM1793">
        <v>2.0039999999999999E-2</v>
      </c>
      <c r="CN1793">
        <f t="shared" si="196"/>
        <v>1.557488859883905</v>
      </c>
    </row>
    <row r="1794" spans="4:92" x14ac:dyDescent="0.35">
      <c r="D1794">
        <v>1.0190399999999999</v>
      </c>
      <c r="E1794">
        <v>20.604600000000001</v>
      </c>
      <c r="F1794">
        <v>14.597099999999999</v>
      </c>
      <c r="G1794">
        <v>20.1617</v>
      </c>
      <c r="I1794">
        <v>1.0190399999999999</v>
      </c>
      <c r="J1794">
        <f t="shared" si="192"/>
        <v>3.6569967856933706E-2</v>
      </c>
      <c r="K1794">
        <v>7.7470316794683636E-2</v>
      </c>
      <c r="L1794">
        <v>6.6285076457696351E-2</v>
      </c>
      <c r="N1794">
        <v>1.0190399999999999</v>
      </c>
      <c r="O1794">
        <f t="shared" si="193"/>
        <v>7.7470316794683636E-2</v>
      </c>
      <c r="Q1794">
        <v>1.0190399999999999</v>
      </c>
      <c r="R1794">
        <f t="shared" si="194"/>
        <v>6.6285076457696351E-2</v>
      </c>
      <c r="CH1794">
        <v>0.94332499999999997</v>
      </c>
      <c r="CI1794">
        <v>33.540199999999999</v>
      </c>
      <c r="CJ1794">
        <f t="shared" si="195"/>
        <v>2606.7109709719639</v>
      </c>
      <c r="CL1794">
        <v>0.94332499999999997</v>
      </c>
      <c r="CM1794">
        <v>1.7950000000000001E-2</v>
      </c>
      <c r="CN1794">
        <f t="shared" si="196"/>
        <v>1.3950561394668712</v>
      </c>
    </row>
    <row r="1795" spans="4:92" x14ac:dyDescent="0.35">
      <c r="D1795">
        <v>1.03223</v>
      </c>
      <c r="E1795">
        <v>20.7484</v>
      </c>
      <c r="F1795">
        <v>14.098699999999999</v>
      </c>
      <c r="G1795">
        <v>19.768999999999998</v>
      </c>
      <c r="I1795">
        <v>1.03223</v>
      </c>
      <c r="J1795">
        <f t="shared" si="192"/>
        <v>3.682519054399519E-2</v>
      </c>
      <c r="K1795">
        <v>7.4825188249255409E-2</v>
      </c>
      <c r="L1795">
        <v>6.4994007275785234E-2</v>
      </c>
      <c r="N1795">
        <v>1.03223</v>
      </c>
      <c r="O1795">
        <f t="shared" si="193"/>
        <v>7.4825188249255409E-2</v>
      </c>
      <c r="Q1795">
        <v>1.03223</v>
      </c>
      <c r="R1795">
        <f t="shared" si="194"/>
        <v>6.4994007275785234E-2</v>
      </c>
      <c r="CH1795">
        <v>0.95554099999999997</v>
      </c>
      <c r="CI1795">
        <v>34.010100000000001</v>
      </c>
      <c r="CJ1795">
        <f t="shared" si="195"/>
        <v>2643.231131414052</v>
      </c>
      <c r="CL1795">
        <v>0.95554099999999997</v>
      </c>
      <c r="CM1795">
        <v>1.8339999999999999E-2</v>
      </c>
      <c r="CN1795">
        <f t="shared" si="196"/>
        <v>1.4253665514107194</v>
      </c>
    </row>
    <row r="1796" spans="4:92" x14ac:dyDescent="0.35">
      <c r="D1796">
        <v>1.0456000000000001</v>
      </c>
      <c r="E1796">
        <v>20.382400000000001</v>
      </c>
      <c r="F1796">
        <v>14.3005</v>
      </c>
      <c r="G1796">
        <v>19.8355</v>
      </c>
      <c r="I1796">
        <v>1.0456000000000001</v>
      </c>
      <c r="J1796">
        <f t="shared" ref="J1796:J1859" si="197">E1796/SUM($E$3:$E$2002)/$C$3</f>
        <v>3.6175597334923537E-2</v>
      </c>
      <c r="K1796">
        <v>7.5896189333660338E-2</v>
      </c>
      <c r="L1796">
        <v>6.521263752940655E-2</v>
      </c>
      <c r="N1796">
        <v>1.0456000000000001</v>
      </c>
      <c r="O1796">
        <f t="shared" ref="O1796:O1859" si="198">F1796/SUM($F$3:$F$2002)/$C$3</f>
        <v>7.5896189333660338E-2</v>
      </c>
      <c r="Q1796">
        <v>1.0456000000000001</v>
      </c>
      <c r="R1796">
        <f t="shared" ref="R1796:R1859" si="199">G1796/SUM($G$3:$G$2002)/$C$3</f>
        <v>6.521263752940655E-2</v>
      </c>
      <c r="CH1796">
        <v>0.967916</v>
      </c>
      <c r="CI1796">
        <v>35.228900000000003</v>
      </c>
      <c r="CJ1796">
        <f t="shared" si="195"/>
        <v>2737.9550546888277</v>
      </c>
      <c r="CL1796">
        <v>0.967916</v>
      </c>
      <c r="CM1796">
        <v>1.9810000000000001E-2</v>
      </c>
      <c r="CN1796">
        <f t="shared" si="196"/>
        <v>1.539613488737533</v>
      </c>
    </row>
    <row r="1797" spans="4:92" x14ac:dyDescent="0.35">
      <c r="D1797">
        <v>1.05914</v>
      </c>
      <c r="E1797">
        <v>20.467400000000001</v>
      </c>
      <c r="F1797">
        <v>14.003</v>
      </c>
      <c r="G1797">
        <v>20.224599999999999</v>
      </c>
      <c r="I1797">
        <v>1.05914</v>
      </c>
      <c r="J1797">
        <f t="shared" si="197"/>
        <v>3.632645914577351E-2</v>
      </c>
      <c r="K1797">
        <v>7.431728535640332E-2</v>
      </c>
      <c r="L1797">
        <v>6.6491871088565233E-2</v>
      </c>
      <c r="N1797">
        <v>1.05914</v>
      </c>
      <c r="O1797">
        <f t="shared" si="198"/>
        <v>7.431728535640332E-2</v>
      </c>
      <c r="Q1797">
        <v>1.05914</v>
      </c>
      <c r="R1797">
        <f t="shared" si="199"/>
        <v>6.6491871088565233E-2</v>
      </c>
      <c r="CH1797">
        <v>0.98045000000000004</v>
      </c>
      <c r="CI1797">
        <v>34.675400000000003</v>
      </c>
      <c r="CJ1797">
        <f t="shared" si="195"/>
        <v>2694.9375854300583</v>
      </c>
      <c r="CL1797">
        <v>0.98045000000000004</v>
      </c>
      <c r="CM1797">
        <v>1.9029999999999998E-2</v>
      </c>
      <c r="CN1797">
        <f t="shared" si="196"/>
        <v>1.4789926648498359</v>
      </c>
    </row>
    <row r="1798" spans="4:92" x14ac:dyDescent="0.35">
      <c r="D1798">
        <v>1.0728599999999999</v>
      </c>
      <c r="E1798">
        <v>20.520099999999999</v>
      </c>
      <c r="F1798">
        <v>13.8886</v>
      </c>
      <c r="G1798">
        <v>19.9573</v>
      </c>
      <c r="I1798">
        <v>1.0728599999999999</v>
      </c>
      <c r="J1798">
        <f t="shared" si="197"/>
        <v>3.6419993468500493E-2</v>
      </c>
      <c r="K1798">
        <v>7.3710137070695084E-2</v>
      </c>
      <c r="L1798">
        <v>6.5613076099197157E-2</v>
      </c>
      <c r="N1798">
        <v>1.0728599999999999</v>
      </c>
      <c r="O1798">
        <f t="shared" si="198"/>
        <v>7.3710137070695084E-2</v>
      </c>
      <c r="Q1798">
        <v>1.0728599999999999</v>
      </c>
      <c r="R1798">
        <f t="shared" si="199"/>
        <v>6.5613076099197157E-2</v>
      </c>
      <c r="CH1798">
        <v>0.993147</v>
      </c>
      <c r="CI1798">
        <v>35.9758</v>
      </c>
      <c r="CJ1798">
        <f t="shared" si="195"/>
        <v>2796.0033795115464</v>
      </c>
      <c r="CL1798">
        <v>0.993147</v>
      </c>
      <c r="CM1798">
        <v>2.138E-2</v>
      </c>
      <c r="CN1798">
        <f t="shared" si="196"/>
        <v>1.661632326562769</v>
      </c>
    </row>
    <row r="1799" spans="4:92" x14ac:dyDescent="0.35">
      <c r="D1799">
        <v>1.0867500000000001</v>
      </c>
      <c r="E1799">
        <v>20.337499999999999</v>
      </c>
      <c r="F1799">
        <v>13.599600000000001</v>
      </c>
      <c r="G1799">
        <v>19.7713</v>
      </c>
      <c r="I1799">
        <v>1.0867500000000001</v>
      </c>
      <c r="J1799">
        <f t="shared" si="197"/>
        <v>3.609590680189808E-2</v>
      </c>
      <c r="K1799">
        <v>7.2176344635645401E-2</v>
      </c>
      <c r="L1799">
        <v>6.5001568923654857E-2</v>
      </c>
      <c r="N1799">
        <v>1.0867500000000001</v>
      </c>
      <c r="O1799">
        <f t="shared" si="198"/>
        <v>7.2176344635645401E-2</v>
      </c>
      <c r="Q1799">
        <v>1.0867500000000001</v>
      </c>
      <c r="R1799">
        <f t="shared" si="199"/>
        <v>6.5001568923654857E-2</v>
      </c>
      <c r="CH1799">
        <v>1.0060100000000001</v>
      </c>
      <c r="CI1799">
        <v>35.360300000000002</v>
      </c>
      <c r="CJ1799">
        <f t="shared" si="195"/>
        <v>2748.167331943755</v>
      </c>
      <c r="CL1799">
        <v>1.0060100000000001</v>
      </c>
      <c r="CM1799">
        <v>1.8249999999999999E-2</v>
      </c>
      <c r="CN1799">
        <f t="shared" si="196"/>
        <v>1.4183718409621391</v>
      </c>
    </row>
    <row r="1800" spans="4:92" x14ac:dyDescent="0.35">
      <c r="D1800">
        <v>1.1008199999999999</v>
      </c>
      <c r="E1800">
        <v>19.9666</v>
      </c>
      <c r="F1800">
        <v>11.936</v>
      </c>
      <c r="G1800">
        <v>19.745999999999999</v>
      </c>
      <c r="I1800">
        <v>1.1008199999999999</v>
      </c>
      <c r="J1800">
        <f t="shared" si="197"/>
        <v>3.5437616853142138E-2</v>
      </c>
      <c r="K1800">
        <v>6.3347219739629368E-2</v>
      </c>
      <c r="L1800">
        <v>6.4918390797089137E-2</v>
      </c>
      <c r="N1800">
        <v>1.1008199999999999</v>
      </c>
      <c r="O1800">
        <f t="shared" si="198"/>
        <v>6.3347219739629368E-2</v>
      </c>
      <c r="Q1800">
        <v>1.1008199999999999</v>
      </c>
      <c r="R1800">
        <f t="shared" si="199"/>
        <v>6.4918390797089137E-2</v>
      </c>
      <c r="CH1800">
        <v>1.0190399999999999</v>
      </c>
      <c r="CI1800">
        <v>35.155200000000001</v>
      </c>
      <c r="CJ1800">
        <f t="shared" si="195"/>
        <v>2732.2271640214904</v>
      </c>
      <c r="CL1800">
        <v>1.0190399999999999</v>
      </c>
      <c r="CM1800">
        <v>1.8339999999999999E-2</v>
      </c>
      <c r="CN1800">
        <f t="shared" si="196"/>
        <v>1.4253665514107194</v>
      </c>
    </row>
    <row r="1801" spans="4:92" x14ac:dyDescent="0.35">
      <c r="D1801">
        <v>1.1150800000000001</v>
      </c>
      <c r="E1801">
        <v>20.6751</v>
      </c>
      <c r="F1801">
        <v>12.465299999999999</v>
      </c>
      <c r="G1801">
        <v>19.073899999999998</v>
      </c>
      <c r="I1801">
        <v>1.1150800000000001</v>
      </c>
      <c r="J1801">
        <f t="shared" si="197"/>
        <v>3.6695094417697506E-2</v>
      </c>
      <c r="K1801">
        <v>6.6156342009081923E-2</v>
      </c>
      <c r="L1801">
        <v>6.2708745782669828E-2</v>
      </c>
      <c r="N1801">
        <v>1.1150800000000001</v>
      </c>
      <c r="O1801">
        <f t="shared" si="198"/>
        <v>6.6156342009081923E-2</v>
      </c>
      <c r="Q1801">
        <v>1.1150800000000001</v>
      </c>
      <c r="R1801">
        <f t="shared" si="199"/>
        <v>6.2708745782669828E-2</v>
      </c>
      <c r="CH1801">
        <v>1.03223</v>
      </c>
      <c r="CI1801">
        <v>34.698399999999999</v>
      </c>
      <c r="CJ1801">
        <f t="shared" si="195"/>
        <v>2696.7251225446953</v>
      </c>
      <c r="CL1801">
        <v>1.03223</v>
      </c>
      <c r="CM1801">
        <v>1.9730000000000001E-2</v>
      </c>
      <c r="CN1801">
        <f t="shared" si="196"/>
        <v>1.533395968338795</v>
      </c>
    </row>
    <row r="1802" spans="4:92" x14ac:dyDescent="0.35">
      <c r="D1802">
        <v>1.1295200000000001</v>
      </c>
      <c r="E1802">
        <v>20.4511</v>
      </c>
      <c r="F1802">
        <v>14.9305</v>
      </c>
      <c r="G1802">
        <v>20.312000000000001</v>
      </c>
      <c r="I1802">
        <v>1.1295200000000001</v>
      </c>
      <c r="J1802">
        <f t="shared" si="197"/>
        <v>3.6297529174986985E-2</v>
      </c>
      <c r="K1802">
        <v>7.9239750697263425E-2</v>
      </c>
      <c r="L1802">
        <v>6.6779213707610391E-2</v>
      </c>
      <c r="N1802">
        <v>1.1295200000000001</v>
      </c>
      <c r="O1802">
        <f t="shared" si="198"/>
        <v>7.9239750697263425E-2</v>
      </c>
      <c r="Q1802">
        <v>1.1295200000000001</v>
      </c>
      <c r="R1802">
        <f t="shared" si="199"/>
        <v>6.6779213707610391E-2</v>
      </c>
      <c r="CH1802">
        <v>1.0456000000000001</v>
      </c>
      <c r="CI1802">
        <v>35.276600000000002</v>
      </c>
      <c r="CJ1802">
        <f t="shared" ref="CJ1802:CJ1865" si="200">CI1802/$CG$9</f>
        <v>2741.6622512265753</v>
      </c>
      <c r="CL1802">
        <v>1.0456000000000001</v>
      </c>
      <c r="CM1802">
        <v>1.8550000000000001E-2</v>
      </c>
      <c r="CN1802">
        <f t="shared" ref="CN1802:CN1865" si="201">CM1802/$CG$9</f>
        <v>1.4416875424574072</v>
      </c>
    </row>
    <row r="1803" spans="4:92" x14ac:dyDescent="0.35">
      <c r="D1803">
        <v>1.14415</v>
      </c>
      <c r="E1803">
        <v>20.630299999999998</v>
      </c>
      <c r="F1803">
        <v>14.136200000000001</v>
      </c>
      <c r="G1803">
        <v>19.854600000000001</v>
      </c>
      <c r="I1803">
        <v>1.14415</v>
      </c>
      <c r="J1803">
        <f t="shared" si="197"/>
        <v>3.6615581369155395E-2</v>
      </c>
      <c r="K1803">
        <v>7.5024209758993696E-2</v>
      </c>
      <c r="L1803">
        <v>6.5275432083454182E-2</v>
      </c>
      <c r="N1803">
        <v>1.14415</v>
      </c>
      <c r="O1803">
        <f t="shared" si="198"/>
        <v>7.5024209758993696E-2</v>
      </c>
      <c r="Q1803">
        <v>1.14415</v>
      </c>
      <c r="R1803">
        <f t="shared" si="199"/>
        <v>6.5275432083454182E-2</v>
      </c>
      <c r="CH1803">
        <v>1.05914</v>
      </c>
      <c r="CI1803">
        <v>35.618600000000001</v>
      </c>
      <c r="CJ1803">
        <f t="shared" si="200"/>
        <v>2768.2421509311807</v>
      </c>
      <c r="CL1803">
        <v>1.05914</v>
      </c>
      <c r="CM1803">
        <v>1.9730000000000001E-2</v>
      </c>
      <c r="CN1803">
        <f t="shared" si="201"/>
        <v>1.533395968338795</v>
      </c>
    </row>
    <row r="1804" spans="4:92" x14ac:dyDescent="0.35">
      <c r="D1804">
        <v>1.15896</v>
      </c>
      <c r="E1804">
        <v>20.897300000000001</v>
      </c>
      <c r="F1804">
        <v>13.7483</v>
      </c>
      <c r="G1804">
        <v>19.3385</v>
      </c>
      <c r="I1804">
        <v>1.15896</v>
      </c>
      <c r="J1804">
        <f t="shared" si="197"/>
        <v>3.7089464939707675E-2</v>
      </c>
      <c r="K1804">
        <v>7.2965531262260935E-2</v>
      </c>
      <c r="L1804">
        <v>6.3578664054973588E-2</v>
      </c>
      <c r="N1804">
        <v>1.15896</v>
      </c>
      <c r="O1804">
        <f t="shared" si="198"/>
        <v>7.2965531262260935E-2</v>
      </c>
      <c r="Q1804">
        <v>1.15896</v>
      </c>
      <c r="R1804">
        <f t="shared" si="199"/>
        <v>6.3578664054973588E-2</v>
      </c>
      <c r="CH1804">
        <v>1.0728599999999999</v>
      </c>
      <c r="CI1804">
        <v>34.494300000000003</v>
      </c>
      <c r="CJ1804">
        <f t="shared" si="200"/>
        <v>2680.862673627415</v>
      </c>
      <c r="CL1804">
        <v>1.0728599999999999</v>
      </c>
      <c r="CM1804">
        <v>2.2839999999999999E-2</v>
      </c>
      <c r="CN1804">
        <f t="shared" si="201"/>
        <v>1.7751020738397401</v>
      </c>
    </row>
    <row r="1805" spans="4:92" x14ac:dyDescent="0.35">
      <c r="D1805">
        <v>1.17397</v>
      </c>
      <c r="E1805">
        <v>20.591100000000001</v>
      </c>
      <c r="F1805">
        <v>12.176</v>
      </c>
      <c r="G1805">
        <v>19.263000000000002</v>
      </c>
      <c r="I1805">
        <v>1.17397</v>
      </c>
      <c r="J1805">
        <f t="shared" si="197"/>
        <v>3.6546007451681059E-2</v>
      </c>
      <c r="K1805">
        <v>6.4620957401954351E-2</v>
      </c>
      <c r="L1805">
        <v>6.3330444744471207E-2</v>
      </c>
      <c r="N1805">
        <v>1.17397</v>
      </c>
      <c r="O1805">
        <f t="shared" si="198"/>
        <v>6.4620957401954351E-2</v>
      </c>
      <c r="Q1805">
        <v>1.17397</v>
      </c>
      <c r="R1805">
        <f t="shared" si="199"/>
        <v>6.3330444744471207E-2</v>
      </c>
      <c r="CH1805">
        <v>1.0867500000000001</v>
      </c>
      <c r="CI1805">
        <v>35.068100000000001</v>
      </c>
      <c r="CJ1805">
        <f t="shared" si="200"/>
        <v>2725.4578386873641</v>
      </c>
      <c r="CL1805">
        <v>1.0867500000000001</v>
      </c>
      <c r="CM1805">
        <v>1.7160000000000002E-2</v>
      </c>
      <c r="CN1805">
        <f t="shared" si="201"/>
        <v>1.3336581255293321</v>
      </c>
    </row>
    <row r="1806" spans="4:92" x14ac:dyDescent="0.35">
      <c r="D1806">
        <v>1.1891799999999999</v>
      </c>
      <c r="E1806">
        <v>20.3597</v>
      </c>
      <c r="F1806">
        <v>11.6669</v>
      </c>
      <c r="G1806">
        <v>18.6967</v>
      </c>
      <c r="I1806">
        <v>1.1891799999999999</v>
      </c>
      <c r="J1806">
        <f t="shared" si="197"/>
        <v>3.6135308357202425E-2</v>
      </c>
      <c r="K1806">
        <v>6.1919041385747477E-2</v>
      </c>
      <c r="L1806">
        <v>6.1468635532053915E-2</v>
      </c>
      <c r="N1806">
        <v>1.1891799999999999</v>
      </c>
      <c r="O1806">
        <f t="shared" si="198"/>
        <v>6.1919041385747477E-2</v>
      </c>
      <c r="Q1806">
        <v>1.1891799999999999</v>
      </c>
      <c r="R1806">
        <f t="shared" si="199"/>
        <v>6.1468635532053915E-2</v>
      </c>
      <c r="CH1806">
        <v>1.1008199999999999</v>
      </c>
      <c r="CI1806">
        <v>32.479399999999998</v>
      </c>
      <c r="CJ1806">
        <f t="shared" si="200"/>
        <v>2524.2666504846961</v>
      </c>
      <c r="CL1806">
        <v>1.1008199999999999</v>
      </c>
      <c r="CM1806">
        <v>2.6759999999999999E-2</v>
      </c>
      <c r="CN1806">
        <f t="shared" si="201"/>
        <v>2.079760573377909</v>
      </c>
    </row>
    <row r="1807" spans="4:92" x14ac:dyDescent="0.35">
      <c r="D1807">
        <v>1.20458</v>
      </c>
      <c r="E1807">
        <v>20.110800000000001</v>
      </c>
      <c r="F1807">
        <v>11.810700000000001</v>
      </c>
      <c r="G1807">
        <v>18.8522</v>
      </c>
      <c r="I1807">
        <v>1.20458</v>
      </c>
      <c r="J1807">
        <f t="shared" si="197"/>
        <v>3.5693549478137035E-2</v>
      </c>
      <c r="K1807">
        <v>6.2682222535090537E-2</v>
      </c>
      <c r="L1807">
        <v>6.1979868681499239E-2</v>
      </c>
      <c r="N1807">
        <v>1.20458</v>
      </c>
      <c r="O1807">
        <f t="shared" si="198"/>
        <v>6.2682222535090537E-2</v>
      </c>
      <c r="Q1807">
        <v>1.20458</v>
      </c>
      <c r="R1807">
        <f t="shared" si="199"/>
        <v>6.1979868681499239E-2</v>
      </c>
      <c r="CH1807">
        <v>1.1150800000000001</v>
      </c>
      <c r="CI1807">
        <v>33.223399999999998</v>
      </c>
      <c r="CJ1807">
        <f t="shared" si="200"/>
        <v>2582.0895901929607</v>
      </c>
      <c r="CL1807">
        <v>1.1150800000000001</v>
      </c>
      <c r="CM1807">
        <v>1.728E-2</v>
      </c>
      <c r="CN1807">
        <f t="shared" si="201"/>
        <v>1.3429844061274392</v>
      </c>
    </row>
    <row r="1808" spans="4:92" x14ac:dyDescent="0.35">
      <c r="D1808">
        <v>1.22018</v>
      </c>
      <c r="E1808">
        <v>19.946100000000001</v>
      </c>
      <c r="F1808">
        <v>10.7273</v>
      </c>
      <c r="G1808">
        <v>18.7591</v>
      </c>
      <c r="I1808">
        <v>1.22018</v>
      </c>
      <c r="J1808">
        <f t="shared" si="197"/>
        <v>3.5401232534054791E-2</v>
      </c>
      <c r="K1808">
        <v>5.6932358437745148E-2</v>
      </c>
      <c r="L1808">
        <v>6.1673786326429406E-2</v>
      </c>
      <c r="N1808">
        <v>1.22018</v>
      </c>
      <c r="O1808">
        <f t="shared" si="198"/>
        <v>5.6932358437745148E-2</v>
      </c>
      <c r="Q1808">
        <v>1.22018</v>
      </c>
      <c r="R1808">
        <f t="shared" si="199"/>
        <v>6.1673786326429406E-2</v>
      </c>
      <c r="CH1808">
        <v>1.1295200000000001</v>
      </c>
      <c r="CI1808">
        <v>35.340400000000002</v>
      </c>
      <c r="CJ1808">
        <f t="shared" si="200"/>
        <v>2746.6207237445692</v>
      </c>
      <c r="CL1808">
        <v>1.1295200000000001</v>
      </c>
      <c r="CM1808">
        <v>2.359E-2</v>
      </c>
      <c r="CN1808">
        <f t="shared" si="201"/>
        <v>1.8333913275779103</v>
      </c>
    </row>
    <row r="1809" spans="4:92" x14ac:dyDescent="0.35">
      <c r="D1809">
        <v>1.2359800000000001</v>
      </c>
      <c r="E1809">
        <v>19.911000000000001</v>
      </c>
      <c r="F1809">
        <v>10.388299999999999</v>
      </c>
      <c r="G1809">
        <v>18.963999999999999</v>
      </c>
      <c r="I1809">
        <v>1.2359800000000001</v>
      </c>
      <c r="J1809">
        <f t="shared" si="197"/>
        <v>3.5338935480397918E-2</v>
      </c>
      <c r="K1809">
        <v>5.5133203989711103E-2</v>
      </c>
      <c r="L1809">
        <v>6.2347430521421984E-2</v>
      </c>
      <c r="N1809">
        <v>1.2359800000000001</v>
      </c>
      <c r="O1809">
        <f t="shared" si="198"/>
        <v>5.5133203989711103E-2</v>
      </c>
      <c r="Q1809">
        <v>1.2359800000000001</v>
      </c>
      <c r="R1809">
        <f t="shared" si="199"/>
        <v>6.2347430521421984E-2</v>
      </c>
      <c r="CH1809">
        <v>1.14415</v>
      </c>
      <c r="CI1809">
        <v>34.957500000000003</v>
      </c>
      <c r="CJ1809">
        <f t="shared" si="200"/>
        <v>2716.8621167361089</v>
      </c>
      <c r="CL1809">
        <v>1.14415</v>
      </c>
      <c r="CM1809">
        <v>2.2030000000000001E-2</v>
      </c>
      <c r="CN1809">
        <f t="shared" si="201"/>
        <v>1.7121496798025166</v>
      </c>
    </row>
    <row r="1810" spans="4:92" x14ac:dyDescent="0.35">
      <c r="D1810">
        <v>1.2519800000000001</v>
      </c>
      <c r="E1810">
        <v>19.992799999999999</v>
      </c>
      <c r="F1810">
        <v>10.863300000000001</v>
      </c>
      <c r="G1810">
        <v>19.3841</v>
      </c>
      <c r="I1810">
        <v>1.2519800000000001</v>
      </c>
      <c r="J1810">
        <f t="shared" si="197"/>
        <v>3.5484117787780593E-2</v>
      </c>
      <c r="K1810">
        <v>5.7654143113062641E-2</v>
      </c>
      <c r="L1810">
        <v>6.3728581943171048E-2</v>
      </c>
      <c r="N1810">
        <v>1.2519800000000001</v>
      </c>
      <c r="O1810">
        <f t="shared" si="198"/>
        <v>5.7654143113062641E-2</v>
      </c>
      <c r="Q1810">
        <v>1.2519800000000001</v>
      </c>
      <c r="R1810">
        <f t="shared" si="199"/>
        <v>6.3728581943171048E-2</v>
      </c>
      <c r="CH1810">
        <v>1.15896</v>
      </c>
      <c r="CI1810">
        <v>35.129600000000003</v>
      </c>
      <c r="CJ1810">
        <f t="shared" si="200"/>
        <v>2730.2375574938942</v>
      </c>
      <c r="CL1810">
        <v>1.15896</v>
      </c>
      <c r="CM1810">
        <v>1.6740000000000001E-2</v>
      </c>
      <c r="CN1810">
        <f t="shared" si="201"/>
        <v>1.3010161434359568</v>
      </c>
    </row>
    <row r="1811" spans="4:92" x14ac:dyDescent="0.35">
      <c r="D1811">
        <v>1.2682</v>
      </c>
      <c r="E1811">
        <v>20.814699999999998</v>
      </c>
      <c r="F1811">
        <v>10.5524</v>
      </c>
      <c r="G1811">
        <v>18.9756</v>
      </c>
      <c r="I1811">
        <v>1.2682</v>
      </c>
      <c r="J1811">
        <f t="shared" si="197"/>
        <v>3.694286275645816E-2</v>
      </c>
      <c r="K1811">
        <v>5.600412211632582E-2</v>
      </c>
      <c r="L1811">
        <v>6.238556752806871E-2</v>
      </c>
      <c r="N1811">
        <v>1.2682</v>
      </c>
      <c r="O1811">
        <f t="shared" si="198"/>
        <v>5.600412211632582E-2</v>
      </c>
      <c r="Q1811">
        <v>1.2682</v>
      </c>
      <c r="R1811">
        <f t="shared" si="199"/>
        <v>6.238556752806871E-2</v>
      </c>
      <c r="CH1811">
        <v>1.17397</v>
      </c>
      <c r="CI1811">
        <v>33.381399999999999</v>
      </c>
      <c r="CJ1811">
        <f t="shared" si="200"/>
        <v>2594.3691929804686</v>
      </c>
      <c r="CL1811">
        <v>1.17397</v>
      </c>
      <c r="CM1811">
        <v>2.0199999999999999E-2</v>
      </c>
      <c r="CN1811">
        <f t="shared" si="201"/>
        <v>1.5699239006813814</v>
      </c>
    </row>
    <row r="1812" spans="4:92" x14ac:dyDescent="0.35">
      <c r="D1812">
        <v>1.2846200000000001</v>
      </c>
      <c r="E1812">
        <v>20.094200000000001</v>
      </c>
      <c r="F1812">
        <v>10.876799999999999</v>
      </c>
      <c r="G1812">
        <v>18.786100000000001</v>
      </c>
      <c r="I1812">
        <v>1.2846200000000001</v>
      </c>
      <c r="J1812">
        <f t="shared" si="197"/>
        <v>3.5664087053900451E-2</v>
      </c>
      <c r="K1812">
        <v>5.7725790856568419E-2</v>
      </c>
      <c r="L1812">
        <v>6.1762553497072645E-2</v>
      </c>
      <c r="N1812">
        <v>1.2846200000000001</v>
      </c>
      <c r="O1812">
        <f t="shared" si="198"/>
        <v>5.7725790856568419E-2</v>
      </c>
      <c r="Q1812">
        <v>1.2846200000000001</v>
      </c>
      <c r="R1812">
        <f t="shared" si="199"/>
        <v>6.1762553497072645E-2</v>
      </c>
      <c r="CH1812">
        <v>1.1891799999999999</v>
      </c>
      <c r="CI1812">
        <v>32.116500000000002</v>
      </c>
      <c r="CJ1812">
        <f t="shared" si="200"/>
        <v>2496.0624235759201</v>
      </c>
      <c r="CL1812">
        <v>1.1891799999999999</v>
      </c>
      <c r="CM1812">
        <v>2.1090000000000001E-2</v>
      </c>
      <c r="CN1812">
        <f t="shared" si="201"/>
        <v>1.6390938151173433</v>
      </c>
    </row>
    <row r="1813" spans="4:92" x14ac:dyDescent="0.35">
      <c r="D1813">
        <v>1.3012600000000001</v>
      </c>
      <c r="E1813">
        <v>20.365600000000001</v>
      </c>
      <c r="F1813">
        <v>11.124499999999999</v>
      </c>
      <c r="G1813">
        <v>19.186900000000001</v>
      </c>
      <c r="I1813">
        <v>1.3012600000000001</v>
      </c>
      <c r="J1813">
        <f t="shared" si="197"/>
        <v>3.6145779941720246E-2</v>
      </c>
      <c r="K1813">
        <v>5.9040394268893001E-2</v>
      </c>
      <c r="L1813">
        <v>6.3080252830176736E-2</v>
      </c>
      <c r="N1813">
        <v>1.3012600000000001</v>
      </c>
      <c r="O1813">
        <f t="shared" si="198"/>
        <v>5.9040394268893001E-2</v>
      </c>
      <c r="Q1813">
        <v>1.3012600000000001</v>
      </c>
      <c r="R1813">
        <f t="shared" si="199"/>
        <v>6.3080252830176736E-2</v>
      </c>
      <c r="CH1813">
        <v>1.20458</v>
      </c>
      <c r="CI1813">
        <v>32.196800000000003</v>
      </c>
      <c r="CJ1813">
        <f t="shared" si="200"/>
        <v>2502.3032596761536</v>
      </c>
      <c r="CL1813">
        <v>1.20458</v>
      </c>
      <c r="CM1813">
        <v>2.2169999999999999E-2</v>
      </c>
      <c r="CN1813">
        <f t="shared" si="201"/>
        <v>1.7230303405003082</v>
      </c>
    </row>
    <row r="1814" spans="4:92" x14ac:dyDescent="0.35">
      <c r="D1814">
        <v>1.3181099999999999</v>
      </c>
      <c r="E1814">
        <v>20.1922</v>
      </c>
      <c r="F1814">
        <v>11.2075</v>
      </c>
      <c r="G1814">
        <v>19.187200000000001</v>
      </c>
      <c r="I1814">
        <v>1.3181099999999999</v>
      </c>
      <c r="J1814">
        <f t="shared" si="197"/>
        <v>3.5838021847586304E-2</v>
      </c>
      <c r="K1814">
        <v>5.9480895210447055E-2</v>
      </c>
      <c r="L1814">
        <v>6.3081239132072767E-2</v>
      </c>
      <c r="N1814">
        <v>1.3181099999999999</v>
      </c>
      <c r="O1814">
        <f t="shared" si="198"/>
        <v>5.9480895210447055E-2</v>
      </c>
      <c r="Q1814">
        <v>1.3181099999999999</v>
      </c>
      <c r="R1814">
        <f t="shared" si="199"/>
        <v>6.3081239132072767E-2</v>
      </c>
      <c r="CH1814">
        <v>1.22018</v>
      </c>
      <c r="CI1814">
        <v>30.9785</v>
      </c>
      <c r="CJ1814">
        <f t="shared" si="200"/>
        <v>2407.6181959038699</v>
      </c>
      <c r="CL1814">
        <v>1.22018</v>
      </c>
      <c r="CM1814">
        <v>1.8239999999999999E-2</v>
      </c>
      <c r="CN1814">
        <f t="shared" si="201"/>
        <v>1.4175946509122967</v>
      </c>
    </row>
    <row r="1815" spans="4:92" x14ac:dyDescent="0.35">
      <c r="D1815">
        <v>1.33518</v>
      </c>
      <c r="E1815">
        <v>20.586400000000001</v>
      </c>
      <c r="F1815">
        <v>11.8682</v>
      </c>
      <c r="G1815">
        <v>19.236000000000001</v>
      </c>
      <c r="I1815">
        <v>1.33518</v>
      </c>
      <c r="J1815">
        <f t="shared" si="197"/>
        <v>3.6537665680963477E-2</v>
      </c>
      <c r="K1815">
        <v>6.2987388850022558E-2</v>
      </c>
      <c r="L1815">
        <v>6.3241677573827954E-2</v>
      </c>
      <c r="N1815">
        <v>1.33518</v>
      </c>
      <c r="O1815">
        <f t="shared" si="198"/>
        <v>6.2987388850022558E-2</v>
      </c>
      <c r="Q1815">
        <v>1.33518</v>
      </c>
      <c r="R1815">
        <f t="shared" si="199"/>
        <v>6.3241677573827954E-2</v>
      </c>
      <c r="CH1815">
        <v>1.2359800000000001</v>
      </c>
      <c r="CI1815">
        <v>31.7439</v>
      </c>
      <c r="CJ1815">
        <f t="shared" si="200"/>
        <v>2467.1043223187971</v>
      </c>
      <c r="CL1815">
        <v>1.2359800000000001</v>
      </c>
      <c r="CM1815">
        <v>1.881E-2</v>
      </c>
      <c r="CN1815">
        <f t="shared" si="201"/>
        <v>1.4618944837533061</v>
      </c>
    </row>
    <row r="1816" spans="4:92" x14ac:dyDescent="0.35">
      <c r="D1816">
        <v>1.3524700000000001</v>
      </c>
      <c r="E1816">
        <v>20.190999999999999</v>
      </c>
      <c r="F1816">
        <v>12.1668</v>
      </c>
      <c r="G1816">
        <v>18.8688</v>
      </c>
      <c r="I1816">
        <v>1.3524700000000001</v>
      </c>
      <c r="J1816">
        <f t="shared" si="197"/>
        <v>3.5835892033786065E-2</v>
      </c>
      <c r="K1816">
        <v>6.4572130791565235E-2</v>
      </c>
      <c r="L1816">
        <v>6.2034444053079896E-2</v>
      </c>
      <c r="N1816">
        <v>1.3524700000000001</v>
      </c>
      <c r="O1816">
        <f t="shared" si="198"/>
        <v>6.4572130791565235E-2</v>
      </c>
      <c r="Q1816">
        <v>1.3524700000000001</v>
      </c>
      <c r="R1816">
        <f t="shared" si="199"/>
        <v>6.2034444053079896E-2</v>
      </c>
      <c r="CH1816">
        <v>1.2519800000000001</v>
      </c>
      <c r="CI1816">
        <v>31.4621</v>
      </c>
      <c r="CJ1816">
        <f t="shared" si="200"/>
        <v>2445.203106714242</v>
      </c>
      <c r="CL1816">
        <v>1.2519800000000001</v>
      </c>
      <c r="CM1816">
        <v>2.231E-2</v>
      </c>
      <c r="CN1816">
        <f t="shared" si="201"/>
        <v>1.7339110011981</v>
      </c>
    </row>
    <row r="1817" spans="4:92" x14ac:dyDescent="0.35">
      <c r="D1817">
        <v>1.36998</v>
      </c>
      <c r="E1817">
        <v>19.895900000000001</v>
      </c>
      <c r="F1817">
        <v>12.437200000000001</v>
      </c>
      <c r="G1817">
        <v>19.178899999999999</v>
      </c>
      <c r="I1817">
        <v>1.36998</v>
      </c>
      <c r="J1817">
        <f t="shared" si="197"/>
        <v>3.5312135323411632E-2</v>
      </c>
      <c r="K1817">
        <v>6.6007208557784719E-2</v>
      </c>
      <c r="L1817">
        <v>6.3053951446282425E-2</v>
      </c>
      <c r="N1817">
        <v>1.36998</v>
      </c>
      <c r="O1817">
        <f t="shared" si="198"/>
        <v>6.6007208557784719E-2</v>
      </c>
      <c r="Q1817">
        <v>1.36998</v>
      </c>
      <c r="R1817">
        <f t="shared" si="199"/>
        <v>6.3053951446282425E-2</v>
      </c>
      <c r="CH1817">
        <v>1.2682</v>
      </c>
      <c r="CI1817">
        <v>31.820699999999999</v>
      </c>
      <c r="CJ1817">
        <f t="shared" si="200"/>
        <v>2473.0731419015856</v>
      </c>
      <c r="CL1817">
        <v>1.2682</v>
      </c>
      <c r="CM1817">
        <v>1.8970000000000001E-2</v>
      </c>
      <c r="CN1817">
        <f t="shared" si="201"/>
        <v>1.4743295245507826</v>
      </c>
    </row>
    <row r="1818" spans="4:92" x14ac:dyDescent="0.35">
      <c r="D1818">
        <v>1.3877200000000001</v>
      </c>
      <c r="E1818">
        <v>20.450800000000001</v>
      </c>
      <c r="F1818">
        <v>12.5578</v>
      </c>
      <c r="G1818">
        <v>19.322700000000001</v>
      </c>
      <c r="I1818">
        <v>1.3877200000000001</v>
      </c>
      <c r="J1818">
        <f t="shared" si="197"/>
        <v>3.6296996721536925E-2</v>
      </c>
      <c r="K1818">
        <v>6.6647261733103022E-2</v>
      </c>
      <c r="L1818">
        <v>6.352671882178236E-2</v>
      </c>
      <c r="N1818">
        <v>1.3877200000000001</v>
      </c>
      <c r="O1818">
        <f t="shared" si="198"/>
        <v>6.6647261733103022E-2</v>
      </c>
      <c r="Q1818">
        <v>1.3877200000000001</v>
      </c>
      <c r="R1818">
        <f t="shared" si="199"/>
        <v>6.352671882178236E-2</v>
      </c>
      <c r="CH1818">
        <v>1.2846200000000001</v>
      </c>
      <c r="CI1818">
        <v>31.4726</v>
      </c>
      <c r="CJ1818">
        <f t="shared" si="200"/>
        <v>2446.0191562665764</v>
      </c>
      <c r="CL1818">
        <v>1.2846200000000001</v>
      </c>
      <c r="CM1818">
        <v>2.281E-2</v>
      </c>
      <c r="CN1818">
        <f t="shared" si="201"/>
        <v>1.7727705036902135</v>
      </c>
    </row>
    <row r="1819" spans="4:92" x14ac:dyDescent="0.35">
      <c r="D1819">
        <v>1.4056900000000001</v>
      </c>
      <c r="E1819">
        <v>19.7179</v>
      </c>
      <c r="F1819">
        <v>12.574400000000001</v>
      </c>
      <c r="G1819">
        <v>19.2576</v>
      </c>
      <c r="I1819">
        <v>1.4056900000000001</v>
      </c>
      <c r="J1819">
        <f t="shared" si="197"/>
        <v>3.4996212943043448E-2</v>
      </c>
      <c r="K1819">
        <v>6.6735361921413827E-2</v>
      </c>
      <c r="L1819">
        <v>6.3312691310342548E-2</v>
      </c>
      <c r="N1819">
        <v>1.4056900000000001</v>
      </c>
      <c r="O1819">
        <f t="shared" si="198"/>
        <v>6.6735361921413827E-2</v>
      </c>
      <c r="Q1819">
        <v>1.4056900000000001</v>
      </c>
      <c r="R1819">
        <f t="shared" si="199"/>
        <v>6.3312691310342548E-2</v>
      </c>
      <c r="CH1819">
        <v>1.3012600000000001</v>
      </c>
      <c r="CI1819">
        <v>31.735299999999999</v>
      </c>
      <c r="CJ1819">
        <f t="shared" si="200"/>
        <v>2466.4359388759326</v>
      </c>
      <c r="CL1819">
        <v>1.3012600000000001</v>
      </c>
      <c r="CM1819">
        <v>1.7579999999999998E-2</v>
      </c>
      <c r="CN1819">
        <f t="shared" si="201"/>
        <v>1.366300107622707</v>
      </c>
    </row>
    <row r="1820" spans="4:92" x14ac:dyDescent="0.35">
      <c r="D1820">
        <v>1.4238999999999999</v>
      </c>
      <c r="E1820">
        <v>20.005299999999998</v>
      </c>
      <c r="F1820">
        <v>12.2811</v>
      </c>
      <c r="G1820">
        <v>19.2332</v>
      </c>
      <c r="I1820">
        <v>1.4238999999999999</v>
      </c>
      <c r="J1820">
        <f t="shared" si="197"/>
        <v>3.5506303348199708E-2</v>
      </c>
      <c r="K1820">
        <v>6.5178748353247509E-2</v>
      </c>
      <c r="L1820">
        <v>6.3232472089464947E-2</v>
      </c>
      <c r="N1820">
        <v>1.4238999999999999</v>
      </c>
      <c r="O1820">
        <f t="shared" si="198"/>
        <v>6.5178748353247509E-2</v>
      </c>
      <c r="Q1820">
        <v>1.4238999999999999</v>
      </c>
      <c r="R1820">
        <f t="shared" si="199"/>
        <v>6.3232472089464947E-2</v>
      </c>
      <c r="CH1820">
        <v>1.3181099999999999</v>
      </c>
      <c r="CI1820">
        <v>32.6434</v>
      </c>
      <c r="CJ1820">
        <f t="shared" si="200"/>
        <v>2537.0125673021093</v>
      </c>
      <c r="CL1820">
        <v>1.3181099999999999</v>
      </c>
      <c r="CM1820">
        <v>2.0129999999999999E-2</v>
      </c>
      <c r="CN1820">
        <f t="shared" si="201"/>
        <v>1.5644835703324855</v>
      </c>
    </row>
    <row r="1821" spans="4:92" x14ac:dyDescent="0.35">
      <c r="D1821">
        <v>1.44234</v>
      </c>
      <c r="E1821">
        <v>20.499600000000001</v>
      </c>
      <c r="F1821">
        <v>12.3604</v>
      </c>
      <c r="G1821">
        <v>19.720099999999999</v>
      </c>
      <c r="I1821">
        <v>1.44234</v>
      </c>
      <c r="J1821">
        <f t="shared" si="197"/>
        <v>3.6383609149413146E-2</v>
      </c>
      <c r="K1821">
        <v>6.5599612505840718E-2</v>
      </c>
      <c r="L1821">
        <v>6.4833240066731371E-2</v>
      </c>
      <c r="N1821">
        <v>1.44234</v>
      </c>
      <c r="O1821">
        <f t="shared" si="198"/>
        <v>6.5599612505840718E-2</v>
      </c>
      <c r="Q1821">
        <v>1.44234</v>
      </c>
      <c r="R1821">
        <f t="shared" si="199"/>
        <v>6.4833240066731371E-2</v>
      </c>
      <c r="CH1821">
        <v>1.33518</v>
      </c>
      <c r="CI1821">
        <v>32.446100000000001</v>
      </c>
      <c r="CJ1821">
        <f t="shared" si="200"/>
        <v>2521.6786076187213</v>
      </c>
      <c r="CL1821">
        <v>1.33518</v>
      </c>
      <c r="CM1821">
        <v>1.9800000000000002E-2</v>
      </c>
      <c r="CN1821">
        <f t="shared" si="201"/>
        <v>1.5388362986876909</v>
      </c>
    </row>
    <row r="1822" spans="4:92" x14ac:dyDescent="0.35">
      <c r="D1822">
        <v>1.46102</v>
      </c>
      <c r="E1822">
        <v>20.486899999999999</v>
      </c>
      <c r="F1822">
        <v>12.430400000000001</v>
      </c>
      <c r="G1822">
        <v>19.258199999999999</v>
      </c>
      <c r="I1822">
        <v>1.46102</v>
      </c>
      <c r="J1822">
        <f t="shared" si="197"/>
        <v>3.6361068620027324E-2</v>
      </c>
      <c r="K1822">
        <v>6.5971119324018848E-2</v>
      </c>
      <c r="L1822">
        <v>6.3314663914134608E-2</v>
      </c>
      <c r="N1822">
        <v>1.46102</v>
      </c>
      <c r="O1822">
        <f t="shared" si="198"/>
        <v>6.5971119324018848E-2</v>
      </c>
      <c r="Q1822">
        <v>1.46102</v>
      </c>
      <c r="R1822">
        <f t="shared" si="199"/>
        <v>6.3314663914134608E-2</v>
      </c>
      <c r="CH1822">
        <v>1.3524700000000001</v>
      </c>
      <c r="CI1822">
        <v>33.027700000000003</v>
      </c>
      <c r="CJ1822">
        <f t="shared" si="200"/>
        <v>2566.879980917548</v>
      </c>
      <c r="CL1822">
        <v>1.3524700000000001</v>
      </c>
      <c r="CM1822">
        <v>2.1309999999999999E-2</v>
      </c>
      <c r="CN1822">
        <f t="shared" si="201"/>
        <v>1.6561919962138731</v>
      </c>
    </row>
    <row r="1823" spans="4:92" x14ac:dyDescent="0.35">
      <c r="D1823">
        <v>1.47994</v>
      </c>
      <c r="E1823">
        <v>21.4544</v>
      </c>
      <c r="F1823">
        <v>12.5252</v>
      </c>
      <c r="G1823">
        <v>20.228899999999999</v>
      </c>
      <c r="I1823">
        <v>1.47994</v>
      </c>
      <c r="J1823">
        <f t="shared" si="197"/>
        <v>3.8078230996466733E-2</v>
      </c>
      <c r="K1823">
        <v>6.6474245700637202E-2</v>
      </c>
      <c r="L1823">
        <v>6.6506008082408419E-2</v>
      </c>
      <c r="N1823">
        <v>1.47994</v>
      </c>
      <c r="O1823">
        <f t="shared" si="198"/>
        <v>6.6474245700637202E-2</v>
      </c>
      <c r="Q1823">
        <v>1.47994</v>
      </c>
      <c r="R1823">
        <f t="shared" si="199"/>
        <v>6.6506008082408419E-2</v>
      </c>
      <c r="CH1823">
        <v>1.36998</v>
      </c>
      <c r="CI1823">
        <v>33.415900000000001</v>
      </c>
      <c r="CJ1823">
        <f t="shared" si="200"/>
        <v>2597.0504986524247</v>
      </c>
      <c r="CL1823">
        <v>1.36998</v>
      </c>
      <c r="CM1823">
        <v>2.273E-2</v>
      </c>
      <c r="CN1823">
        <f t="shared" si="201"/>
        <v>1.7665529832914753</v>
      </c>
    </row>
    <row r="1824" spans="4:92" x14ac:dyDescent="0.35">
      <c r="D1824">
        <v>1.4991000000000001</v>
      </c>
      <c r="E1824">
        <v>21.0595</v>
      </c>
      <c r="F1824">
        <v>12.0649</v>
      </c>
      <c r="G1824">
        <v>19.673100000000002</v>
      </c>
      <c r="I1824">
        <v>1.4991000000000001</v>
      </c>
      <c r="J1824">
        <f t="shared" si="197"/>
        <v>3.7377344771706088E-2</v>
      </c>
      <c r="K1824">
        <v>6.4031323009103081E-2</v>
      </c>
      <c r="L1824">
        <v>6.4678719436352408E-2</v>
      </c>
      <c r="N1824">
        <v>1.4991000000000001</v>
      </c>
      <c r="O1824">
        <f t="shared" si="198"/>
        <v>6.4031323009103081E-2</v>
      </c>
      <c r="Q1824">
        <v>1.4991000000000001</v>
      </c>
      <c r="R1824">
        <f t="shared" si="199"/>
        <v>6.4678719436352408E-2</v>
      </c>
      <c r="CH1824">
        <v>1.3877200000000001</v>
      </c>
      <c r="CI1824">
        <v>33.093600000000002</v>
      </c>
      <c r="CJ1824">
        <f t="shared" si="200"/>
        <v>2572.0016633460082</v>
      </c>
      <c r="CL1824">
        <v>1.3877200000000001</v>
      </c>
      <c r="CM1824">
        <v>1.915E-2</v>
      </c>
      <c r="CN1824">
        <f t="shared" si="201"/>
        <v>1.4883189454479433</v>
      </c>
    </row>
    <row r="1825" spans="4:92" x14ac:dyDescent="0.35">
      <c r="D1825">
        <v>1.5185200000000001</v>
      </c>
      <c r="E1825">
        <v>20.088699999999999</v>
      </c>
      <c r="F1825">
        <v>11.4557</v>
      </c>
      <c r="G1825">
        <v>19.227799999999998</v>
      </c>
      <c r="I1825">
        <v>1.5185200000000001</v>
      </c>
      <c r="J1825">
        <f t="shared" si="197"/>
        <v>3.5654325407316036E-2</v>
      </c>
      <c r="K1825">
        <v>6.0798152242901492E-2</v>
      </c>
      <c r="L1825">
        <v>6.3214718655336302E-2</v>
      </c>
      <c r="N1825">
        <v>1.5185200000000001</v>
      </c>
      <c r="O1825">
        <f t="shared" si="198"/>
        <v>6.0798152242901492E-2</v>
      </c>
      <c r="Q1825">
        <v>1.5185200000000001</v>
      </c>
      <c r="R1825">
        <f t="shared" si="199"/>
        <v>6.3214718655336302E-2</v>
      </c>
      <c r="CH1825">
        <v>1.4056900000000001</v>
      </c>
      <c r="CI1825">
        <v>33.443100000000001</v>
      </c>
      <c r="CJ1825">
        <f t="shared" si="200"/>
        <v>2599.1644555879957</v>
      </c>
      <c r="CL1825">
        <v>1.4056900000000001</v>
      </c>
      <c r="CM1825">
        <v>2.0969999999999999E-2</v>
      </c>
      <c r="CN1825">
        <f t="shared" si="201"/>
        <v>1.6297675345192359</v>
      </c>
    </row>
    <row r="1826" spans="4:92" x14ac:dyDescent="0.35">
      <c r="D1826">
        <v>1.5381800000000001</v>
      </c>
      <c r="E1826">
        <v>19.538599999999999</v>
      </c>
      <c r="F1826">
        <v>11.1532</v>
      </c>
      <c r="G1826">
        <v>18.583300000000001</v>
      </c>
      <c r="I1826">
        <v>1.5381800000000001</v>
      </c>
      <c r="J1826">
        <f t="shared" si="197"/>
        <v>3.4677983264391678E-2</v>
      </c>
      <c r="K1826">
        <v>5.9192712064346037E-2</v>
      </c>
      <c r="L1826">
        <v>6.1095813415352314E-2</v>
      </c>
      <c r="N1826">
        <v>1.5381800000000001</v>
      </c>
      <c r="O1826">
        <f t="shared" si="198"/>
        <v>5.9192712064346037E-2</v>
      </c>
      <c r="Q1826">
        <v>1.5381800000000001</v>
      </c>
      <c r="R1826">
        <f t="shared" si="199"/>
        <v>6.1095813415352314E-2</v>
      </c>
      <c r="CH1826">
        <v>1.4238999999999999</v>
      </c>
      <c r="CI1826">
        <v>34.135800000000003</v>
      </c>
      <c r="CJ1826">
        <f t="shared" si="200"/>
        <v>2653.0004103405695</v>
      </c>
      <c r="CL1826">
        <v>1.4238999999999999</v>
      </c>
      <c r="CM1826">
        <v>2.2950000000000002E-2</v>
      </c>
      <c r="CN1826">
        <f t="shared" si="201"/>
        <v>1.7836511643880053</v>
      </c>
    </row>
    <row r="1827" spans="4:92" x14ac:dyDescent="0.35">
      <c r="D1827">
        <v>1.5581</v>
      </c>
      <c r="E1827">
        <v>19.663900000000002</v>
      </c>
      <c r="F1827">
        <v>11.0692</v>
      </c>
      <c r="G1827">
        <v>18.5867</v>
      </c>
      <c r="I1827">
        <v>1.5581</v>
      </c>
      <c r="J1827">
        <f t="shared" si="197"/>
        <v>3.4900371322032879E-2</v>
      </c>
      <c r="K1827">
        <v>5.8746903882532286E-2</v>
      </c>
      <c r="L1827">
        <v>6.1106991503507388E-2</v>
      </c>
      <c r="N1827">
        <v>1.5581</v>
      </c>
      <c r="O1827">
        <f t="shared" si="198"/>
        <v>5.8746903882532286E-2</v>
      </c>
      <c r="Q1827">
        <v>1.5581</v>
      </c>
      <c r="R1827">
        <f t="shared" si="199"/>
        <v>6.1106991503507388E-2</v>
      </c>
      <c r="CH1827">
        <v>1.44234</v>
      </c>
      <c r="CI1827">
        <v>33.645899999999997</v>
      </c>
      <c r="CJ1827">
        <f t="shared" si="200"/>
        <v>2614.9258697987966</v>
      </c>
      <c r="CL1827">
        <v>1.44234</v>
      </c>
      <c r="CM1827">
        <v>2.2780000000000002E-2</v>
      </c>
      <c r="CN1827">
        <f t="shared" si="201"/>
        <v>1.7704389335406867</v>
      </c>
    </row>
    <row r="1828" spans="4:92" x14ac:dyDescent="0.35">
      <c r="D1828">
        <v>1.5782799999999999</v>
      </c>
      <c r="E1828">
        <v>19.2591</v>
      </c>
      <c r="F1828">
        <v>10.668100000000001</v>
      </c>
      <c r="G1828">
        <v>18.3688</v>
      </c>
      <c r="I1828">
        <v>1.5782799999999999</v>
      </c>
      <c r="J1828">
        <f t="shared" si="197"/>
        <v>3.4181914133420296E-2</v>
      </c>
      <c r="K1828">
        <v>5.6618169814371656E-2</v>
      </c>
      <c r="L1828">
        <v>6.0390607559686574E-2</v>
      </c>
      <c r="N1828">
        <v>1.5782799999999999</v>
      </c>
      <c r="O1828">
        <f t="shared" si="198"/>
        <v>5.6618169814371656E-2</v>
      </c>
      <c r="Q1828">
        <v>1.5782799999999999</v>
      </c>
      <c r="R1828">
        <f t="shared" si="199"/>
        <v>6.0390607559686574E-2</v>
      </c>
      <c r="CH1828">
        <v>1.46102</v>
      </c>
      <c r="CI1828">
        <v>34.047499999999999</v>
      </c>
      <c r="CJ1828">
        <f t="shared" si="200"/>
        <v>2646.1378222004619</v>
      </c>
      <c r="CL1828">
        <v>1.46102</v>
      </c>
      <c r="CM1828">
        <v>2.1520000000000001E-2</v>
      </c>
      <c r="CN1828">
        <f t="shared" si="201"/>
        <v>1.6725129872605609</v>
      </c>
    </row>
    <row r="1829" spans="4:92" x14ac:dyDescent="0.35">
      <c r="D1829">
        <v>1.5987199999999999</v>
      </c>
      <c r="E1829">
        <v>19.3489</v>
      </c>
      <c r="F1829">
        <v>10.519299999999999</v>
      </c>
      <c r="G1829">
        <v>17.898900000000001</v>
      </c>
      <c r="I1829">
        <v>1.5987199999999999</v>
      </c>
      <c r="J1829">
        <f t="shared" si="197"/>
        <v>3.4341295199471211E-2</v>
      </c>
      <c r="K1829">
        <v>5.5828452463730152E-2</v>
      </c>
      <c r="L1829">
        <v>5.8845730023195535E-2</v>
      </c>
      <c r="N1829">
        <v>1.5987199999999999</v>
      </c>
      <c r="O1829">
        <f t="shared" si="198"/>
        <v>5.5828452463730152E-2</v>
      </c>
      <c r="Q1829">
        <v>1.5987199999999999</v>
      </c>
      <c r="R1829">
        <f t="shared" si="199"/>
        <v>5.8845730023195535E-2</v>
      </c>
      <c r="CH1829">
        <v>1.47994</v>
      </c>
      <c r="CI1829">
        <v>34.273400000000002</v>
      </c>
      <c r="CJ1829">
        <f t="shared" si="200"/>
        <v>2663.6945454263991</v>
      </c>
      <c r="CL1829">
        <v>1.47994</v>
      </c>
      <c r="CM1829">
        <v>2.23E-2</v>
      </c>
      <c r="CN1829">
        <f t="shared" si="201"/>
        <v>1.7331338111482577</v>
      </c>
    </row>
    <row r="1830" spans="4:92" x14ac:dyDescent="0.35">
      <c r="D1830">
        <v>1.6194200000000001</v>
      </c>
      <c r="E1830">
        <v>19.3658</v>
      </c>
      <c r="F1830">
        <v>10.783300000000001</v>
      </c>
      <c r="G1830">
        <v>17.742999999999999</v>
      </c>
      <c r="I1830">
        <v>1.6194200000000001</v>
      </c>
      <c r="J1830">
        <f t="shared" si="197"/>
        <v>3.4371290077157855E-2</v>
      </c>
      <c r="K1830">
        <v>5.7229563892287651E-2</v>
      </c>
      <c r="L1830">
        <v>5.8333181804555483E-2</v>
      </c>
      <c r="N1830">
        <v>1.6194200000000001</v>
      </c>
      <c r="O1830">
        <f t="shared" si="198"/>
        <v>5.7229563892287651E-2</v>
      </c>
      <c r="Q1830">
        <v>1.6194200000000001</v>
      </c>
      <c r="R1830">
        <f t="shared" si="199"/>
        <v>5.8333181804555483E-2</v>
      </c>
      <c r="CH1830">
        <v>1.4991000000000001</v>
      </c>
      <c r="CI1830">
        <v>32.535400000000003</v>
      </c>
      <c r="CJ1830">
        <f t="shared" si="200"/>
        <v>2528.6189147638129</v>
      </c>
      <c r="CL1830">
        <v>1.4991000000000001</v>
      </c>
      <c r="CM1830">
        <v>2.4469999999999999E-2</v>
      </c>
      <c r="CN1830">
        <f t="shared" si="201"/>
        <v>1.9017840519640299</v>
      </c>
    </row>
    <row r="1831" spans="4:92" x14ac:dyDescent="0.35">
      <c r="D1831">
        <v>1.64039</v>
      </c>
      <c r="E1831">
        <v>19.5029</v>
      </c>
      <c r="F1831">
        <v>9.9060900000000007</v>
      </c>
      <c r="G1831">
        <v>17.7239</v>
      </c>
      <c r="I1831">
        <v>1.64039</v>
      </c>
      <c r="J1831">
        <f t="shared" si="197"/>
        <v>3.4614621303834692E-2</v>
      </c>
      <c r="K1831">
        <v>5.2573999664087233E-2</v>
      </c>
      <c r="L1831">
        <v>5.8270387250507864E-2</v>
      </c>
      <c r="N1831">
        <v>1.64039</v>
      </c>
      <c r="O1831">
        <f t="shared" si="198"/>
        <v>5.2573999664087233E-2</v>
      </c>
      <c r="Q1831">
        <v>1.64039</v>
      </c>
      <c r="R1831">
        <f t="shared" si="199"/>
        <v>5.8270387250507864E-2</v>
      </c>
      <c r="CH1831">
        <v>1.5185200000000001</v>
      </c>
      <c r="CI1831">
        <v>33.502699999999997</v>
      </c>
      <c r="CJ1831">
        <f t="shared" si="200"/>
        <v>2603.7965082850551</v>
      </c>
      <c r="CL1831">
        <v>1.5185200000000001</v>
      </c>
      <c r="CM1831">
        <v>2.1100000000000001E-2</v>
      </c>
      <c r="CN1831">
        <f t="shared" si="201"/>
        <v>1.6398710051671856</v>
      </c>
    </row>
    <row r="1832" spans="4:92" x14ac:dyDescent="0.35">
      <c r="D1832">
        <v>1.6616299999999999</v>
      </c>
      <c r="E1832">
        <v>18.987100000000002</v>
      </c>
      <c r="F1832">
        <v>10.298400000000001</v>
      </c>
      <c r="G1832">
        <v>17.522300000000001</v>
      </c>
      <c r="I1832">
        <v>1.6616299999999999</v>
      </c>
      <c r="J1832">
        <f t="shared" si="197"/>
        <v>3.3699156338700381E-2</v>
      </c>
      <c r="K1832">
        <v>5.465608309036521E-2</v>
      </c>
      <c r="L1832">
        <v>5.7607592376371683E-2</v>
      </c>
      <c r="N1832">
        <v>1.6616299999999999</v>
      </c>
      <c r="O1832">
        <f t="shared" si="198"/>
        <v>5.465608309036521E-2</v>
      </c>
      <c r="Q1832">
        <v>1.6616299999999999</v>
      </c>
      <c r="R1832">
        <f t="shared" si="199"/>
        <v>5.7607592376371683E-2</v>
      </c>
      <c r="CH1832">
        <v>1.5381800000000001</v>
      </c>
      <c r="CI1832">
        <v>31.254999999999999</v>
      </c>
      <c r="CJ1832">
        <f t="shared" si="200"/>
        <v>2429.1075007820086</v>
      </c>
      <c r="CL1832">
        <v>1.5381800000000001</v>
      </c>
      <c r="CM1832">
        <v>2.121E-2</v>
      </c>
      <c r="CN1832">
        <f t="shared" si="201"/>
        <v>1.6484200957154505</v>
      </c>
    </row>
    <row r="1833" spans="4:92" x14ac:dyDescent="0.35">
      <c r="D1833">
        <v>1.6831499999999999</v>
      </c>
      <c r="E1833">
        <v>19.308700000000002</v>
      </c>
      <c r="F1833">
        <v>10.9542</v>
      </c>
      <c r="G1833">
        <v>17.350200000000001</v>
      </c>
      <c r="I1833">
        <v>1.6831499999999999</v>
      </c>
      <c r="J1833">
        <f t="shared" si="197"/>
        <v>3.4269946437163343E-2</v>
      </c>
      <c r="K1833">
        <v>5.8136571252668238E-2</v>
      </c>
      <c r="L1833">
        <v>5.7041783855345696E-2</v>
      </c>
      <c r="N1833">
        <v>1.6831499999999999</v>
      </c>
      <c r="O1833">
        <f t="shared" si="198"/>
        <v>5.8136571252668238E-2</v>
      </c>
      <c r="Q1833">
        <v>1.6831499999999999</v>
      </c>
      <c r="R1833">
        <f t="shared" si="199"/>
        <v>5.7041783855345696E-2</v>
      </c>
      <c r="CH1833">
        <v>1.5581</v>
      </c>
      <c r="CI1833">
        <v>32.985999999999997</v>
      </c>
      <c r="CJ1833">
        <f t="shared" si="200"/>
        <v>2563.6390984097052</v>
      </c>
      <c r="CL1833">
        <v>1.5581</v>
      </c>
      <c r="CM1833">
        <v>2.3349999999999999E-2</v>
      </c>
      <c r="CN1833">
        <f t="shared" si="201"/>
        <v>1.8147387663816958</v>
      </c>
    </row>
    <row r="1834" spans="4:92" x14ac:dyDescent="0.35">
      <c r="D1834">
        <v>1.70495</v>
      </c>
      <c r="E1834">
        <v>19.020499999999998</v>
      </c>
      <c r="F1834">
        <v>10.6882</v>
      </c>
      <c r="G1834">
        <v>17.9345</v>
      </c>
      <c r="I1834">
        <v>1.70495</v>
      </c>
      <c r="J1834">
        <f t="shared" si="197"/>
        <v>3.3758436156140249E-2</v>
      </c>
      <c r="K1834">
        <v>5.6724845343591374E-2</v>
      </c>
      <c r="L1834">
        <v>5.8962771181525132E-2</v>
      </c>
      <c r="N1834">
        <v>1.70495</v>
      </c>
      <c r="O1834">
        <f t="shared" si="198"/>
        <v>5.6724845343591374E-2</v>
      </c>
      <c r="Q1834">
        <v>1.70495</v>
      </c>
      <c r="R1834">
        <f t="shared" si="199"/>
        <v>5.8962771181525132E-2</v>
      </c>
      <c r="CH1834">
        <v>1.5782799999999999</v>
      </c>
      <c r="CI1834">
        <v>30.7729</v>
      </c>
      <c r="CJ1834">
        <f t="shared" si="200"/>
        <v>2391.6391684791129</v>
      </c>
      <c r="CL1834">
        <v>1.5782799999999999</v>
      </c>
      <c r="CM1834">
        <v>2.564E-2</v>
      </c>
      <c r="CN1834">
        <f t="shared" si="201"/>
        <v>1.9927152877955752</v>
      </c>
    </row>
    <row r="1835" spans="4:92" x14ac:dyDescent="0.35">
      <c r="D1835">
        <v>1.7270300000000001</v>
      </c>
      <c r="E1835">
        <v>18.810500000000001</v>
      </c>
      <c r="F1835">
        <v>11.295400000000001</v>
      </c>
      <c r="G1835">
        <v>18.224900000000002</v>
      </c>
      <c r="I1835">
        <v>1.7270300000000001</v>
      </c>
      <c r="J1835">
        <f t="shared" si="197"/>
        <v>3.3385718741099142E-2</v>
      </c>
      <c r="K1835">
        <v>5.9947401629273596E-2</v>
      </c>
      <c r="L1835">
        <v>5.9917511416887975E-2</v>
      </c>
      <c r="N1835">
        <v>1.7270300000000001</v>
      </c>
      <c r="O1835">
        <f t="shared" si="198"/>
        <v>5.9947401629273596E-2</v>
      </c>
      <c r="Q1835">
        <v>1.7270300000000001</v>
      </c>
      <c r="R1835">
        <f t="shared" si="199"/>
        <v>5.9917511416887975E-2</v>
      </c>
      <c r="CH1835">
        <v>1.5987199999999999</v>
      </c>
      <c r="CI1835">
        <v>30.306699999999999</v>
      </c>
      <c r="CJ1835">
        <f t="shared" si="200"/>
        <v>2355.4065683554663</v>
      </c>
      <c r="CL1835">
        <v>1.5987199999999999</v>
      </c>
      <c r="CM1835">
        <v>2.3980000000000001E-2</v>
      </c>
      <c r="CN1835">
        <f t="shared" si="201"/>
        <v>1.8637017395217588</v>
      </c>
    </row>
    <row r="1836" spans="4:92" x14ac:dyDescent="0.35">
      <c r="D1836">
        <v>1.74939</v>
      </c>
      <c r="E1836">
        <v>18.543600000000001</v>
      </c>
      <c r="F1836">
        <v>11.456</v>
      </c>
      <c r="G1836">
        <v>18.059000000000001</v>
      </c>
      <c r="I1836">
        <v>1.74939</v>
      </c>
      <c r="J1836">
        <f t="shared" si="197"/>
        <v>3.2912012655030229E-2</v>
      </c>
      <c r="K1836">
        <v>6.0799744414979387E-2</v>
      </c>
      <c r="L1836">
        <v>5.9372086468380075E-2</v>
      </c>
      <c r="N1836">
        <v>1.74939</v>
      </c>
      <c r="O1836">
        <f t="shared" si="198"/>
        <v>6.0799744414979387E-2</v>
      </c>
      <c r="Q1836">
        <v>1.74939</v>
      </c>
      <c r="R1836">
        <f t="shared" si="199"/>
        <v>5.9372086468380075E-2</v>
      </c>
      <c r="CH1836">
        <v>1.6194200000000001</v>
      </c>
      <c r="CI1836">
        <v>29.9389</v>
      </c>
      <c r="CJ1836">
        <f t="shared" si="200"/>
        <v>2326.8215183222678</v>
      </c>
      <c r="CL1836">
        <v>1.6194200000000001</v>
      </c>
      <c r="CM1836">
        <v>3.3140000000000003E-2</v>
      </c>
      <c r="CN1836">
        <f t="shared" si="201"/>
        <v>2.5756078251772765</v>
      </c>
    </row>
    <row r="1837" spans="4:92" x14ac:dyDescent="0.35">
      <c r="D1837">
        <v>1.7720499999999999</v>
      </c>
      <c r="E1837">
        <v>19.290900000000001</v>
      </c>
      <c r="F1837">
        <v>11.236700000000001</v>
      </c>
      <c r="G1837">
        <v>17.552</v>
      </c>
      <c r="I1837">
        <v>1.7720499999999999</v>
      </c>
      <c r="J1837">
        <f t="shared" si="197"/>
        <v>3.4238354199126526E-2</v>
      </c>
      <c r="K1837">
        <v>5.9635866626029946E-2</v>
      </c>
      <c r="L1837">
        <v>5.7705236264079238E-2</v>
      </c>
      <c r="N1837">
        <v>1.7720499999999999</v>
      </c>
      <c r="O1837">
        <f t="shared" si="198"/>
        <v>5.9635866626029946E-2</v>
      </c>
      <c r="Q1837">
        <v>1.7720499999999999</v>
      </c>
      <c r="R1837">
        <f t="shared" si="199"/>
        <v>5.7705236264079238E-2</v>
      </c>
      <c r="CH1837">
        <v>1.64039</v>
      </c>
      <c r="CI1837">
        <v>28.251100000000001</v>
      </c>
      <c r="CJ1837">
        <f t="shared" si="200"/>
        <v>2195.6473817098899</v>
      </c>
      <c r="CL1837">
        <v>1.64039</v>
      </c>
      <c r="CM1837">
        <v>2.3570000000000001E-2</v>
      </c>
      <c r="CN1837">
        <f t="shared" si="201"/>
        <v>1.8318369474782259</v>
      </c>
    </row>
    <row r="1838" spans="4:92" x14ac:dyDescent="0.35">
      <c r="D1838">
        <v>1.7949999999999999</v>
      </c>
      <c r="E1838">
        <v>18.267399999999999</v>
      </c>
      <c r="F1838">
        <v>11.281000000000001</v>
      </c>
      <c r="G1838">
        <v>17.3565</v>
      </c>
      <c r="I1838">
        <v>1.7949999999999999</v>
      </c>
      <c r="J1838">
        <f t="shared" si="197"/>
        <v>3.2421800512009484E-2</v>
      </c>
      <c r="K1838">
        <v>5.987097736953409E-2</v>
      </c>
      <c r="L1838">
        <v>5.7062496195162446E-2</v>
      </c>
      <c r="N1838">
        <v>1.7949999999999999</v>
      </c>
      <c r="O1838">
        <f t="shared" si="198"/>
        <v>5.987097736953409E-2</v>
      </c>
      <c r="Q1838">
        <v>1.7949999999999999</v>
      </c>
      <c r="R1838">
        <f t="shared" si="199"/>
        <v>5.7062496195162446E-2</v>
      </c>
      <c r="CH1838">
        <v>1.6616299999999999</v>
      </c>
      <c r="CI1838">
        <v>30.729700000000001</v>
      </c>
      <c r="CJ1838">
        <f t="shared" si="200"/>
        <v>2388.2817074637946</v>
      </c>
      <c r="CL1838">
        <v>1.6616299999999999</v>
      </c>
      <c r="CM1838">
        <v>2.393E-2</v>
      </c>
      <c r="CN1838">
        <f t="shared" si="201"/>
        <v>1.8598157892725473</v>
      </c>
    </row>
    <row r="1839" spans="4:92" x14ac:dyDescent="0.35">
      <c r="D1839">
        <v>1.8182400000000001</v>
      </c>
      <c r="E1839">
        <v>18.4208</v>
      </c>
      <c r="F1839">
        <v>11.501899999999999</v>
      </c>
      <c r="G1839">
        <v>17.411000000000001</v>
      </c>
      <c r="I1839">
        <v>1.8182400000000001</v>
      </c>
      <c r="J1839">
        <f t="shared" si="197"/>
        <v>3.2694061709472852E-2</v>
      </c>
      <c r="K1839">
        <v>6.1043346742899039E-2</v>
      </c>
      <c r="L1839">
        <v>5.7241674372942322E-2</v>
      </c>
      <c r="N1839">
        <v>1.8182400000000001</v>
      </c>
      <c r="O1839">
        <f t="shared" si="198"/>
        <v>6.1043346742899039E-2</v>
      </c>
      <c r="Q1839">
        <v>1.8182400000000001</v>
      </c>
      <c r="R1839">
        <f t="shared" si="199"/>
        <v>5.7241674372942322E-2</v>
      </c>
      <c r="CH1839">
        <v>1.6831499999999999</v>
      </c>
      <c r="CI1839">
        <v>30.1539</v>
      </c>
      <c r="CJ1839">
        <f t="shared" si="200"/>
        <v>2343.5311043938768</v>
      </c>
      <c r="CL1839">
        <v>1.6831499999999999</v>
      </c>
      <c r="CM1839">
        <v>2.2790000000000001E-2</v>
      </c>
      <c r="CN1839">
        <f t="shared" si="201"/>
        <v>1.771216123590529</v>
      </c>
    </row>
    <row r="1840" spans="4:92" x14ac:dyDescent="0.35">
      <c r="D1840">
        <v>1.84179</v>
      </c>
      <c r="E1840">
        <v>18.048999999999999</v>
      </c>
      <c r="F1840">
        <v>11.7295</v>
      </c>
      <c r="G1840">
        <v>17.4072</v>
      </c>
      <c r="I1840">
        <v>1.84179</v>
      </c>
      <c r="J1840">
        <f t="shared" si="197"/>
        <v>3.2034174400366731E-2</v>
      </c>
      <c r="K1840">
        <v>6.2251274626003911E-2</v>
      </c>
      <c r="L1840">
        <v>5.7229181215592527E-2</v>
      </c>
      <c r="N1840">
        <v>1.84179</v>
      </c>
      <c r="O1840">
        <f t="shared" si="198"/>
        <v>6.2251274626003911E-2</v>
      </c>
      <c r="Q1840">
        <v>1.84179</v>
      </c>
      <c r="R1840">
        <f t="shared" si="199"/>
        <v>5.7229181215592527E-2</v>
      </c>
      <c r="CH1840">
        <v>1.70495</v>
      </c>
      <c r="CI1840">
        <v>30.586099999999998</v>
      </c>
      <c r="CJ1840">
        <f t="shared" si="200"/>
        <v>2377.1212583480592</v>
      </c>
      <c r="CL1840">
        <v>1.70495</v>
      </c>
      <c r="CM1840">
        <v>2.2249999999999999E-2</v>
      </c>
      <c r="CN1840">
        <f t="shared" si="201"/>
        <v>1.7292478608990463</v>
      </c>
    </row>
    <row r="1841" spans="4:92" x14ac:dyDescent="0.35">
      <c r="D1841">
        <v>1.86564</v>
      </c>
      <c r="E1841">
        <v>18.043299999999999</v>
      </c>
      <c r="F1841">
        <v>11.583600000000001</v>
      </c>
      <c r="G1841">
        <v>17.3811</v>
      </c>
      <c r="I1841">
        <v>1.86564</v>
      </c>
      <c r="J1841">
        <f t="shared" si="197"/>
        <v>3.2024057784815617E-2</v>
      </c>
      <c r="K1841">
        <v>6.1476948272115514E-2</v>
      </c>
      <c r="L1841">
        <v>5.71433729506374E-2</v>
      </c>
      <c r="N1841">
        <v>1.86564</v>
      </c>
      <c r="O1841">
        <f t="shared" si="198"/>
        <v>6.1476948272115514E-2</v>
      </c>
      <c r="Q1841">
        <v>1.86564</v>
      </c>
      <c r="R1841">
        <f t="shared" si="199"/>
        <v>5.71433729506374E-2</v>
      </c>
      <c r="CH1841">
        <v>1.7270300000000001</v>
      </c>
      <c r="CI1841">
        <v>31.6966</v>
      </c>
      <c r="CJ1841">
        <f t="shared" si="200"/>
        <v>2463.4282133830434</v>
      </c>
      <c r="CL1841">
        <v>1.7270300000000001</v>
      </c>
      <c r="CM1841">
        <v>2.4590000000000001E-2</v>
      </c>
      <c r="CN1841">
        <f t="shared" si="201"/>
        <v>1.9111103325621372</v>
      </c>
    </row>
    <row r="1842" spans="4:92" x14ac:dyDescent="0.35">
      <c r="D1842">
        <v>1.8897999999999999</v>
      </c>
      <c r="E1842">
        <v>17.7286</v>
      </c>
      <c r="F1842">
        <v>10.9436</v>
      </c>
      <c r="G1842">
        <v>16.942799999999998</v>
      </c>
      <c r="I1842">
        <v>1.8897999999999999</v>
      </c>
      <c r="J1842">
        <f t="shared" si="197"/>
        <v>3.1465514115704009E-2</v>
      </c>
      <c r="K1842">
        <v>5.8080314505915547E-2</v>
      </c>
      <c r="L1842">
        <v>5.570238588052881E-2</v>
      </c>
      <c r="N1842">
        <v>1.8897999999999999</v>
      </c>
      <c r="O1842">
        <f t="shared" si="198"/>
        <v>5.8080314505915547E-2</v>
      </c>
      <c r="Q1842">
        <v>1.8897999999999999</v>
      </c>
      <c r="R1842">
        <f t="shared" si="199"/>
        <v>5.570238588052881E-2</v>
      </c>
      <c r="CH1842">
        <v>1.74939</v>
      </c>
      <c r="CI1842">
        <v>31.1342</v>
      </c>
      <c r="CJ1842">
        <f t="shared" si="200"/>
        <v>2419.7190449799141</v>
      </c>
      <c r="CL1842">
        <v>1.74939</v>
      </c>
      <c r="CM1842">
        <v>2.1389999999999999E-2</v>
      </c>
      <c r="CN1842">
        <f t="shared" si="201"/>
        <v>1.6624095166126114</v>
      </c>
    </row>
    <row r="1843" spans="4:92" x14ac:dyDescent="0.35">
      <c r="D1843">
        <v>1.9142699999999999</v>
      </c>
      <c r="E1843">
        <v>17.8903</v>
      </c>
      <c r="F1843">
        <v>10.1884</v>
      </c>
      <c r="G1843">
        <v>16.8672</v>
      </c>
      <c r="I1843">
        <v>1.9142699999999999</v>
      </c>
      <c r="J1843">
        <f t="shared" si="197"/>
        <v>3.1752506525285662E-2</v>
      </c>
      <c r="K1843">
        <v>5.4072286661799585E-2</v>
      </c>
      <c r="L1843">
        <v>5.5453837802727744E-2</v>
      </c>
      <c r="N1843">
        <v>1.9142699999999999</v>
      </c>
      <c r="O1843">
        <f t="shared" si="198"/>
        <v>5.4072286661799585E-2</v>
      </c>
      <c r="Q1843">
        <v>1.9142699999999999</v>
      </c>
      <c r="R1843">
        <f t="shared" si="199"/>
        <v>5.5453837802727744E-2</v>
      </c>
      <c r="CH1843">
        <v>1.7720499999999999</v>
      </c>
      <c r="CI1843">
        <v>31.022500000000001</v>
      </c>
      <c r="CJ1843">
        <f t="shared" si="200"/>
        <v>2411.037832123176</v>
      </c>
      <c r="CL1843">
        <v>1.7720499999999999</v>
      </c>
      <c r="CM1843">
        <v>2.2440000000000002E-2</v>
      </c>
      <c r="CN1843">
        <f t="shared" si="201"/>
        <v>1.7440144718460495</v>
      </c>
    </row>
    <row r="1844" spans="4:92" x14ac:dyDescent="0.35">
      <c r="D1844">
        <v>1.93906</v>
      </c>
      <c r="E1844">
        <v>18.099399999999999</v>
      </c>
      <c r="F1844">
        <v>9.2148699999999995</v>
      </c>
      <c r="G1844">
        <v>17.417100000000001</v>
      </c>
      <c r="I1844">
        <v>1.93906</v>
      </c>
      <c r="J1844">
        <f t="shared" si="197"/>
        <v>3.2123626579976597E-2</v>
      </c>
      <c r="K1844">
        <v>4.8905529051786058E-2</v>
      </c>
      <c r="L1844">
        <v>5.7261729178161726E-2</v>
      </c>
      <c r="N1844">
        <v>1.93906</v>
      </c>
      <c r="O1844">
        <f t="shared" si="198"/>
        <v>4.8905529051786058E-2</v>
      </c>
      <c r="Q1844">
        <v>1.93906</v>
      </c>
      <c r="R1844">
        <f t="shared" si="199"/>
        <v>5.7261729178161726E-2</v>
      </c>
      <c r="CH1844">
        <v>1.7949999999999999</v>
      </c>
      <c r="CI1844">
        <v>30.654900000000001</v>
      </c>
      <c r="CJ1844">
        <f t="shared" si="200"/>
        <v>2382.4683258909745</v>
      </c>
      <c r="CL1844">
        <v>1.7949999999999999</v>
      </c>
      <c r="CM1844">
        <v>2.5049999999999999E-2</v>
      </c>
      <c r="CN1844">
        <f t="shared" si="201"/>
        <v>1.9468610748548814</v>
      </c>
    </row>
    <row r="1845" spans="4:92" x14ac:dyDescent="0.35">
      <c r="D1845">
        <v>1.96417</v>
      </c>
      <c r="E1845">
        <v>17.351199999999999</v>
      </c>
      <c r="F1845">
        <v>8.7276000000000007</v>
      </c>
      <c r="G1845">
        <v>16.747599999999998</v>
      </c>
      <c r="I1845">
        <v>1.96417</v>
      </c>
      <c r="J1845">
        <f t="shared" si="197"/>
        <v>3.0795687675530124E-2</v>
      </c>
      <c r="K1845">
        <v>4.6319470090448164E-2</v>
      </c>
      <c r="L1845">
        <v>5.5060632113508055E-2</v>
      </c>
      <c r="N1845">
        <v>1.96417</v>
      </c>
      <c r="O1845">
        <f t="shared" si="198"/>
        <v>4.6319470090448164E-2</v>
      </c>
      <c r="Q1845">
        <v>1.96417</v>
      </c>
      <c r="R1845">
        <f t="shared" si="199"/>
        <v>5.5060632113508055E-2</v>
      </c>
      <c r="CH1845">
        <v>1.8182400000000001</v>
      </c>
      <c r="CI1845">
        <v>32.031199999999998</v>
      </c>
      <c r="CJ1845">
        <f t="shared" si="200"/>
        <v>2489.4329924507656</v>
      </c>
      <c r="CL1845">
        <v>1.8182400000000001</v>
      </c>
      <c r="CM1845">
        <v>2.3810000000000001E-2</v>
      </c>
      <c r="CN1845">
        <f t="shared" si="201"/>
        <v>1.8504895086744404</v>
      </c>
    </row>
    <row r="1846" spans="4:92" x14ac:dyDescent="0.35">
      <c r="D1846">
        <v>1.9896100000000001</v>
      </c>
      <c r="E1846">
        <v>18.684799999999999</v>
      </c>
      <c r="F1846">
        <v>8.4329699999999992</v>
      </c>
      <c r="G1846">
        <v>16.668099999999999</v>
      </c>
      <c r="I1846">
        <v>1.9896100000000001</v>
      </c>
      <c r="J1846">
        <f t="shared" si="197"/>
        <v>3.3162620745524535E-2</v>
      </c>
      <c r="K1846">
        <v>4.4755797892736447E-2</v>
      </c>
      <c r="L1846">
        <v>5.4799262111058525E-2</v>
      </c>
      <c r="N1846">
        <v>1.9896100000000001</v>
      </c>
      <c r="O1846">
        <f t="shared" si="198"/>
        <v>4.4755797892736447E-2</v>
      </c>
      <c r="Q1846">
        <v>1.9896100000000001</v>
      </c>
      <c r="R1846">
        <f t="shared" si="199"/>
        <v>5.4799262111058525E-2</v>
      </c>
      <c r="CH1846">
        <v>1.84179</v>
      </c>
      <c r="CI1846">
        <v>30.090499999999999</v>
      </c>
      <c r="CJ1846">
        <f t="shared" si="200"/>
        <v>2338.6037194778764</v>
      </c>
      <c r="CL1846">
        <v>1.84179</v>
      </c>
      <c r="CM1846">
        <v>2.409E-2</v>
      </c>
      <c r="CN1846">
        <f t="shared" si="201"/>
        <v>1.8722508300700238</v>
      </c>
    </row>
    <row r="1847" spans="4:92" x14ac:dyDescent="0.35">
      <c r="D1847">
        <v>2.0153799999999999</v>
      </c>
      <c r="E1847">
        <v>18.731999999999999</v>
      </c>
      <c r="F1847">
        <v>9.1376200000000001</v>
      </c>
      <c r="G1847">
        <v>16.6112</v>
      </c>
      <c r="I1847">
        <v>2.0153799999999999</v>
      </c>
      <c r="J1847">
        <f t="shared" si="197"/>
        <v>3.324639342166711E-2</v>
      </c>
      <c r="K1847">
        <v>4.8495544741725211E-2</v>
      </c>
      <c r="L1847">
        <v>5.4612193518110363E-2</v>
      </c>
      <c r="N1847">
        <v>2.0153799999999999</v>
      </c>
      <c r="O1847">
        <f t="shared" si="198"/>
        <v>4.8495544741725211E-2</v>
      </c>
      <c r="Q1847">
        <v>2.0153799999999999</v>
      </c>
      <c r="R1847">
        <f t="shared" si="199"/>
        <v>5.4612193518110363E-2</v>
      </c>
      <c r="CH1847">
        <v>1.86564</v>
      </c>
      <c r="CI1847">
        <v>29.930700000000002</v>
      </c>
      <c r="CJ1847">
        <f t="shared" si="200"/>
        <v>2326.1842224813972</v>
      </c>
      <c r="CL1847">
        <v>1.86564</v>
      </c>
      <c r="CM1847">
        <v>2.4029999999999999E-2</v>
      </c>
      <c r="CN1847">
        <f t="shared" si="201"/>
        <v>1.86758768977097</v>
      </c>
    </row>
    <row r="1848" spans="4:92" x14ac:dyDescent="0.35">
      <c r="D1848">
        <v>2.04148</v>
      </c>
      <c r="E1848">
        <v>18.6585</v>
      </c>
      <c r="F1848">
        <v>9.4541500000000003</v>
      </c>
      <c r="G1848">
        <v>16.4071</v>
      </c>
      <c r="I1848">
        <v>2.04148</v>
      </c>
      <c r="J1848">
        <f t="shared" si="197"/>
        <v>3.311594232640272E-2</v>
      </c>
      <c r="K1848">
        <v>5.0175445501124079E-2</v>
      </c>
      <c r="L1848">
        <v>5.3941179461507206E-2</v>
      </c>
      <c r="N1848">
        <v>2.04148</v>
      </c>
      <c r="O1848">
        <f t="shared" si="198"/>
        <v>5.0175445501124079E-2</v>
      </c>
      <c r="Q1848">
        <v>2.04148</v>
      </c>
      <c r="R1848">
        <f t="shared" si="199"/>
        <v>5.3941179461507206E-2</v>
      </c>
      <c r="CH1848">
        <v>1.8897999999999999</v>
      </c>
      <c r="CI1848">
        <v>29.0243</v>
      </c>
      <c r="CJ1848">
        <f t="shared" si="200"/>
        <v>2255.7397163636942</v>
      </c>
      <c r="CL1848">
        <v>1.8897999999999999</v>
      </c>
      <c r="CM1848">
        <v>2.23E-2</v>
      </c>
      <c r="CN1848">
        <f t="shared" si="201"/>
        <v>1.7331338111482577</v>
      </c>
    </row>
    <row r="1849" spans="4:92" x14ac:dyDescent="0.35">
      <c r="D1849">
        <v>2.0679099999999999</v>
      </c>
      <c r="E1849">
        <v>10.6411</v>
      </c>
      <c r="F1849">
        <v>9.4570299999999996</v>
      </c>
      <c r="G1849">
        <v>10.272500000000001</v>
      </c>
      <c r="I1849">
        <v>2.0679099999999999</v>
      </c>
      <c r="J1849">
        <f t="shared" si="197"/>
        <v>1.8886301358066508E-2</v>
      </c>
      <c r="K1849">
        <v>5.0190730353071977E-2</v>
      </c>
      <c r="L1849">
        <v>3.3772620756765841E-2</v>
      </c>
      <c r="N1849">
        <v>2.0679099999999999</v>
      </c>
      <c r="O1849">
        <f t="shared" si="198"/>
        <v>5.0190730353071977E-2</v>
      </c>
      <c r="Q1849">
        <v>2.0679099999999999</v>
      </c>
      <c r="R1849">
        <f t="shared" si="199"/>
        <v>3.3772620756765841E-2</v>
      </c>
      <c r="CH1849">
        <v>1.9142699999999999</v>
      </c>
      <c r="CI1849">
        <v>28.84</v>
      </c>
      <c r="CJ1849">
        <f t="shared" si="200"/>
        <v>2241.4161037451008</v>
      </c>
      <c r="CL1849">
        <v>1.9142699999999999</v>
      </c>
      <c r="CM1849">
        <v>2.4150000000000001E-2</v>
      </c>
      <c r="CN1849">
        <f t="shared" si="201"/>
        <v>1.8769139703690774</v>
      </c>
    </row>
    <row r="1850" spans="4:92" x14ac:dyDescent="0.35">
      <c r="D1850">
        <v>2.0946899999999999</v>
      </c>
      <c r="E1850">
        <v>15.2171</v>
      </c>
      <c r="F1850">
        <v>9.6124200000000002</v>
      </c>
      <c r="G1850">
        <v>15.6671</v>
      </c>
      <c r="I1850">
        <v>2.0946899999999999</v>
      </c>
      <c r="J1850">
        <f t="shared" si="197"/>
        <v>2.7007991316295672E-2</v>
      </c>
      <c r="K1850">
        <v>5.1015422417024815E-2</v>
      </c>
      <c r="L1850">
        <v>5.1508301451285092E-2</v>
      </c>
      <c r="N1850">
        <v>2.0946899999999999</v>
      </c>
      <c r="O1850">
        <f t="shared" si="198"/>
        <v>5.1015422417024815E-2</v>
      </c>
      <c r="Q1850">
        <v>2.0946899999999999</v>
      </c>
      <c r="R1850">
        <f t="shared" si="199"/>
        <v>5.1508301451285092E-2</v>
      </c>
      <c r="CH1850">
        <v>1.93906</v>
      </c>
      <c r="CI1850">
        <v>26.950700000000001</v>
      </c>
      <c r="CJ1850">
        <f t="shared" si="200"/>
        <v>2094.5815876284014</v>
      </c>
      <c r="CL1850">
        <v>1.93906</v>
      </c>
      <c r="CM1850">
        <v>2.562E-2</v>
      </c>
      <c r="CN1850">
        <f t="shared" si="201"/>
        <v>1.9911609076958907</v>
      </c>
    </row>
    <row r="1851" spans="4:92" x14ac:dyDescent="0.35">
      <c r="D1851">
        <v>2.12182</v>
      </c>
      <c r="E1851">
        <v>16.220099999999999</v>
      </c>
      <c r="F1851">
        <v>9.4271999999999991</v>
      </c>
      <c r="G1851">
        <v>15.479699999999999</v>
      </c>
      <c r="I1851">
        <v>2.12182</v>
      </c>
      <c r="J1851">
        <f t="shared" si="197"/>
        <v>2.8788160684325357E-2</v>
      </c>
      <c r="K1851">
        <v>5.0032415376125496E-2</v>
      </c>
      <c r="L1851">
        <v>5.0892191533561268E-2</v>
      </c>
      <c r="N1851">
        <v>2.12182</v>
      </c>
      <c r="O1851">
        <f t="shared" si="198"/>
        <v>5.0032415376125496E-2</v>
      </c>
      <c r="Q1851">
        <v>2.12182</v>
      </c>
      <c r="R1851">
        <f t="shared" si="199"/>
        <v>5.0892191533561268E-2</v>
      </c>
      <c r="CH1851">
        <v>1.96417</v>
      </c>
      <c r="CI1851">
        <v>25.963799999999999</v>
      </c>
      <c r="CJ1851">
        <f t="shared" si="200"/>
        <v>2017.8807016094679</v>
      </c>
      <c r="CL1851">
        <v>1.96417</v>
      </c>
      <c r="CM1851">
        <v>2.5690000000000001E-2</v>
      </c>
      <c r="CN1851">
        <f t="shared" si="201"/>
        <v>1.9966012380447866</v>
      </c>
    </row>
    <row r="1852" spans="4:92" x14ac:dyDescent="0.35">
      <c r="D1852">
        <v>2.1493000000000002</v>
      </c>
      <c r="E1852">
        <v>15.912100000000001</v>
      </c>
      <c r="F1852">
        <v>9.8435000000000006</v>
      </c>
      <c r="G1852">
        <v>14.457700000000001</v>
      </c>
      <c r="I1852">
        <v>2.1493000000000002</v>
      </c>
      <c r="J1852">
        <f t="shared" si="197"/>
        <v>2.8241508475598403E-2</v>
      </c>
      <c r="K1852">
        <v>5.224181949623339E-2</v>
      </c>
      <c r="L1852">
        <v>4.7532189741065316E-2</v>
      </c>
      <c r="N1852">
        <v>2.1493000000000002</v>
      </c>
      <c r="O1852">
        <f t="shared" si="198"/>
        <v>5.224181949623339E-2</v>
      </c>
      <c r="Q1852">
        <v>2.1493000000000002</v>
      </c>
      <c r="R1852">
        <f t="shared" si="199"/>
        <v>4.7532189741065316E-2</v>
      </c>
      <c r="CH1852">
        <v>1.9896100000000001</v>
      </c>
      <c r="CI1852">
        <v>26.492799999999999</v>
      </c>
      <c r="CJ1852">
        <f t="shared" si="200"/>
        <v>2058.9940552461239</v>
      </c>
      <c r="CL1852">
        <v>1.9896100000000001</v>
      </c>
      <c r="CM1852">
        <v>2.4629999999999999E-2</v>
      </c>
      <c r="CN1852">
        <f t="shared" si="201"/>
        <v>1.9142190927615061</v>
      </c>
    </row>
    <row r="1853" spans="4:92" x14ac:dyDescent="0.35">
      <c r="D1853">
        <v>2.17713</v>
      </c>
      <c r="E1853">
        <v>15.4148</v>
      </c>
      <c r="F1853">
        <v>10.2301</v>
      </c>
      <c r="G1853">
        <v>14.6835</v>
      </c>
      <c r="I1853">
        <v>2.17713</v>
      </c>
      <c r="J1853">
        <f t="shared" si="197"/>
        <v>2.7358878139884375E-2</v>
      </c>
      <c r="K1853">
        <v>5.4293598580628558E-2</v>
      </c>
      <c r="L1853">
        <v>4.8274546301481744E-2</v>
      </c>
      <c r="N1853">
        <v>2.17713</v>
      </c>
      <c r="O1853">
        <f t="shared" si="198"/>
        <v>5.4293598580628558E-2</v>
      </c>
      <c r="Q1853">
        <v>2.17713</v>
      </c>
      <c r="R1853">
        <f t="shared" si="199"/>
        <v>4.8274546301481744E-2</v>
      </c>
      <c r="CH1853">
        <v>2.0153799999999999</v>
      </c>
      <c r="CI1853">
        <v>26.964300000000001</v>
      </c>
      <c r="CJ1853">
        <f t="shared" si="200"/>
        <v>2095.6385660961869</v>
      </c>
      <c r="CL1853">
        <v>2.0153799999999999</v>
      </c>
      <c r="CM1853">
        <v>2.486E-2</v>
      </c>
      <c r="CN1853">
        <f t="shared" si="201"/>
        <v>1.9320944639078783</v>
      </c>
    </row>
    <row r="1854" spans="4:92" x14ac:dyDescent="0.35">
      <c r="D1854">
        <v>2.2053199999999999</v>
      </c>
      <c r="E1854">
        <v>15.101800000000001</v>
      </c>
      <c r="F1854">
        <v>9.5360800000000001</v>
      </c>
      <c r="G1854">
        <v>14.2852</v>
      </c>
      <c r="I1854">
        <v>2.2053199999999999</v>
      </c>
      <c r="J1854">
        <f t="shared" si="197"/>
        <v>2.6803351706989772E-2</v>
      </c>
      <c r="K1854">
        <v>5.0610267695600272E-2</v>
      </c>
      <c r="L1854">
        <v>4.6965066150844621E-2</v>
      </c>
      <c r="N1854">
        <v>2.2053199999999999</v>
      </c>
      <c r="O1854">
        <f t="shared" si="198"/>
        <v>5.0610267695600272E-2</v>
      </c>
      <c r="Q1854">
        <v>2.2053199999999999</v>
      </c>
      <c r="R1854">
        <f t="shared" si="199"/>
        <v>4.6965066150844621E-2</v>
      </c>
      <c r="CH1854">
        <v>2.04148</v>
      </c>
      <c r="CI1854">
        <v>28.992699999999999</v>
      </c>
      <c r="CJ1854">
        <f t="shared" si="200"/>
        <v>2253.2837958061923</v>
      </c>
      <c r="CL1854">
        <v>2.04148</v>
      </c>
      <c r="CM1854">
        <v>2.545E-2</v>
      </c>
      <c r="CN1854">
        <f t="shared" si="201"/>
        <v>1.9779486768485721</v>
      </c>
    </row>
    <row r="1855" spans="4:92" x14ac:dyDescent="0.35">
      <c r="D1855">
        <v>2.2338800000000001</v>
      </c>
      <c r="E1855">
        <v>14.837</v>
      </c>
      <c r="F1855">
        <v>7.97654</v>
      </c>
      <c r="G1855">
        <v>13.701599999999999</v>
      </c>
      <c r="I1855">
        <v>2.2338800000000001</v>
      </c>
      <c r="J1855">
        <f t="shared" si="197"/>
        <v>2.6333372795071263E-2</v>
      </c>
      <c r="K1855">
        <v>4.2333414221007303E-2</v>
      </c>
      <c r="L1855">
        <v>4.5046380195755929E-2</v>
      </c>
      <c r="N1855">
        <v>2.2338800000000001</v>
      </c>
      <c r="O1855">
        <f t="shared" si="198"/>
        <v>4.2333414221007303E-2</v>
      </c>
      <c r="Q1855">
        <v>2.2338800000000001</v>
      </c>
      <c r="R1855">
        <f t="shared" si="199"/>
        <v>4.5046380195755929E-2</v>
      </c>
      <c r="CH1855">
        <v>2.0679099999999999</v>
      </c>
      <c r="CI1855">
        <v>19.135899999999999</v>
      </c>
      <c r="CJ1855">
        <f t="shared" si="200"/>
        <v>1487.2231074776657</v>
      </c>
      <c r="CL1855">
        <v>2.0679099999999999</v>
      </c>
      <c r="CM1855">
        <v>2.5059999999999999E-2</v>
      </c>
      <c r="CN1855">
        <f t="shared" si="201"/>
        <v>1.9476382649047237</v>
      </c>
    </row>
    <row r="1856" spans="4:92" x14ac:dyDescent="0.35">
      <c r="D1856">
        <v>2.26281</v>
      </c>
      <c r="E1856">
        <v>14.710800000000001</v>
      </c>
      <c r="F1856">
        <v>8.1774199999999997</v>
      </c>
      <c r="G1856">
        <v>13.589499999999999</v>
      </c>
      <c r="I1856">
        <v>2.26281</v>
      </c>
      <c r="J1856">
        <f t="shared" si="197"/>
        <v>2.6109387377079893E-2</v>
      </c>
      <c r="K1856">
        <v>4.3399532644373316E-2</v>
      </c>
      <c r="L1856">
        <v>4.4677832053937147E-2</v>
      </c>
      <c r="N1856">
        <v>2.26281</v>
      </c>
      <c r="O1856">
        <f t="shared" si="198"/>
        <v>4.3399532644373316E-2</v>
      </c>
      <c r="Q1856">
        <v>2.26281</v>
      </c>
      <c r="R1856">
        <f t="shared" si="199"/>
        <v>4.4677832053937147E-2</v>
      </c>
      <c r="CH1856">
        <v>2.0946899999999999</v>
      </c>
      <c r="CI1856">
        <v>26.3186</v>
      </c>
      <c r="CJ1856">
        <f t="shared" si="200"/>
        <v>2045.4554045778716</v>
      </c>
      <c r="CL1856">
        <v>2.0946899999999999</v>
      </c>
      <c r="CM1856">
        <v>2.734E-2</v>
      </c>
      <c r="CN1856">
        <f t="shared" si="201"/>
        <v>2.1248375962687609</v>
      </c>
    </row>
    <row r="1857" spans="4:92" x14ac:dyDescent="0.35">
      <c r="D1857">
        <v>2.2921200000000002</v>
      </c>
      <c r="E1857">
        <v>14.142300000000001</v>
      </c>
      <c r="F1857">
        <v>9.1544399999999992</v>
      </c>
      <c r="G1857">
        <v>13.2181</v>
      </c>
      <c r="I1857">
        <v>2.2921200000000002</v>
      </c>
      <c r="J1857">
        <f t="shared" si="197"/>
        <v>2.5100388089218596E-2</v>
      </c>
      <c r="K1857">
        <v>4.858481252289315E-2</v>
      </c>
      <c r="L1857">
        <v>4.3456790306644587E-2</v>
      </c>
      <c r="N1857">
        <v>2.2921200000000002</v>
      </c>
      <c r="O1857">
        <f t="shared" si="198"/>
        <v>4.858481252289315E-2</v>
      </c>
      <c r="Q1857">
        <v>2.2921200000000002</v>
      </c>
      <c r="R1857">
        <f t="shared" si="199"/>
        <v>4.3456790306644587E-2</v>
      </c>
      <c r="CH1857">
        <v>2.12182</v>
      </c>
      <c r="CI1857">
        <v>26.601199999999999</v>
      </c>
      <c r="CJ1857">
        <f t="shared" si="200"/>
        <v>2067.4187953864139</v>
      </c>
      <c r="CL1857">
        <v>2.12182</v>
      </c>
      <c r="CM1857">
        <v>2.5579999999999999E-2</v>
      </c>
      <c r="CN1857">
        <f t="shared" si="201"/>
        <v>1.9880521474965216</v>
      </c>
    </row>
    <row r="1858" spans="4:92" x14ac:dyDescent="0.35">
      <c r="D1858">
        <v>2.3218000000000001</v>
      </c>
      <c r="E1858">
        <v>14.2317</v>
      </c>
      <c r="F1858">
        <v>8.98522</v>
      </c>
      <c r="G1858">
        <v>13.383699999999999</v>
      </c>
      <c r="I1858">
        <v>2.3218000000000001</v>
      </c>
      <c r="J1858">
        <f t="shared" si="197"/>
        <v>2.5259059217336097E-2</v>
      </c>
      <c r="K1858">
        <v>4.7686721326148838E-2</v>
      </c>
      <c r="L1858">
        <v>4.4001228953256456E-2</v>
      </c>
      <c r="N1858">
        <v>2.3218000000000001</v>
      </c>
      <c r="O1858">
        <f t="shared" si="198"/>
        <v>4.7686721326148838E-2</v>
      </c>
      <c r="Q1858">
        <v>2.3218000000000001</v>
      </c>
      <c r="R1858">
        <f t="shared" si="199"/>
        <v>4.4001228953256456E-2</v>
      </c>
      <c r="CH1858">
        <v>2.1493000000000002</v>
      </c>
      <c r="CI1858">
        <v>26.290600000000001</v>
      </c>
      <c r="CJ1858">
        <f t="shared" si="200"/>
        <v>2043.2792724383132</v>
      </c>
      <c r="CL1858">
        <v>2.1493000000000002</v>
      </c>
      <c r="CM1858">
        <v>2.7609999999999999E-2</v>
      </c>
      <c r="CN1858">
        <f t="shared" si="201"/>
        <v>2.1458217276145022</v>
      </c>
    </row>
    <row r="1859" spans="4:92" x14ac:dyDescent="0.35">
      <c r="D1859">
        <v>2.3518699999999999</v>
      </c>
      <c r="E1859">
        <v>14.1998</v>
      </c>
      <c r="F1859">
        <v>9.2598199999999995</v>
      </c>
      <c r="G1859">
        <v>13.5152</v>
      </c>
      <c r="I1859">
        <v>2.3518699999999999</v>
      </c>
      <c r="J1859">
        <f t="shared" si="197"/>
        <v>2.5202441667146518E-2</v>
      </c>
      <c r="K1859">
        <v>4.9144089501459015E-2</v>
      </c>
      <c r="L1859">
        <v>4.4433557951018901E-2</v>
      </c>
      <c r="N1859">
        <v>2.3518699999999999</v>
      </c>
      <c r="O1859">
        <f t="shared" si="198"/>
        <v>4.9144089501459015E-2</v>
      </c>
      <c r="Q1859">
        <v>2.3518699999999999</v>
      </c>
      <c r="R1859">
        <f t="shared" si="199"/>
        <v>4.4433557951018901E-2</v>
      </c>
      <c r="CH1859">
        <v>2.17713</v>
      </c>
      <c r="CI1859">
        <v>25.279599999999999</v>
      </c>
      <c r="CJ1859">
        <f t="shared" si="200"/>
        <v>1964.7053583992597</v>
      </c>
      <c r="CL1859">
        <v>2.17713</v>
      </c>
      <c r="CM1859">
        <v>2.4250000000000001E-2</v>
      </c>
      <c r="CN1859">
        <f t="shared" si="201"/>
        <v>1.8846858708675001</v>
      </c>
    </row>
    <row r="1860" spans="4:92" x14ac:dyDescent="0.35">
      <c r="D1860">
        <v>2.38232</v>
      </c>
      <c r="E1860">
        <v>14.665800000000001</v>
      </c>
      <c r="F1860">
        <v>9.3048999999999999</v>
      </c>
      <c r="G1860">
        <v>12.9391</v>
      </c>
      <c r="I1860">
        <v>2.38232</v>
      </c>
      <c r="J1860">
        <f t="shared" ref="J1860:J1923" si="202">E1860/SUM($E$3:$E$2002)/$C$3</f>
        <v>2.6029519359571082E-2</v>
      </c>
      <c r="K1860">
        <v>4.9383339892365721E-2</v>
      </c>
      <c r="L1860">
        <v>4.2539529543331109E-2</v>
      </c>
      <c r="N1860">
        <v>2.38232</v>
      </c>
      <c r="O1860">
        <f t="shared" ref="O1860:O1923" si="203">F1860/SUM($F$3:$F$2002)/$C$3</f>
        <v>4.9383339892365721E-2</v>
      </c>
      <c r="Q1860">
        <v>2.38232</v>
      </c>
      <c r="R1860">
        <f t="shared" ref="R1860:R1923" si="204">G1860/SUM($G$3:$G$2002)/$C$3</f>
        <v>4.2539529543331109E-2</v>
      </c>
      <c r="CH1860">
        <v>2.2053199999999999</v>
      </c>
      <c r="CI1860">
        <v>26.1907</v>
      </c>
      <c r="CJ1860">
        <f t="shared" si="200"/>
        <v>2035.5151438403889</v>
      </c>
      <c r="CL1860">
        <v>2.2053199999999999</v>
      </c>
      <c r="CM1860">
        <v>2.904E-2</v>
      </c>
      <c r="CN1860">
        <f t="shared" si="201"/>
        <v>2.2569599047419464</v>
      </c>
    </row>
    <row r="1861" spans="4:92" x14ac:dyDescent="0.35">
      <c r="D1861">
        <v>2.41317</v>
      </c>
      <c r="E1861">
        <v>14.084899999999999</v>
      </c>
      <c r="F1861">
        <v>8.3551300000000008</v>
      </c>
      <c r="G1861">
        <v>13.4861</v>
      </c>
      <c r="I1861">
        <v>2.41317</v>
      </c>
      <c r="J1861">
        <f t="shared" si="202"/>
        <v>2.4998511995774027E-2</v>
      </c>
      <c r="K1861">
        <v>4.4342682310922379E-2</v>
      </c>
      <c r="L1861">
        <v>4.4337886667103407E-2</v>
      </c>
      <c r="N1861">
        <v>2.41317</v>
      </c>
      <c r="O1861">
        <f t="shared" si="203"/>
        <v>4.4342682310922379E-2</v>
      </c>
      <c r="Q1861">
        <v>2.41317</v>
      </c>
      <c r="R1861">
        <f t="shared" si="204"/>
        <v>4.4337886667103407E-2</v>
      </c>
      <c r="CH1861">
        <v>2.2338800000000001</v>
      </c>
      <c r="CI1861">
        <v>23.392399999999999</v>
      </c>
      <c r="CJ1861">
        <f t="shared" si="200"/>
        <v>1818.034052193027</v>
      </c>
      <c r="CL1861">
        <v>2.2338800000000001</v>
      </c>
      <c r="CM1861">
        <v>2.9520000000000001E-2</v>
      </c>
      <c r="CN1861">
        <f t="shared" si="201"/>
        <v>2.2942650271343754</v>
      </c>
    </row>
    <row r="1862" spans="4:92" x14ac:dyDescent="0.35">
      <c r="D1862">
        <v>2.4444300000000001</v>
      </c>
      <c r="E1862">
        <v>13.6289</v>
      </c>
      <c r="F1862">
        <v>7.7887899999999997</v>
      </c>
      <c r="G1862">
        <v>12.559799999999999</v>
      </c>
      <c r="I1862">
        <v>2.4444300000000001</v>
      </c>
      <c r="J1862">
        <f t="shared" si="202"/>
        <v>2.4189182751684753E-2</v>
      </c>
      <c r="K1862">
        <v>4.1336979862250996E-2</v>
      </c>
      <c r="L1862">
        <v>4.1292515179442935E-2</v>
      </c>
      <c r="N1862">
        <v>2.4444300000000001</v>
      </c>
      <c r="O1862">
        <f t="shared" si="203"/>
        <v>4.1336979862250996E-2</v>
      </c>
      <c r="Q1862">
        <v>2.4444300000000001</v>
      </c>
      <c r="R1862">
        <f t="shared" si="204"/>
        <v>4.1292515179442935E-2</v>
      </c>
      <c r="CH1862">
        <v>2.26281</v>
      </c>
      <c r="CI1862">
        <v>23.569199999999999</v>
      </c>
      <c r="CJ1862">
        <f t="shared" si="200"/>
        <v>1831.7747722742383</v>
      </c>
      <c r="CL1862">
        <v>2.26281</v>
      </c>
      <c r="CM1862">
        <v>2.4389999999999998E-2</v>
      </c>
      <c r="CN1862">
        <f t="shared" si="201"/>
        <v>1.8955665315652916</v>
      </c>
    </row>
    <row r="1863" spans="4:92" x14ac:dyDescent="0.35">
      <c r="D1863">
        <v>2.4760800000000001</v>
      </c>
      <c r="E1863">
        <v>13.2919</v>
      </c>
      <c r="F1863">
        <v>7.7601599999999999</v>
      </c>
      <c r="G1863">
        <v>13.115500000000001</v>
      </c>
      <c r="I1863">
        <v>2.4760800000000001</v>
      </c>
      <c r="J1863">
        <f t="shared" si="202"/>
        <v>2.3591060042785449E-2</v>
      </c>
      <c r="K1863">
        <v>4.1185033573616144E-2</v>
      </c>
      <c r="L1863">
        <v>4.3119475058200282E-2</v>
      </c>
      <c r="N1863">
        <v>2.4760800000000001</v>
      </c>
      <c r="O1863">
        <f t="shared" si="203"/>
        <v>4.1185033573616144E-2</v>
      </c>
      <c r="Q1863">
        <v>2.4760800000000001</v>
      </c>
      <c r="R1863">
        <f t="shared" si="204"/>
        <v>4.3119475058200282E-2</v>
      </c>
      <c r="CH1863">
        <v>2.2921200000000002</v>
      </c>
      <c r="CI1863">
        <v>22.6204</v>
      </c>
      <c r="CJ1863">
        <f t="shared" si="200"/>
        <v>1758.0349803452041</v>
      </c>
      <c r="CL1863">
        <v>2.2921200000000002</v>
      </c>
      <c r="CM1863">
        <v>2.9270000000000001E-2</v>
      </c>
      <c r="CN1863">
        <f t="shared" si="201"/>
        <v>2.2748352758883188</v>
      </c>
    </row>
    <row r="1864" spans="4:92" x14ac:dyDescent="0.35">
      <c r="D1864">
        <v>2.5081500000000001</v>
      </c>
      <c r="E1864">
        <v>13.4123</v>
      </c>
      <c r="F1864">
        <v>7.1707999999999998</v>
      </c>
      <c r="G1864">
        <v>12.5998</v>
      </c>
      <c r="I1864">
        <v>2.5081500000000001</v>
      </c>
      <c r="J1864">
        <f t="shared" si="202"/>
        <v>2.3804751360742355E-2</v>
      </c>
      <c r="K1864">
        <v>3.805715845416674E-2</v>
      </c>
      <c r="L1864">
        <v>4.1424022098914409E-2</v>
      </c>
      <c r="N1864">
        <v>2.5081500000000001</v>
      </c>
      <c r="O1864">
        <f t="shared" si="203"/>
        <v>3.805715845416674E-2</v>
      </c>
      <c r="Q1864">
        <v>2.5081500000000001</v>
      </c>
      <c r="R1864">
        <f t="shared" si="204"/>
        <v>4.1424022098914409E-2</v>
      </c>
      <c r="CH1864">
        <v>2.3218000000000001</v>
      </c>
      <c r="CI1864">
        <v>24.2529</v>
      </c>
      <c r="CJ1864">
        <f t="shared" si="200"/>
        <v>1884.9112559819544</v>
      </c>
      <c r="CL1864">
        <v>2.3218000000000001</v>
      </c>
      <c r="CM1864">
        <v>2.5940000000000001E-2</v>
      </c>
      <c r="CN1864">
        <f t="shared" si="201"/>
        <v>2.0160309892908432</v>
      </c>
    </row>
    <row r="1865" spans="4:92" x14ac:dyDescent="0.35">
      <c r="D1865">
        <v>2.5406300000000002</v>
      </c>
      <c r="E1865">
        <v>12.7988</v>
      </c>
      <c r="F1865">
        <v>6.9540800000000003</v>
      </c>
      <c r="G1865">
        <v>12.894399999999999</v>
      </c>
      <c r="I1865">
        <v>2.5406300000000002</v>
      </c>
      <c r="J1865">
        <f t="shared" si="202"/>
        <v>2.2715884055372251E-2</v>
      </c>
      <c r="K1865">
        <v>3.6906973345087281E-2</v>
      </c>
      <c r="L1865">
        <v>4.2392570560821748E-2</v>
      </c>
      <c r="N1865">
        <v>2.5406300000000002</v>
      </c>
      <c r="O1865">
        <f t="shared" si="203"/>
        <v>3.6906973345087281E-2</v>
      </c>
      <c r="Q1865">
        <v>2.5406300000000002</v>
      </c>
      <c r="R1865">
        <f t="shared" si="204"/>
        <v>4.2392570560821748E-2</v>
      </c>
      <c r="CH1865">
        <v>2.3518699999999999</v>
      </c>
      <c r="CI1865">
        <v>23.002500000000001</v>
      </c>
      <c r="CJ1865">
        <f t="shared" si="200"/>
        <v>1787.7314121496772</v>
      </c>
      <c r="CL1865">
        <v>2.3518699999999999</v>
      </c>
      <c r="CM1865">
        <v>2.9749999999999999E-2</v>
      </c>
      <c r="CN1865">
        <f t="shared" si="201"/>
        <v>2.3121403982807474</v>
      </c>
    </row>
    <row r="1866" spans="4:92" x14ac:dyDescent="0.35">
      <c r="D1866">
        <v>2.5735299999999999</v>
      </c>
      <c r="E1866">
        <v>12.1076</v>
      </c>
      <c r="F1866">
        <v>7.1445699999999999</v>
      </c>
      <c r="G1866">
        <v>11.485799999999999</v>
      </c>
      <c r="I1866">
        <v>2.5735299999999999</v>
      </c>
      <c r="J1866">
        <f t="shared" si="202"/>
        <v>2.1489111306436937E-2</v>
      </c>
      <c r="K1866">
        <v>3.7917949542155147E-2</v>
      </c>
      <c r="L1866">
        <v>3.7761554391634075E-2</v>
      </c>
      <c r="N1866">
        <v>2.5735299999999999</v>
      </c>
      <c r="O1866">
        <f t="shared" si="203"/>
        <v>3.7917949542155147E-2</v>
      </c>
      <c r="Q1866">
        <v>2.5735299999999999</v>
      </c>
      <c r="R1866">
        <f t="shared" si="204"/>
        <v>3.7761554391634075E-2</v>
      </c>
      <c r="CH1866">
        <v>2.38232</v>
      </c>
      <c r="CI1866">
        <v>23.6206</v>
      </c>
      <c r="CJ1866">
        <f t="shared" ref="CJ1866:CJ1929" si="205">CI1866/$CG$9</f>
        <v>1835.7695291304276</v>
      </c>
      <c r="CL1866">
        <v>2.38232</v>
      </c>
      <c r="CM1866">
        <v>3.0259999999999999E-2</v>
      </c>
      <c r="CN1866">
        <f t="shared" ref="CN1866:CN1929" si="206">CM1866/$CG$9</f>
        <v>2.3517770908227029</v>
      </c>
    </row>
    <row r="1867" spans="4:92" x14ac:dyDescent="0.35">
      <c r="D1867">
        <v>2.6068600000000002</v>
      </c>
      <c r="E1867">
        <v>12.0924</v>
      </c>
      <c r="F1867">
        <v>7.2320500000000001</v>
      </c>
      <c r="G1867">
        <v>11.4101</v>
      </c>
      <c r="I1867">
        <v>2.6068600000000002</v>
      </c>
      <c r="J1867">
        <f t="shared" si="202"/>
        <v>2.1462133664967294E-2</v>
      </c>
      <c r="K1867">
        <v>3.83822269200726E-2</v>
      </c>
      <c r="L1867">
        <v>3.7512677546534326E-2</v>
      </c>
      <c r="N1867">
        <v>2.6068600000000002</v>
      </c>
      <c r="O1867">
        <f t="shared" si="203"/>
        <v>3.83822269200726E-2</v>
      </c>
      <c r="Q1867">
        <v>2.6068600000000002</v>
      </c>
      <c r="R1867">
        <f t="shared" si="204"/>
        <v>3.7512677546534326E-2</v>
      </c>
      <c r="CH1867">
        <v>2.41317</v>
      </c>
      <c r="CI1867">
        <v>22.9709</v>
      </c>
      <c r="CJ1867">
        <f t="shared" si="205"/>
        <v>1785.2754915921755</v>
      </c>
      <c r="CL1867">
        <v>2.41317</v>
      </c>
      <c r="CM1867">
        <v>2.9729999999999999E-2</v>
      </c>
      <c r="CN1867">
        <f t="shared" si="206"/>
        <v>2.3105860181810627</v>
      </c>
    </row>
    <row r="1868" spans="4:92" x14ac:dyDescent="0.35">
      <c r="D1868">
        <v>2.6406200000000002</v>
      </c>
      <c r="E1868">
        <v>11.493</v>
      </c>
      <c r="F1868">
        <v>6.8974200000000003</v>
      </c>
      <c r="G1868">
        <v>11.2463</v>
      </c>
      <c r="I1868">
        <v>2.6406200000000002</v>
      </c>
      <c r="J1868">
        <f t="shared" si="202"/>
        <v>2.039829167174995E-2</v>
      </c>
      <c r="K1868">
        <v>3.6606265111973395E-2</v>
      </c>
      <c r="L1868">
        <v>3.6974156711298674E-2</v>
      </c>
      <c r="N1868">
        <v>2.6406200000000002</v>
      </c>
      <c r="O1868">
        <f t="shared" si="203"/>
        <v>3.6606265111973395E-2</v>
      </c>
      <c r="Q1868">
        <v>2.6406200000000002</v>
      </c>
      <c r="R1868">
        <f t="shared" si="204"/>
        <v>3.6974156711298674E-2</v>
      </c>
      <c r="CH1868">
        <v>2.4444300000000001</v>
      </c>
      <c r="CI1868">
        <v>22.272200000000002</v>
      </c>
      <c r="CJ1868">
        <f t="shared" si="205"/>
        <v>1730.9732228096964</v>
      </c>
      <c r="CL1868">
        <v>2.4444300000000001</v>
      </c>
      <c r="CM1868">
        <v>2.8230000000000002E-2</v>
      </c>
      <c r="CN1868">
        <f t="shared" si="206"/>
        <v>2.194007510704723</v>
      </c>
    </row>
    <row r="1869" spans="4:92" x14ac:dyDescent="0.35">
      <c r="D1869">
        <v>2.6748099999999999</v>
      </c>
      <c r="E1869">
        <v>10.733599999999999</v>
      </c>
      <c r="F1869">
        <v>7.0644799999999996</v>
      </c>
      <c r="G1869">
        <v>10.261100000000001</v>
      </c>
      <c r="I1869">
        <v>2.6748099999999999</v>
      </c>
      <c r="J1869">
        <f t="shared" si="202"/>
        <v>1.905047450516795E-2</v>
      </c>
      <c r="K1869">
        <v>3.7492892669756778E-2</v>
      </c>
      <c r="L1869">
        <v>3.3735141284716476E-2</v>
      </c>
      <c r="N1869">
        <v>2.6748099999999999</v>
      </c>
      <c r="O1869">
        <f t="shared" si="203"/>
        <v>3.7492892669756778E-2</v>
      </c>
      <c r="Q1869">
        <v>2.6748099999999999</v>
      </c>
      <c r="R1869">
        <f t="shared" si="204"/>
        <v>3.3735141284716476E-2</v>
      </c>
      <c r="CH1869">
        <v>2.4760800000000001</v>
      </c>
      <c r="CI1869">
        <v>20.853899999999999</v>
      </c>
      <c r="CJ1869">
        <f t="shared" si="205"/>
        <v>1620.7443580405672</v>
      </c>
      <c r="CL1869">
        <v>2.4760800000000001</v>
      </c>
      <c r="CM1869">
        <v>3.0589999999999999E-2</v>
      </c>
      <c r="CN1869">
        <f t="shared" si="206"/>
        <v>2.3774243624674978</v>
      </c>
    </row>
    <row r="1870" spans="4:92" x14ac:dyDescent="0.35">
      <c r="D1870">
        <v>2.7094499999999999</v>
      </c>
      <c r="E1870">
        <v>10.3558</v>
      </c>
      <c r="F1870">
        <v>7.1521999999999997</v>
      </c>
      <c r="G1870">
        <v>10.1655</v>
      </c>
      <c r="I1870">
        <v>2.7094499999999999</v>
      </c>
      <c r="J1870">
        <f t="shared" si="202"/>
        <v>1.8379938127060659E-2</v>
      </c>
      <c r="K1870">
        <v>3.7958443785336561E-2</v>
      </c>
      <c r="L1870">
        <v>3.3420839747179666E-2</v>
      </c>
      <c r="N1870">
        <v>2.7094499999999999</v>
      </c>
      <c r="O1870">
        <f t="shared" si="203"/>
        <v>3.7958443785336561E-2</v>
      </c>
      <c r="Q1870">
        <v>2.7094499999999999</v>
      </c>
      <c r="R1870">
        <f t="shared" si="204"/>
        <v>3.3420839747179666E-2</v>
      </c>
      <c r="CH1870">
        <v>2.5081500000000001</v>
      </c>
      <c r="CI1870">
        <v>20.9862</v>
      </c>
      <c r="CJ1870">
        <f t="shared" si="205"/>
        <v>1631.0265823999805</v>
      </c>
      <c r="CL1870">
        <v>2.5081500000000001</v>
      </c>
      <c r="CM1870">
        <v>3.1419999999999997E-2</v>
      </c>
      <c r="CN1870">
        <f t="shared" si="206"/>
        <v>2.4419311366044059</v>
      </c>
    </row>
    <row r="1871" spans="4:92" x14ac:dyDescent="0.35">
      <c r="D1871">
        <v>2.7445400000000002</v>
      </c>
      <c r="E1871">
        <v>10.092700000000001</v>
      </c>
      <c r="F1871">
        <v>7.1036900000000003</v>
      </c>
      <c r="G1871">
        <v>9.4717900000000004</v>
      </c>
      <c r="I1871">
        <v>2.7445400000000002</v>
      </c>
      <c r="J1871">
        <f t="shared" si="202"/>
        <v>1.7912976451359152E-2</v>
      </c>
      <c r="K1871">
        <v>3.770098956033912E-2</v>
      </c>
      <c r="L1871">
        <v>3.1140148119515904E-2</v>
      </c>
      <c r="N1871">
        <v>2.7445400000000002</v>
      </c>
      <c r="O1871">
        <f t="shared" si="203"/>
        <v>3.770098956033912E-2</v>
      </c>
      <c r="Q1871">
        <v>2.7445400000000002</v>
      </c>
      <c r="R1871">
        <f t="shared" si="204"/>
        <v>3.1140148119515904E-2</v>
      </c>
      <c r="CH1871">
        <v>2.5406300000000002</v>
      </c>
      <c r="CI1871">
        <v>19.0137</v>
      </c>
      <c r="CJ1871">
        <f t="shared" si="205"/>
        <v>1477.7258450685931</v>
      </c>
      <c r="CL1871">
        <v>2.5406300000000002</v>
      </c>
      <c r="CM1871">
        <v>2.9739999999999999E-2</v>
      </c>
      <c r="CN1871">
        <f t="shared" si="206"/>
        <v>2.311363208230905</v>
      </c>
    </row>
    <row r="1872" spans="4:92" x14ac:dyDescent="0.35">
      <c r="D1872">
        <v>2.7800799999999999</v>
      </c>
      <c r="E1872">
        <v>9.1528600000000004</v>
      </c>
      <c r="F1872">
        <v>6.91798</v>
      </c>
      <c r="G1872">
        <v>8.5798199999999998</v>
      </c>
      <c r="I1872">
        <v>2.7800799999999999</v>
      </c>
      <c r="J1872">
        <f t="shared" si="202"/>
        <v>1.6244906283015163E-2</v>
      </c>
      <c r="K1872">
        <v>3.671538197171257E-2</v>
      </c>
      <c r="L1872">
        <v>2.8207642445491815E-2</v>
      </c>
      <c r="N1872">
        <v>2.7800799999999999</v>
      </c>
      <c r="O1872">
        <f t="shared" si="203"/>
        <v>3.671538197171257E-2</v>
      </c>
      <c r="Q1872">
        <v>2.7800799999999999</v>
      </c>
      <c r="R1872">
        <f t="shared" si="204"/>
        <v>2.8207642445491815E-2</v>
      </c>
      <c r="CH1872">
        <v>2.5735299999999999</v>
      </c>
      <c r="CI1872">
        <v>20.2989</v>
      </c>
      <c r="CJ1872">
        <f t="shared" si="205"/>
        <v>1577.6103102743214</v>
      </c>
      <c r="CL1872">
        <v>2.5735299999999999</v>
      </c>
      <c r="CM1872">
        <v>2.648E-2</v>
      </c>
      <c r="CN1872">
        <f t="shared" si="206"/>
        <v>2.0579992519823258</v>
      </c>
    </row>
    <row r="1873" spans="4:92" x14ac:dyDescent="0.35">
      <c r="D1873">
        <v>2.8160799999999999</v>
      </c>
      <c r="E1873">
        <v>8.5126600000000003</v>
      </c>
      <c r="F1873">
        <v>6.5609099999999998</v>
      </c>
      <c r="G1873">
        <v>8.3964599999999994</v>
      </c>
      <c r="I1873">
        <v>2.8160799999999999</v>
      </c>
      <c r="J1873">
        <f t="shared" si="202"/>
        <v>1.5108650620589833E-2</v>
      </c>
      <c r="K1873">
        <v>3.4820325692185967E-2</v>
      </c>
      <c r="L1873">
        <v>2.7604814726634612E-2</v>
      </c>
      <c r="N1873">
        <v>2.8160799999999999</v>
      </c>
      <c r="O1873">
        <f t="shared" si="203"/>
        <v>3.4820325692185967E-2</v>
      </c>
      <c r="Q1873">
        <v>2.8160799999999999</v>
      </c>
      <c r="R1873">
        <f t="shared" si="204"/>
        <v>2.7604814726634612E-2</v>
      </c>
      <c r="CH1873">
        <v>2.6068600000000002</v>
      </c>
      <c r="CI1873">
        <v>19.216999999999999</v>
      </c>
      <c r="CJ1873">
        <f t="shared" si="205"/>
        <v>1493.5261187818865</v>
      </c>
      <c r="CL1873">
        <v>2.6068600000000002</v>
      </c>
      <c r="CM1873">
        <v>3.0259999999999999E-2</v>
      </c>
      <c r="CN1873">
        <f t="shared" si="206"/>
        <v>2.3517770908227029</v>
      </c>
    </row>
    <row r="1874" spans="4:92" x14ac:dyDescent="0.35">
      <c r="D1874">
        <v>2.8525499999999999</v>
      </c>
      <c r="E1874">
        <v>8.0791400000000007</v>
      </c>
      <c r="F1874">
        <v>6.7790999999999997</v>
      </c>
      <c r="G1874">
        <v>7.1064800000000004</v>
      </c>
      <c r="I1874">
        <v>2.8525499999999999</v>
      </c>
      <c r="J1874">
        <f t="shared" si="202"/>
        <v>1.4339219888358299E-2</v>
      </c>
      <c r="K1874">
        <v>3.5978312444447172E-2</v>
      </c>
      <c r="L1874">
        <v>2.3363782327139575E-2</v>
      </c>
      <c r="N1874">
        <v>2.8525499999999999</v>
      </c>
      <c r="O1874">
        <f t="shared" si="203"/>
        <v>3.5978312444447172E-2</v>
      </c>
      <c r="Q1874">
        <v>2.8525499999999999</v>
      </c>
      <c r="R1874">
        <f t="shared" si="204"/>
        <v>2.3363782327139575E-2</v>
      </c>
      <c r="CH1874">
        <v>2.6406200000000002</v>
      </c>
      <c r="CI1874">
        <v>17.256799999999998</v>
      </c>
      <c r="CJ1874">
        <f t="shared" si="205"/>
        <v>1341.181325211805</v>
      </c>
      <c r="CL1874">
        <v>2.6406200000000002</v>
      </c>
      <c r="CM1874">
        <v>2.843E-2</v>
      </c>
      <c r="CN1874">
        <f t="shared" si="206"/>
        <v>2.2095513117015679</v>
      </c>
    </row>
    <row r="1875" spans="4:92" x14ac:dyDescent="0.35">
      <c r="D1875">
        <v>2.8894899999999999</v>
      </c>
      <c r="E1875">
        <v>6.3211599999999999</v>
      </c>
      <c r="F1875">
        <v>6.7132399999999999</v>
      </c>
      <c r="G1875">
        <v>6.2991099999999998</v>
      </c>
      <c r="I1875">
        <v>2.8894899999999999</v>
      </c>
      <c r="J1875">
        <f t="shared" si="202"/>
        <v>1.1219078167910809E-2</v>
      </c>
      <c r="K1875">
        <v>3.5628777600944156E-2</v>
      </c>
      <c r="L1875">
        <v>2.0709413787797639E-2</v>
      </c>
      <c r="N1875">
        <v>2.8894899999999999</v>
      </c>
      <c r="O1875">
        <f t="shared" si="203"/>
        <v>3.5628777600944156E-2</v>
      </c>
      <c r="Q1875">
        <v>2.8894899999999999</v>
      </c>
      <c r="R1875">
        <f t="shared" si="204"/>
        <v>2.0709413787797639E-2</v>
      </c>
      <c r="CH1875">
        <v>2.6748099999999999</v>
      </c>
      <c r="CI1875">
        <v>17.554600000000001</v>
      </c>
      <c r="CJ1875">
        <f t="shared" si="205"/>
        <v>1364.326044896108</v>
      </c>
      <c r="CL1875">
        <v>2.6748099999999999</v>
      </c>
      <c r="CM1875">
        <v>2.6120000000000001E-2</v>
      </c>
      <c r="CN1875">
        <f t="shared" si="206"/>
        <v>2.0300204101880044</v>
      </c>
    </row>
    <row r="1876" spans="4:92" x14ac:dyDescent="0.35">
      <c r="D1876">
        <v>2.9269099999999999</v>
      </c>
      <c r="E1876">
        <v>5.6973700000000003</v>
      </c>
      <c r="F1876">
        <v>6.6896899999999997</v>
      </c>
      <c r="G1876">
        <v>5.4029299999999996</v>
      </c>
      <c r="I1876">
        <v>2.9269099999999999</v>
      </c>
      <c r="J1876">
        <f t="shared" si="202"/>
        <v>1.0111947709203692E-2</v>
      </c>
      <c r="K1876">
        <v>3.5503792092828515E-2</v>
      </c>
      <c r="L1876">
        <v>1.7763067010499182E-2</v>
      </c>
      <c r="N1876">
        <v>2.9269099999999999</v>
      </c>
      <c r="O1876">
        <f t="shared" si="203"/>
        <v>3.5503792092828515E-2</v>
      </c>
      <c r="Q1876">
        <v>2.9269099999999999</v>
      </c>
      <c r="R1876">
        <f t="shared" si="204"/>
        <v>1.7763067010499182E-2</v>
      </c>
      <c r="CH1876">
        <v>2.7094499999999999</v>
      </c>
      <c r="CI1876">
        <v>18.095800000000001</v>
      </c>
      <c r="CJ1876">
        <f t="shared" si="205"/>
        <v>1406.3875703935714</v>
      </c>
      <c r="CL1876">
        <v>2.7094499999999999</v>
      </c>
      <c r="CM1876">
        <v>3.0720000000000001E-2</v>
      </c>
      <c r="CN1876">
        <f t="shared" si="206"/>
        <v>2.3875278331154473</v>
      </c>
    </row>
    <row r="1877" spans="4:92" x14ac:dyDescent="0.35">
      <c r="D1877">
        <v>2.9648099999999999</v>
      </c>
      <c r="E1877">
        <v>9.8420900000000007</v>
      </c>
      <c r="F1877">
        <v>6.8192399999999997</v>
      </c>
      <c r="G1877">
        <v>9.5139099999999992</v>
      </c>
      <c r="I1877">
        <v>2.9648099999999999</v>
      </c>
      <c r="J1877">
        <f t="shared" si="202"/>
        <v>1.7468182587628427E-2</v>
      </c>
      <c r="K1877">
        <v>3.619134506847102E-2</v>
      </c>
      <c r="L1877">
        <v>3.1278624905719352E-2</v>
      </c>
      <c r="N1877">
        <v>2.9648099999999999</v>
      </c>
      <c r="O1877">
        <f t="shared" si="203"/>
        <v>3.619134506847102E-2</v>
      </c>
      <c r="Q1877">
        <v>2.9648099999999999</v>
      </c>
      <c r="R1877">
        <f t="shared" si="204"/>
        <v>3.1278624905719352E-2</v>
      </c>
      <c r="CH1877">
        <v>2.7445400000000002</v>
      </c>
      <c r="CI1877">
        <v>15.766299999999999</v>
      </c>
      <c r="CJ1877">
        <f t="shared" si="205"/>
        <v>1225.3411482828151</v>
      </c>
      <c r="CL1877">
        <v>2.7445400000000002</v>
      </c>
      <c r="CM1877">
        <v>2.886E-2</v>
      </c>
      <c r="CN1877">
        <f t="shared" si="206"/>
        <v>2.2429704838447857</v>
      </c>
    </row>
    <row r="1878" spans="4:92" x14ac:dyDescent="0.35">
      <c r="D1878">
        <v>3.0032100000000002</v>
      </c>
      <c r="E1878">
        <v>11.844900000000001</v>
      </c>
      <c r="F1878">
        <v>6.51755</v>
      </c>
      <c r="G1878">
        <v>11.6134</v>
      </c>
      <c r="I1878">
        <v>3.0032100000000002</v>
      </c>
      <c r="J1878">
        <f t="shared" si="202"/>
        <v>2.1022859568668846E-2</v>
      </c>
      <c r="K1878">
        <v>3.4590203754525921E-2</v>
      </c>
      <c r="L1878">
        <v>3.8181061464748055E-2</v>
      </c>
      <c r="N1878">
        <v>3.0032100000000002</v>
      </c>
      <c r="O1878">
        <f t="shared" si="203"/>
        <v>3.4590203754525921E-2</v>
      </c>
      <c r="Q1878">
        <v>3.0032100000000002</v>
      </c>
      <c r="R1878">
        <f t="shared" si="204"/>
        <v>3.8181061464748055E-2</v>
      </c>
      <c r="CH1878">
        <v>2.7800799999999999</v>
      </c>
      <c r="CI1878">
        <v>15.475099999999999</v>
      </c>
      <c r="CJ1878">
        <f t="shared" si="205"/>
        <v>1202.7093740314081</v>
      </c>
      <c r="CL1878">
        <v>2.7800799999999999</v>
      </c>
      <c r="CM1878">
        <v>3.7789999999999997E-2</v>
      </c>
      <c r="CN1878">
        <f t="shared" si="206"/>
        <v>2.9370011983539306</v>
      </c>
    </row>
    <row r="1879" spans="4:92" x14ac:dyDescent="0.35">
      <c r="D1879">
        <v>3.0421</v>
      </c>
      <c r="E1879">
        <v>9.9178999999999995</v>
      </c>
      <c r="F1879">
        <v>6.1916200000000003</v>
      </c>
      <c r="G1879">
        <v>9.4757200000000008</v>
      </c>
      <c r="I1879">
        <v>3.0421</v>
      </c>
      <c r="J1879">
        <f t="shared" si="202"/>
        <v>1.7602733574458265E-2</v>
      </c>
      <c r="K1879">
        <v>3.286041493668599E-2</v>
      </c>
      <c r="L1879">
        <v>3.1153068674353974E-2</v>
      </c>
      <c r="N1879">
        <v>3.0421</v>
      </c>
      <c r="O1879">
        <f t="shared" si="203"/>
        <v>3.286041493668599E-2</v>
      </c>
      <c r="Q1879">
        <v>3.0421</v>
      </c>
      <c r="R1879">
        <f t="shared" si="204"/>
        <v>3.1153068674353974E-2</v>
      </c>
      <c r="CH1879">
        <v>2.8160799999999999</v>
      </c>
      <c r="CI1879">
        <v>14.9247</v>
      </c>
      <c r="CJ1879">
        <f t="shared" si="205"/>
        <v>1159.9328336880897</v>
      </c>
      <c r="CL1879">
        <v>2.8160799999999999</v>
      </c>
      <c r="CM1879">
        <v>3.2890000000000003E-2</v>
      </c>
      <c r="CN1879">
        <f t="shared" si="206"/>
        <v>2.5561780739312199</v>
      </c>
    </row>
    <row r="1880" spans="4:92" x14ac:dyDescent="0.35">
      <c r="D1880">
        <v>3.0815000000000001</v>
      </c>
      <c r="E1880">
        <v>9.2090899999999998</v>
      </c>
      <c r="F1880">
        <v>6.28573</v>
      </c>
      <c r="G1880">
        <v>8.1875</v>
      </c>
      <c r="I1880">
        <v>3.0815000000000001</v>
      </c>
      <c r="J1880">
        <f t="shared" si="202"/>
        <v>1.6344705808004505E-2</v>
      </c>
      <c r="K1880">
        <v>3.3359879317525182E-2</v>
      </c>
      <c r="L1880">
        <v>2.691782257931568E-2</v>
      </c>
      <c r="N1880">
        <v>3.0815000000000001</v>
      </c>
      <c r="O1880">
        <f t="shared" si="203"/>
        <v>3.3359879317525182E-2</v>
      </c>
      <c r="Q1880">
        <v>3.0815000000000001</v>
      </c>
      <c r="R1880">
        <f t="shared" si="204"/>
        <v>2.691782257931568E-2</v>
      </c>
      <c r="CH1880">
        <v>2.8525499999999999</v>
      </c>
      <c r="CI1880">
        <v>13.462</v>
      </c>
      <c r="CJ1880">
        <f t="shared" si="205"/>
        <v>1046.2532450976612</v>
      </c>
      <c r="CL1880">
        <v>2.8525499999999999</v>
      </c>
      <c r="CM1880">
        <v>3.041E-2</v>
      </c>
      <c r="CN1880">
        <f t="shared" si="206"/>
        <v>2.3634349415703371</v>
      </c>
    </row>
    <row r="1881" spans="4:92" x14ac:dyDescent="0.35">
      <c r="D1881">
        <v>3.1214</v>
      </c>
      <c r="E1881">
        <v>7.6579699999999997</v>
      </c>
      <c r="F1881">
        <v>5.9116400000000002</v>
      </c>
      <c r="G1881">
        <v>7.3345700000000003</v>
      </c>
      <c r="I1881">
        <v>3.1214</v>
      </c>
      <c r="J1881">
        <f t="shared" si="202"/>
        <v>1.3591708489820845E-2</v>
      </c>
      <c r="K1881">
        <v>3.13744938087787E-2</v>
      </c>
      <c r="L1881">
        <v>2.4113667658695742E-2</v>
      </c>
      <c r="N1881">
        <v>3.1214</v>
      </c>
      <c r="O1881">
        <f t="shared" si="203"/>
        <v>3.13744938087787E-2</v>
      </c>
      <c r="Q1881">
        <v>3.1214</v>
      </c>
      <c r="R1881">
        <f t="shared" si="204"/>
        <v>2.4113667658695742E-2</v>
      </c>
      <c r="CH1881">
        <v>2.8894899999999999</v>
      </c>
      <c r="CI1881">
        <v>12.7378</v>
      </c>
      <c r="CJ1881">
        <f t="shared" si="205"/>
        <v>989.96914168808416</v>
      </c>
      <c r="CL1881">
        <v>2.8894899999999999</v>
      </c>
      <c r="CM1881">
        <v>3.7280000000000001E-2</v>
      </c>
      <c r="CN1881">
        <f t="shared" si="206"/>
        <v>2.8973645058119755</v>
      </c>
    </row>
    <row r="1882" spans="4:92" x14ac:dyDescent="0.35">
      <c r="D1882">
        <v>3.1618200000000001</v>
      </c>
      <c r="E1882">
        <v>6.9415800000000001</v>
      </c>
      <c r="F1882">
        <v>6.1578499999999998</v>
      </c>
      <c r="G1882">
        <v>6.7282099999999998</v>
      </c>
      <c r="I1882">
        <v>3.1618200000000001</v>
      </c>
      <c r="J1882">
        <f t="shared" si="202"/>
        <v>1.2320227399528932E-2</v>
      </c>
      <c r="K1882">
        <v>3.2681189433116348E-2</v>
      </c>
      <c r="L1882">
        <v>2.2120154266427793E-2</v>
      </c>
      <c r="N1882">
        <v>3.1618200000000001</v>
      </c>
      <c r="O1882">
        <f t="shared" si="203"/>
        <v>3.2681189433116348E-2</v>
      </c>
      <c r="Q1882">
        <v>3.1618200000000001</v>
      </c>
      <c r="R1882">
        <f t="shared" si="204"/>
        <v>2.2120154266427793E-2</v>
      </c>
      <c r="CH1882">
        <v>2.9269099999999999</v>
      </c>
      <c r="CI1882">
        <v>11.888199999999999</v>
      </c>
      <c r="CJ1882">
        <f t="shared" si="205"/>
        <v>923.939075053485</v>
      </c>
      <c r="CL1882">
        <v>2.9269099999999999</v>
      </c>
      <c r="CM1882">
        <v>3.449E-2</v>
      </c>
      <c r="CN1882">
        <f t="shared" si="206"/>
        <v>2.6805284819059825</v>
      </c>
    </row>
    <row r="1883" spans="4:92" x14ac:dyDescent="0.35">
      <c r="D1883">
        <v>3.2027700000000001</v>
      </c>
      <c r="E1883">
        <v>6.2248099999999997</v>
      </c>
      <c r="F1883">
        <v>6.0781599999999996</v>
      </c>
      <c r="G1883">
        <v>6.3610800000000003</v>
      </c>
      <c r="I1883">
        <v>3.2027700000000001</v>
      </c>
      <c r="J1883">
        <f t="shared" si="202"/>
        <v>1.1048071868200279E-2</v>
      </c>
      <c r="K1883">
        <v>3.2258255456821851E-2</v>
      </c>
      <c r="L1883">
        <v>2.0913150882788809E-2</v>
      </c>
      <c r="N1883">
        <v>3.2027700000000001</v>
      </c>
      <c r="O1883">
        <f t="shared" si="203"/>
        <v>3.2258255456821851E-2</v>
      </c>
      <c r="Q1883">
        <v>3.2027700000000001</v>
      </c>
      <c r="R1883">
        <f t="shared" si="204"/>
        <v>2.0913150882788809E-2</v>
      </c>
      <c r="CH1883">
        <v>2.9648099999999999</v>
      </c>
      <c r="CI1883">
        <v>15.542</v>
      </c>
      <c r="CJ1883">
        <f t="shared" si="205"/>
        <v>1207.9087754648531</v>
      </c>
      <c r="CL1883">
        <v>2.9648099999999999</v>
      </c>
      <c r="CM1883">
        <v>3.499E-2</v>
      </c>
      <c r="CN1883">
        <f t="shared" si="206"/>
        <v>2.7193879843980957</v>
      </c>
    </row>
    <row r="1884" spans="4:92" x14ac:dyDescent="0.35">
      <c r="D1884">
        <v>3.2442500000000001</v>
      </c>
      <c r="E1884">
        <v>6.2313400000000003</v>
      </c>
      <c r="F1884">
        <v>5.8257500000000002</v>
      </c>
      <c r="G1884">
        <v>6.1828799999999999</v>
      </c>
      <c r="I1884">
        <v>3.2442500000000001</v>
      </c>
      <c r="J1884">
        <f t="shared" si="202"/>
        <v>1.1059661604963225E-2</v>
      </c>
      <c r="K1884">
        <v>3.0918654942874147E-2</v>
      </c>
      <c r="L1884">
        <v>2.0327287556543429E-2</v>
      </c>
      <c r="N1884">
        <v>3.2442500000000001</v>
      </c>
      <c r="O1884">
        <f t="shared" si="203"/>
        <v>3.0918654942874147E-2</v>
      </c>
      <c r="Q1884">
        <v>3.2442500000000001</v>
      </c>
      <c r="R1884">
        <f t="shared" si="204"/>
        <v>2.0327287556543429E-2</v>
      </c>
      <c r="CH1884">
        <v>3.0032100000000002</v>
      </c>
      <c r="CI1884">
        <v>17.7363</v>
      </c>
      <c r="CJ1884">
        <f t="shared" si="205"/>
        <v>1378.4475881017418</v>
      </c>
      <c r="CL1884">
        <v>3.0032100000000002</v>
      </c>
      <c r="CM1884">
        <v>3.2370000000000003E-2</v>
      </c>
      <c r="CN1884">
        <f t="shared" si="206"/>
        <v>2.515764191339422</v>
      </c>
    </row>
    <row r="1885" spans="4:92" x14ac:dyDescent="0.35">
      <c r="D1885">
        <v>3.28626</v>
      </c>
      <c r="E1885">
        <v>5.8427699999999998</v>
      </c>
      <c r="F1885">
        <v>5.6073599999999999</v>
      </c>
      <c r="G1885">
        <v>6.0251200000000003</v>
      </c>
      <c r="I1885">
        <v>3.28626</v>
      </c>
      <c r="J1885">
        <f t="shared" si="202"/>
        <v>1.037001014799882E-2</v>
      </c>
      <c r="K1885">
        <v>2.9759606742561003E-2</v>
      </c>
      <c r="L1885">
        <v>1.9808624266147969E-2</v>
      </c>
      <c r="N1885">
        <v>3.28626</v>
      </c>
      <c r="O1885">
        <f t="shared" si="203"/>
        <v>2.9759606742561003E-2</v>
      </c>
      <c r="Q1885">
        <v>3.28626</v>
      </c>
      <c r="R1885">
        <f t="shared" si="204"/>
        <v>1.9808624266147969E-2</v>
      </c>
      <c r="CH1885">
        <v>3.0421</v>
      </c>
      <c r="CI1885">
        <v>15.238300000000001</v>
      </c>
      <c r="CJ1885">
        <f t="shared" si="205"/>
        <v>1184.3055136511434</v>
      </c>
      <c r="CL1885">
        <v>3.0421</v>
      </c>
      <c r="CM1885">
        <v>3.3610000000000001E-2</v>
      </c>
      <c r="CN1885">
        <f t="shared" si="206"/>
        <v>2.6121357575198632</v>
      </c>
    </row>
    <row r="1886" spans="4:92" x14ac:dyDescent="0.35">
      <c r="D1886">
        <v>3.3288199999999999</v>
      </c>
      <c r="E1886">
        <v>5.6111899999999997</v>
      </c>
      <c r="F1886">
        <v>5.6774100000000001</v>
      </c>
      <c r="G1886">
        <v>5.4544100000000002</v>
      </c>
      <c r="I1886">
        <v>3.3288199999999999</v>
      </c>
      <c r="J1886">
        <f t="shared" si="202"/>
        <v>9.9589915814501523E-3</v>
      </c>
      <c r="K1886">
        <v>3.0131378922752108E-2</v>
      </c>
      <c r="L1886">
        <v>1.7932316415858962E-2</v>
      </c>
      <c r="N1886">
        <v>3.3288199999999999</v>
      </c>
      <c r="O1886">
        <f t="shared" si="203"/>
        <v>3.0131378922752108E-2</v>
      </c>
      <c r="Q1886">
        <v>3.3288199999999999</v>
      </c>
      <c r="R1886">
        <f t="shared" si="204"/>
        <v>1.7932316415858962E-2</v>
      </c>
      <c r="CH1886">
        <v>3.0815000000000001</v>
      </c>
      <c r="CI1886">
        <v>14.5335</v>
      </c>
      <c r="CJ1886">
        <f t="shared" si="205"/>
        <v>1129.5291589382603</v>
      </c>
      <c r="CL1886">
        <v>3.0815000000000001</v>
      </c>
      <c r="CM1886">
        <v>3.8249999999999999E-2</v>
      </c>
      <c r="CN1886">
        <f t="shared" si="206"/>
        <v>2.9727519406466754</v>
      </c>
    </row>
    <row r="1887" spans="4:92" x14ac:dyDescent="0.35">
      <c r="D1887">
        <v>3.3719299999999999</v>
      </c>
      <c r="E1887">
        <v>5.6284299999999998</v>
      </c>
      <c r="F1887">
        <v>5.5489800000000002</v>
      </c>
      <c r="G1887">
        <v>5.2311399999999999</v>
      </c>
      <c r="I1887">
        <v>3.3719299999999999</v>
      </c>
      <c r="J1887">
        <f t="shared" si="202"/>
        <v>9.9895899063801932E-3</v>
      </c>
      <c r="K1887">
        <v>2.9449770056200454E-2</v>
      </c>
      <c r="L1887">
        <v>1.7198277668099105E-2</v>
      </c>
      <c r="N1887">
        <v>3.3719299999999999</v>
      </c>
      <c r="O1887">
        <f t="shared" si="203"/>
        <v>2.9449770056200454E-2</v>
      </c>
      <c r="Q1887">
        <v>3.3719299999999999</v>
      </c>
      <c r="R1887">
        <f t="shared" si="204"/>
        <v>1.7198277668099105E-2</v>
      </c>
      <c r="CH1887">
        <v>3.1214</v>
      </c>
      <c r="CI1887">
        <v>13.622199999999999</v>
      </c>
      <c r="CJ1887">
        <f t="shared" si="205"/>
        <v>1058.7038296961343</v>
      </c>
      <c r="CL1887">
        <v>3.1214</v>
      </c>
      <c r="CM1887">
        <v>3.6850000000000001E-2</v>
      </c>
      <c r="CN1887">
        <f t="shared" si="206"/>
        <v>2.8639453336687577</v>
      </c>
    </row>
    <row r="1888" spans="4:92" x14ac:dyDescent="0.35">
      <c r="D1888">
        <v>3.4155899999999999</v>
      </c>
      <c r="E1888">
        <v>5.3372799999999998</v>
      </c>
      <c r="F1888">
        <v>4.7992699999999999</v>
      </c>
      <c r="G1888">
        <v>5.3102499999999999</v>
      </c>
      <c r="I1888">
        <v>3.4155899999999999</v>
      </c>
      <c r="J1888">
        <f t="shared" si="202"/>
        <v>9.4728438330981962E-3</v>
      </c>
      <c r="K1888">
        <v>2.5470878961110176E-2</v>
      </c>
      <c r="L1888">
        <v>1.7458365478083795E-2</v>
      </c>
      <c r="N1888">
        <v>3.4155899999999999</v>
      </c>
      <c r="O1888">
        <f t="shared" si="203"/>
        <v>2.5470878961110176E-2</v>
      </c>
      <c r="Q1888">
        <v>3.4155899999999999</v>
      </c>
      <c r="R1888">
        <f t="shared" si="204"/>
        <v>1.7458365478083795E-2</v>
      </c>
      <c r="CH1888">
        <v>3.1618200000000001</v>
      </c>
      <c r="CI1888">
        <v>12.254799999999999</v>
      </c>
      <c r="CJ1888">
        <f t="shared" si="205"/>
        <v>952.43086228070263</v>
      </c>
      <c r="CL1888">
        <v>3.1618200000000001</v>
      </c>
      <c r="CM1888">
        <v>4.002E-2</v>
      </c>
      <c r="CN1888">
        <f t="shared" si="206"/>
        <v>3.1103145794687568</v>
      </c>
    </row>
    <row r="1889" spans="4:92" x14ac:dyDescent="0.35">
      <c r="D1889">
        <v>3.4598200000000001</v>
      </c>
      <c r="E1889">
        <v>5.2242100000000002</v>
      </c>
      <c r="F1889">
        <v>5.3804499999999997</v>
      </c>
      <c r="G1889">
        <v>4.84382</v>
      </c>
      <c r="I1889">
        <v>3.4598200000000001</v>
      </c>
      <c r="J1889">
        <f t="shared" si="202"/>
        <v>9.2721621277710616E-3</v>
      </c>
      <c r="K1889">
        <v>2.8555340855235322E-2</v>
      </c>
      <c r="L1889">
        <v>1.5924896166856901E-2</v>
      </c>
      <c r="N1889">
        <v>3.4598200000000001</v>
      </c>
      <c r="O1889">
        <f t="shared" si="203"/>
        <v>2.8555340855235322E-2</v>
      </c>
      <c r="Q1889">
        <v>3.4598200000000001</v>
      </c>
      <c r="R1889">
        <f t="shared" si="204"/>
        <v>1.5924896166856901E-2</v>
      </c>
      <c r="CH1889">
        <v>3.2027700000000001</v>
      </c>
      <c r="CI1889">
        <v>11.6401</v>
      </c>
      <c r="CJ1889">
        <f t="shared" si="205"/>
        <v>904.6569899168984</v>
      </c>
      <c r="CL1889">
        <v>3.2027700000000001</v>
      </c>
      <c r="CM1889">
        <v>3.8219999999999997E-2</v>
      </c>
      <c r="CN1889">
        <f t="shared" si="206"/>
        <v>2.9704203704971484</v>
      </c>
    </row>
    <row r="1890" spans="4:92" x14ac:dyDescent="0.35">
      <c r="D1890">
        <v>3.5046300000000001</v>
      </c>
      <c r="E1890">
        <v>4.9940600000000002</v>
      </c>
      <c r="F1890">
        <v>5.3865100000000004</v>
      </c>
      <c r="G1890">
        <v>5.2604499999999996</v>
      </c>
      <c r="I1890">
        <v>3.5046300000000001</v>
      </c>
      <c r="J1890">
        <f t="shared" si="202"/>
        <v>8.86368158933434E-3</v>
      </c>
      <c r="K1890">
        <v>2.8587502731209032E-2</v>
      </c>
      <c r="L1890">
        <v>1.7294639363341819E-2</v>
      </c>
      <c r="N1890">
        <v>3.5046300000000001</v>
      </c>
      <c r="O1890">
        <f t="shared" si="203"/>
        <v>2.8587502731209032E-2</v>
      </c>
      <c r="Q1890">
        <v>3.5046300000000001</v>
      </c>
      <c r="R1890">
        <f t="shared" si="204"/>
        <v>1.7294639363341819E-2</v>
      </c>
      <c r="CH1890">
        <v>3.2442500000000001</v>
      </c>
      <c r="CI1890">
        <v>11.441000000000001</v>
      </c>
      <c r="CJ1890">
        <f t="shared" si="205"/>
        <v>889.18313602453895</v>
      </c>
      <c r="CL1890">
        <v>3.2442500000000001</v>
      </c>
      <c r="CM1890">
        <v>4.8619999999999997E-2</v>
      </c>
      <c r="CN1890">
        <f t="shared" si="206"/>
        <v>3.7786980223331068</v>
      </c>
    </row>
    <row r="1891" spans="4:92" x14ac:dyDescent="0.35">
      <c r="D1891">
        <v>3.5500099999999999</v>
      </c>
      <c r="E1891">
        <v>5.0109500000000002</v>
      </c>
      <c r="F1891">
        <v>5.1130199999999997</v>
      </c>
      <c r="G1891">
        <v>4.99939</v>
      </c>
      <c r="I1891">
        <v>3.5500099999999999</v>
      </c>
      <c r="J1891">
        <f t="shared" si="202"/>
        <v>8.8936587185726463E-3</v>
      </c>
      <c r="K1891">
        <v>2.7136025592587109E-2</v>
      </c>
      <c r="L1891">
        <v>1.6436359453411299E-2</v>
      </c>
      <c r="N1891">
        <v>3.5500099999999999</v>
      </c>
      <c r="O1891">
        <f t="shared" si="203"/>
        <v>2.7136025592587109E-2</v>
      </c>
      <c r="Q1891">
        <v>3.5500099999999999</v>
      </c>
      <c r="R1891">
        <f t="shared" si="204"/>
        <v>1.6436359453411299E-2</v>
      </c>
      <c r="CH1891">
        <v>3.28626</v>
      </c>
      <c r="CI1891">
        <v>10.7524</v>
      </c>
      <c r="CJ1891">
        <f t="shared" si="205"/>
        <v>835.66582919240022</v>
      </c>
      <c r="CL1891">
        <v>3.28626</v>
      </c>
      <c r="CM1891">
        <v>3.8429999999999999E-2</v>
      </c>
      <c r="CN1891">
        <f t="shared" si="206"/>
        <v>2.9867413615438361</v>
      </c>
    </row>
    <row r="1892" spans="4:92" x14ac:dyDescent="0.35">
      <c r="D1892">
        <v>3.59599</v>
      </c>
      <c r="E1892">
        <v>5.0745199999999997</v>
      </c>
      <c r="F1892">
        <v>4.3791399999999996</v>
      </c>
      <c r="G1892">
        <v>4.8425700000000003</v>
      </c>
      <c r="I1892">
        <v>3.59599</v>
      </c>
      <c r="J1892">
        <f t="shared" si="202"/>
        <v>9.0064856046400913E-3</v>
      </c>
      <c r="K1892">
        <v>2.3241148110807686E-2</v>
      </c>
      <c r="L1892">
        <v>1.5920786575623416E-2</v>
      </c>
      <c r="N1892">
        <v>3.59599</v>
      </c>
      <c r="O1892">
        <f t="shared" si="203"/>
        <v>2.3241148110807686E-2</v>
      </c>
      <c r="Q1892">
        <v>3.59599</v>
      </c>
      <c r="R1892">
        <f t="shared" si="204"/>
        <v>1.5920786575623416E-2</v>
      </c>
      <c r="CH1892">
        <v>3.3288199999999999</v>
      </c>
      <c r="CI1892">
        <v>10.721500000000001</v>
      </c>
      <c r="CJ1892">
        <f t="shared" si="205"/>
        <v>833.26431193838778</v>
      </c>
      <c r="CL1892">
        <v>3.3288199999999999</v>
      </c>
      <c r="CM1892">
        <v>3.916E-2</v>
      </c>
      <c r="CN1892">
        <f t="shared" si="206"/>
        <v>3.0434762351823217</v>
      </c>
    </row>
    <row r="1893" spans="4:92" x14ac:dyDescent="0.35">
      <c r="D1893">
        <v>3.64256</v>
      </c>
      <c r="E1893">
        <v>5.1252800000000001</v>
      </c>
      <c r="F1893">
        <v>4.0709999999999997</v>
      </c>
      <c r="G1893">
        <v>4.9926700000000004</v>
      </c>
      <c r="I1893">
        <v>3.64256</v>
      </c>
      <c r="J1893">
        <f t="shared" si="202"/>
        <v>9.0965767283900274E-3</v>
      </c>
      <c r="K1893">
        <v>2.1605775097187595E-2</v>
      </c>
      <c r="L1893">
        <v>1.6414266290940092E-2</v>
      </c>
      <c r="N1893">
        <v>3.64256</v>
      </c>
      <c r="O1893">
        <f t="shared" si="203"/>
        <v>2.1605775097187595E-2</v>
      </c>
      <c r="Q1893">
        <v>3.64256</v>
      </c>
      <c r="R1893">
        <f t="shared" si="204"/>
        <v>1.6414266290940092E-2</v>
      </c>
      <c r="CH1893">
        <v>3.3719299999999999</v>
      </c>
      <c r="CI1893">
        <v>9.8087999999999997</v>
      </c>
      <c r="CJ1893">
        <f t="shared" si="205"/>
        <v>762.3301760892839</v>
      </c>
      <c r="CL1893">
        <v>3.3719299999999999</v>
      </c>
      <c r="CM1893">
        <v>4.122E-2</v>
      </c>
      <c r="CN1893">
        <f t="shared" si="206"/>
        <v>3.2035773854498286</v>
      </c>
    </row>
    <row r="1894" spans="4:92" x14ac:dyDescent="0.35">
      <c r="D1894">
        <v>3.68973</v>
      </c>
      <c r="E1894">
        <v>5.0333500000000004</v>
      </c>
      <c r="F1894">
        <v>4.8564999999999996</v>
      </c>
      <c r="G1894">
        <v>5.0925399999999996</v>
      </c>
      <c r="I1894">
        <v>3.68973</v>
      </c>
      <c r="J1894">
        <f t="shared" si="202"/>
        <v>8.9334152428436984E-3</v>
      </c>
      <c r="K1894">
        <v>2.5774612321172084E-2</v>
      </c>
      <c r="L1894">
        <v>1.6742606192130471E-2</v>
      </c>
      <c r="N1894">
        <v>3.68973</v>
      </c>
      <c r="O1894">
        <f t="shared" si="203"/>
        <v>2.5774612321172084E-2</v>
      </c>
      <c r="Q1894">
        <v>3.68973</v>
      </c>
      <c r="R1894">
        <f t="shared" si="204"/>
        <v>1.6742606192130471E-2</v>
      </c>
      <c r="CH1894">
        <v>3.4155899999999999</v>
      </c>
      <c r="CI1894">
        <v>10.027699999999999</v>
      </c>
      <c r="CJ1894">
        <f t="shared" si="205"/>
        <v>779.34286628033112</v>
      </c>
      <c r="CL1894">
        <v>3.4155899999999999</v>
      </c>
      <c r="CM1894">
        <v>4.122E-2</v>
      </c>
      <c r="CN1894">
        <f t="shared" si="206"/>
        <v>3.2035773854498286</v>
      </c>
    </row>
    <row r="1895" spans="4:92" x14ac:dyDescent="0.35">
      <c r="D1895">
        <v>3.7375099999999999</v>
      </c>
      <c r="E1895">
        <v>5.28484</v>
      </c>
      <c r="F1895">
        <v>4.7873299999999999</v>
      </c>
      <c r="G1895">
        <v>5.4043700000000001</v>
      </c>
      <c r="I1895">
        <v>3.7375099999999999</v>
      </c>
      <c r="J1895">
        <f t="shared" si="202"/>
        <v>9.3797709700279303E-3</v>
      </c>
      <c r="K1895">
        <v>2.5407510512409505E-2</v>
      </c>
      <c r="L1895">
        <v>1.7767801259600157E-2</v>
      </c>
      <c r="N1895">
        <v>3.7375099999999999</v>
      </c>
      <c r="O1895">
        <f t="shared" si="203"/>
        <v>2.5407510512409505E-2</v>
      </c>
      <c r="Q1895">
        <v>3.7375099999999999</v>
      </c>
      <c r="R1895">
        <f t="shared" si="204"/>
        <v>1.7767801259600157E-2</v>
      </c>
      <c r="CH1895">
        <v>3.4598200000000001</v>
      </c>
      <c r="CI1895">
        <v>9.0600900000000006</v>
      </c>
      <c r="CJ1895">
        <f t="shared" si="205"/>
        <v>704.14117986754343</v>
      </c>
      <c r="CL1895">
        <v>3.4598200000000001</v>
      </c>
      <c r="CM1895">
        <v>4.0070000000000001E-2</v>
      </c>
      <c r="CN1895">
        <f t="shared" si="206"/>
        <v>3.114200529717968</v>
      </c>
    </row>
    <row r="1896" spans="4:92" x14ac:dyDescent="0.35">
      <c r="D1896">
        <v>3.7859099999999999</v>
      </c>
      <c r="E1896">
        <v>5.3949400000000001</v>
      </c>
      <c r="F1896">
        <v>4.3489199999999997</v>
      </c>
      <c r="G1896">
        <v>5.3591100000000003</v>
      </c>
      <c r="I1896">
        <v>3.7859099999999999</v>
      </c>
      <c r="J1896">
        <f t="shared" si="202"/>
        <v>9.5751813861994842E-3</v>
      </c>
      <c r="K1896">
        <v>2.308076331015993E-2</v>
      </c>
      <c r="L1896">
        <v>1.7619001180218193E-2</v>
      </c>
      <c r="N1896">
        <v>3.7859099999999999</v>
      </c>
      <c r="O1896">
        <f t="shared" si="203"/>
        <v>2.308076331015993E-2</v>
      </c>
      <c r="Q1896">
        <v>3.7859099999999999</v>
      </c>
      <c r="R1896">
        <f t="shared" si="204"/>
        <v>1.7619001180218193E-2</v>
      </c>
      <c r="CH1896">
        <v>3.5046300000000001</v>
      </c>
      <c r="CI1896">
        <v>9.1921700000000008</v>
      </c>
      <c r="CJ1896">
        <f t="shared" si="205"/>
        <v>714.40630604586022</v>
      </c>
      <c r="CL1896">
        <v>3.5046300000000001</v>
      </c>
      <c r="CM1896">
        <v>4.0969999999999999E-2</v>
      </c>
      <c r="CN1896">
        <f t="shared" si="206"/>
        <v>3.184147634203772</v>
      </c>
    </row>
    <row r="1897" spans="4:92" x14ac:dyDescent="0.35">
      <c r="D1897">
        <v>3.83494</v>
      </c>
      <c r="E1897">
        <v>5.3773299999999997</v>
      </c>
      <c r="F1897">
        <v>4.3071000000000002</v>
      </c>
      <c r="G1897">
        <v>5.3972499999999997</v>
      </c>
      <c r="I1897">
        <v>3.83494</v>
      </c>
      <c r="J1897">
        <f t="shared" si="202"/>
        <v>9.5439263686810365E-3</v>
      </c>
      <c r="K1897">
        <v>2.2858814522499805E-2</v>
      </c>
      <c r="L1897">
        <v>1.7744393027934232E-2</v>
      </c>
      <c r="N1897">
        <v>3.83494</v>
      </c>
      <c r="O1897">
        <f t="shared" si="203"/>
        <v>2.2858814522499805E-2</v>
      </c>
      <c r="Q1897">
        <v>3.83494</v>
      </c>
      <c r="R1897">
        <f t="shared" si="204"/>
        <v>1.7744393027934232E-2</v>
      </c>
      <c r="CH1897">
        <v>3.5500099999999999</v>
      </c>
      <c r="CI1897">
        <v>9.391</v>
      </c>
      <c r="CJ1897">
        <f t="shared" si="205"/>
        <v>729.85917580687396</v>
      </c>
      <c r="CL1897">
        <v>3.5500099999999999</v>
      </c>
      <c r="CM1897">
        <v>4.147E-2</v>
      </c>
      <c r="CN1897">
        <f t="shared" si="206"/>
        <v>3.2230071366958857</v>
      </c>
    </row>
    <row r="1898" spans="4:92" x14ac:dyDescent="0.35">
      <c r="D1898">
        <v>3.8845999999999998</v>
      </c>
      <c r="E1898">
        <v>5.7362000000000002</v>
      </c>
      <c r="F1898">
        <v>4.1694000000000004</v>
      </c>
      <c r="G1898">
        <v>5.3968699999999998</v>
      </c>
      <c r="I1898">
        <v>3.8845999999999998</v>
      </c>
      <c r="J1898">
        <f t="shared" si="202"/>
        <v>1.0180864934089625E-2</v>
      </c>
      <c r="K1898">
        <v>2.2128007538740842E-2</v>
      </c>
      <c r="L1898">
        <v>1.7743143712199254E-2</v>
      </c>
      <c r="N1898">
        <v>3.8845999999999998</v>
      </c>
      <c r="O1898">
        <f t="shared" si="203"/>
        <v>2.2128007538740842E-2</v>
      </c>
      <c r="Q1898">
        <v>3.8845999999999998</v>
      </c>
      <c r="R1898">
        <f t="shared" si="204"/>
        <v>1.7743143712199254E-2</v>
      </c>
      <c r="CH1898">
        <v>3.59599</v>
      </c>
      <c r="CI1898">
        <v>9.2065000000000001</v>
      </c>
      <c r="CJ1898">
        <f t="shared" si="205"/>
        <v>715.52001938728404</v>
      </c>
      <c r="CL1898">
        <v>3.59599</v>
      </c>
      <c r="CM1898">
        <v>4.2450000000000002E-2</v>
      </c>
      <c r="CN1898">
        <f t="shared" si="206"/>
        <v>3.2991717615804279</v>
      </c>
    </row>
    <row r="1899" spans="4:92" x14ac:dyDescent="0.35">
      <c r="D1899">
        <v>3.9349099999999999</v>
      </c>
      <c r="E1899">
        <v>5.6605100000000004</v>
      </c>
      <c r="F1899">
        <v>3.96163</v>
      </c>
      <c r="G1899">
        <v>5.14079</v>
      </c>
      <c r="I1899">
        <v>3.9349099999999999</v>
      </c>
      <c r="J1899">
        <f t="shared" si="202"/>
        <v>1.0046526928639809E-2</v>
      </c>
      <c r="K1899">
        <v>2.1025322229985582E-2</v>
      </c>
      <c r="L1899">
        <v>1.6901236413742929E-2</v>
      </c>
      <c r="N1899">
        <v>3.9349099999999999</v>
      </c>
      <c r="O1899">
        <f t="shared" si="203"/>
        <v>2.1025322229985582E-2</v>
      </c>
      <c r="Q1899">
        <v>3.9349099999999999</v>
      </c>
      <c r="R1899">
        <f t="shared" si="204"/>
        <v>1.6901236413742929E-2</v>
      </c>
      <c r="CH1899">
        <v>3.64256</v>
      </c>
      <c r="CI1899">
        <v>8.6479300000000006</v>
      </c>
      <c r="CJ1899">
        <f t="shared" si="205"/>
        <v>672.10851477324456</v>
      </c>
      <c r="CL1899">
        <v>3.64256</v>
      </c>
      <c r="CM1899">
        <v>4.0910000000000002E-2</v>
      </c>
      <c r="CN1899">
        <f t="shared" si="206"/>
        <v>3.1794844939047189</v>
      </c>
    </row>
    <row r="1900" spans="4:92" x14ac:dyDescent="0.35">
      <c r="D1900">
        <v>3.9858600000000002</v>
      </c>
      <c r="E1900">
        <v>5.9369699999999996</v>
      </c>
      <c r="F1900">
        <v>4.0909599999999999</v>
      </c>
      <c r="G1900">
        <v>5.5931699999999998</v>
      </c>
      <c r="I1900">
        <v>3.9858600000000002</v>
      </c>
      <c r="J1900">
        <f t="shared" si="202"/>
        <v>1.0537200531317263E-2</v>
      </c>
      <c r="K1900">
        <v>2.1711707612770956E-2</v>
      </c>
      <c r="L1900">
        <v>1.8388513919505474E-2</v>
      </c>
      <c r="N1900">
        <v>3.9858600000000002</v>
      </c>
      <c r="O1900">
        <f t="shared" si="203"/>
        <v>2.1711707612770956E-2</v>
      </c>
      <c r="Q1900">
        <v>3.9858600000000002</v>
      </c>
      <c r="R1900">
        <f t="shared" si="204"/>
        <v>1.8388513919505474E-2</v>
      </c>
      <c r="CH1900">
        <v>3.68973</v>
      </c>
      <c r="CI1900">
        <v>10.0402</v>
      </c>
      <c r="CJ1900">
        <f t="shared" si="205"/>
        <v>780.31435384263398</v>
      </c>
      <c r="CL1900">
        <v>3.68973</v>
      </c>
      <c r="CM1900">
        <v>3.6170000000000001E-2</v>
      </c>
      <c r="CN1900">
        <f t="shared" si="206"/>
        <v>2.8110964102794838</v>
      </c>
    </row>
    <row r="1901" spans="4:92" x14ac:dyDescent="0.35">
      <c r="D1901">
        <v>4.0374800000000004</v>
      </c>
      <c r="E1901">
        <v>5.7715100000000001</v>
      </c>
      <c r="F1901">
        <v>3.8123200000000002</v>
      </c>
      <c r="G1901">
        <v>5.4474600000000004</v>
      </c>
      <c r="I1901">
        <v>4.0374800000000004</v>
      </c>
      <c r="J1901">
        <f t="shared" si="202"/>
        <v>1.0243534705161539E-2</v>
      </c>
      <c r="K1901">
        <v>2.0232898186811645E-2</v>
      </c>
      <c r="L1901">
        <v>1.7909467088600795E-2</v>
      </c>
      <c r="N1901">
        <v>4.0374800000000004</v>
      </c>
      <c r="O1901">
        <f t="shared" si="203"/>
        <v>2.0232898186811645E-2</v>
      </c>
      <c r="Q1901">
        <v>4.0374800000000004</v>
      </c>
      <c r="R1901">
        <f t="shared" si="204"/>
        <v>1.7909467088600795E-2</v>
      </c>
      <c r="CH1901">
        <v>3.7375099999999999</v>
      </c>
      <c r="CI1901">
        <v>9.22776</v>
      </c>
      <c r="CJ1901">
        <f t="shared" si="205"/>
        <v>717.17232543324872</v>
      </c>
      <c r="CL1901">
        <v>3.7375099999999999</v>
      </c>
      <c r="CM1901">
        <v>3.984E-2</v>
      </c>
      <c r="CN1901">
        <f t="shared" si="206"/>
        <v>3.0963251585715961</v>
      </c>
    </row>
    <row r="1902" spans="4:92" x14ac:dyDescent="0.35">
      <c r="D1902">
        <v>4.0897699999999997</v>
      </c>
      <c r="E1902">
        <v>5.9683200000000003</v>
      </c>
      <c r="F1902">
        <v>3.5654499999999998</v>
      </c>
      <c r="G1902">
        <v>5.6062700000000003</v>
      </c>
      <c r="I1902">
        <v>4.0897699999999997</v>
      </c>
      <c r="J1902">
        <f t="shared" si="202"/>
        <v>1.0592841916848401E-2</v>
      </c>
      <c r="K1902">
        <v>1.8922699783902607E-2</v>
      </c>
      <c r="L1902">
        <v>1.8431582435632379E-2</v>
      </c>
      <c r="N1902">
        <v>4.0897699999999997</v>
      </c>
      <c r="O1902">
        <f t="shared" si="203"/>
        <v>1.8922699783902607E-2</v>
      </c>
      <c r="Q1902">
        <v>4.0897699999999997</v>
      </c>
      <c r="R1902">
        <f t="shared" si="204"/>
        <v>1.8431582435632379E-2</v>
      </c>
      <c r="CH1902">
        <v>3.7859099999999999</v>
      </c>
      <c r="CI1902">
        <v>8.6507299999999994</v>
      </c>
      <c r="CJ1902">
        <f t="shared" si="205"/>
        <v>672.32612798720027</v>
      </c>
      <c r="CL1902">
        <v>3.7859099999999999</v>
      </c>
      <c r="CM1902">
        <v>6.1670000000000003E-2</v>
      </c>
      <c r="CN1902">
        <f t="shared" si="206"/>
        <v>4.7929310373772669</v>
      </c>
    </row>
    <row r="1903" spans="4:92" x14ac:dyDescent="0.35">
      <c r="D1903">
        <v>4.1427300000000002</v>
      </c>
      <c r="E1903">
        <v>5.8832500000000003</v>
      </c>
      <c r="F1903">
        <v>3.5905300000000002</v>
      </c>
      <c r="G1903">
        <v>5.3354900000000001</v>
      </c>
      <c r="I1903">
        <v>4.1427300000000002</v>
      </c>
      <c r="J1903">
        <f t="shared" si="202"/>
        <v>1.044185586686008E-2</v>
      </c>
      <c r="K1903">
        <v>1.9055805369615569E-2</v>
      </c>
      <c r="L1903">
        <v>1.7541346344270292E-2</v>
      </c>
      <c r="N1903">
        <v>4.1427300000000002</v>
      </c>
      <c r="O1903">
        <f t="shared" si="203"/>
        <v>1.9055805369615569E-2</v>
      </c>
      <c r="Q1903">
        <v>4.1427300000000002</v>
      </c>
      <c r="R1903">
        <f t="shared" si="204"/>
        <v>1.7541346344270292E-2</v>
      </c>
      <c r="CH1903">
        <v>3.83494</v>
      </c>
      <c r="CI1903">
        <v>9.4232999999999993</v>
      </c>
      <c r="CJ1903">
        <f t="shared" si="205"/>
        <v>732.36949966786437</v>
      </c>
      <c r="CL1903">
        <v>3.83494</v>
      </c>
      <c r="CM1903">
        <v>3.6700000000000003E-2</v>
      </c>
      <c r="CN1903">
        <f t="shared" si="206"/>
        <v>2.852287482921124</v>
      </c>
    </row>
    <row r="1904" spans="4:92" x14ac:dyDescent="0.35">
      <c r="D1904">
        <v>4.1963800000000004</v>
      </c>
      <c r="E1904">
        <v>4.9222799999999998</v>
      </c>
      <c r="F1904">
        <v>3.6189800000000001</v>
      </c>
      <c r="G1904">
        <v>4.7648400000000004</v>
      </c>
      <c r="I1904">
        <v>4.1963800000000004</v>
      </c>
      <c r="J1904">
        <f t="shared" si="202"/>
        <v>8.7362832271836201E-3</v>
      </c>
      <c r="K1904">
        <v>1.9206796355003677E-2</v>
      </c>
      <c r="L1904">
        <v>1.5665235754360494E-2</v>
      </c>
      <c r="N1904">
        <v>4.1963800000000004</v>
      </c>
      <c r="O1904">
        <f t="shared" si="203"/>
        <v>1.9206796355003677E-2</v>
      </c>
      <c r="Q1904">
        <v>4.1963800000000004</v>
      </c>
      <c r="R1904">
        <f t="shared" si="204"/>
        <v>1.5665235754360494E-2</v>
      </c>
      <c r="CH1904">
        <v>3.8845999999999998</v>
      </c>
      <c r="CI1904">
        <v>9.3909699999999994</v>
      </c>
      <c r="CJ1904">
        <f t="shared" si="205"/>
        <v>729.85684423672433</v>
      </c>
      <c r="CL1904">
        <v>3.8845999999999998</v>
      </c>
      <c r="CM1904">
        <v>3.9849999999999997E-2</v>
      </c>
      <c r="CN1904">
        <f t="shared" si="206"/>
        <v>3.097102348621438</v>
      </c>
    </row>
    <row r="1905" spans="4:92" x14ac:dyDescent="0.35">
      <c r="D1905">
        <v>4.2507200000000003</v>
      </c>
      <c r="E1905">
        <v>4.4768400000000002</v>
      </c>
      <c r="F1905">
        <v>3.0292699999999999</v>
      </c>
      <c r="G1905">
        <v>4.3180399999999999</v>
      </c>
      <c r="I1905">
        <v>4.2507200000000003</v>
      </c>
      <c r="J1905">
        <f t="shared" si="202"/>
        <v>7.9456963445364171E-3</v>
      </c>
      <c r="K1905">
        <v>1.6077063701463393E-2</v>
      </c>
      <c r="L1905">
        <v>1.4196303463864215E-2</v>
      </c>
      <c r="N1905">
        <v>4.2507200000000003</v>
      </c>
      <c r="O1905">
        <f t="shared" si="203"/>
        <v>1.6077063701463393E-2</v>
      </c>
      <c r="Q1905">
        <v>4.2507200000000003</v>
      </c>
      <c r="R1905">
        <f t="shared" si="204"/>
        <v>1.4196303463864215E-2</v>
      </c>
      <c r="CH1905">
        <v>3.9349099999999999</v>
      </c>
      <c r="CI1905">
        <v>9.3641299999999994</v>
      </c>
      <c r="CJ1905">
        <f t="shared" si="205"/>
        <v>727.77086614294774</v>
      </c>
      <c r="CL1905">
        <v>3.9349099999999999</v>
      </c>
      <c r="CM1905">
        <v>3.8550000000000001E-2</v>
      </c>
      <c r="CN1905">
        <f t="shared" si="206"/>
        <v>2.9960676421419432</v>
      </c>
    </row>
    <row r="1906" spans="4:92" x14ac:dyDescent="0.35">
      <c r="D1906">
        <v>4.3057699999999999</v>
      </c>
      <c r="E1906">
        <v>4.4376300000000004</v>
      </c>
      <c r="F1906">
        <v>3.0096699999999998</v>
      </c>
      <c r="G1906">
        <v>4.3196300000000001</v>
      </c>
      <c r="I1906">
        <v>4.3057699999999999</v>
      </c>
      <c r="J1906">
        <f t="shared" si="202"/>
        <v>7.8761046786137417E-3</v>
      </c>
      <c r="K1906">
        <v>1.5973041792373518E-2</v>
      </c>
      <c r="L1906">
        <v>1.4201530863913207E-2</v>
      </c>
      <c r="N1906">
        <v>4.3057699999999999</v>
      </c>
      <c r="O1906">
        <f t="shared" si="203"/>
        <v>1.5973041792373518E-2</v>
      </c>
      <c r="Q1906">
        <v>4.3057699999999999</v>
      </c>
      <c r="R1906">
        <f t="shared" si="204"/>
        <v>1.4201530863913207E-2</v>
      </c>
      <c r="CH1906">
        <v>3.9858600000000002</v>
      </c>
      <c r="CI1906">
        <v>10.103199999999999</v>
      </c>
      <c r="CJ1906">
        <f t="shared" si="205"/>
        <v>785.21065115664021</v>
      </c>
      <c r="CL1906">
        <v>3.9858600000000002</v>
      </c>
      <c r="CM1906">
        <v>4.2810000000000001E-2</v>
      </c>
      <c r="CN1906">
        <f t="shared" si="206"/>
        <v>3.3271506033747493</v>
      </c>
    </row>
    <row r="1907" spans="4:92" x14ac:dyDescent="0.35">
      <c r="D1907">
        <v>4.3615300000000001</v>
      </c>
      <c r="E1907">
        <v>4.4562200000000001</v>
      </c>
      <c r="F1907">
        <v>2.9183699999999999</v>
      </c>
      <c r="G1907">
        <v>4.2271799999999997</v>
      </c>
      <c r="I1907">
        <v>4.3615300000000001</v>
      </c>
      <c r="J1907">
        <f t="shared" si="202"/>
        <v>7.9090990440690481E-3</v>
      </c>
      <c r="K1907">
        <v>1.5488490756664055E-2</v>
      </c>
      <c r="L1907">
        <v>1.3897585496284779E-2</v>
      </c>
      <c r="N1907">
        <v>4.3615300000000001</v>
      </c>
      <c r="O1907">
        <f t="shared" si="203"/>
        <v>1.5488490756664055E-2</v>
      </c>
      <c r="Q1907">
        <v>4.3615300000000001</v>
      </c>
      <c r="R1907">
        <f t="shared" si="204"/>
        <v>1.3897585496284779E-2</v>
      </c>
      <c r="CH1907">
        <v>4.0374800000000004</v>
      </c>
      <c r="CI1907">
        <v>9.6384699999999999</v>
      </c>
      <c r="CJ1907">
        <f t="shared" si="205"/>
        <v>749.09229797032049</v>
      </c>
      <c r="CL1907">
        <v>4.0374800000000004</v>
      </c>
      <c r="CM1907">
        <v>4.5539999999999997E-2</v>
      </c>
      <c r="CN1907">
        <f t="shared" si="206"/>
        <v>3.5393234869816883</v>
      </c>
    </row>
    <row r="1908" spans="4:92" x14ac:dyDescent="0.35">
      <c r="D1908">
        <v>4.4180099999999998</v>
      </c>
      <c r="E1908">
        <v>4.86747</v>
      </c>
      <c r="F1908">
        <v>2.9424999999999999</v>
      </c>
      <c r="G1908">
        <v>4.4200999999999997</v>
      </c>
      <c r="I1908">
        <v>4.4180099999999998</v>
      </c>
      <c r="J1908">
        <f t="shared" si="202"/>
        <v>8.6390039818578911E-3</v>
      </c>
      <c r="K1908">
        <v>1.5616554464130312E-2</v>
      </c>
      <c r="L1908">
        <v>1.453184336889566E-2</v>
      </c>
      <c r="N1908">
        <v>4.4180099999999998</v>
      </c>
      <c r="O1908">
        <f t="shared" si="203"/>
        <v>1.5616554464130312E-2</v>
      </c>
      <c r="Q1908">
        <v>4.4180099999999998</v>
      </c>
      <c r="R1908">
        <f t="shared" si="204"/>
        <v>1.453184336889566E-2</v>
      </c>
      <c r="CH1908">
        <v>4.0897699999999997</v>
      </c>
      <c r="CI1908">
        <v>8.8952899999999993</v>
      </c>
      <c r="CJ1908">
        <f t="shared" si="205"/>
        <v>691.3330878461428</v>
      </c>
      <c r="CL1908">
        <v>4.0897699999999997</v>
      </c>
      <c r="CM1908">
        <v>4.5699999999999998E-2</v>
      </c>
      <c r="CN1908">
        <f t="shared" si="206"/>
        <v>3.5517585277791648</v>
      </c>
    </row>
    <row r="1909" spans="4:92" x14ac:dyDescent="0.35">
      <c r="D1909">
        <v>4.4752299999999998</v>
      </c>
      <c r="E1909">
        <v>4.8408800000000003</v>
      </c>
      <c r="F1909">
        <v>2.55002</v>
      </c>
      <c r="G1909">
        <v>4.82796</v>
      </c>
      <c r="I1909">
        <v>4.4752299999999998</v>
      </c>
      <c r="J1909">
        <f t="shared" si="202"/>
        <v>8.5918108577343524E-3</v>
      </c>
      <c r="K1909">
        <v>1.3533568807008182E-2</v>
      </c>
      <c r="L1909">
        <v>1.5872753673286465E-2</v>
      </c>
      <c r="N1909">
        <v>4.4752299999999998</v>
      </c>
      <c r="O1909">
        <f t="shared" si="203"/>
        <v>1.3533568807008182E-2</v>
      </c>
      <c r="Q1909">
        <v>4.4752299999999998</v>
      </c>
      <c r="R1909">
        <f t="shared" si="204"/>
        <v>1.5872753673286465E-2</v>
      </c>
      <c r="CH1909">
        <v>4.1427300000000002</v>
      </c>
      <c r="CI1909">
        <v>8.4786900000000003</v>
      </c>
      <c r="CJ1909">
        <f t="shared" si="205"/>
        <v>658.95535036971398</v>
      </c>
      <c r="CL1909">
        <v>4.1427300000000002</v>
      </c>
      <c r="CM1909">
        <v>4.258E-2</v>
      </c>
      <c r="CN1909">
        <f t="shared" si="206"/>
        <v>3.3092752322283774</v>
      </c>
    </row>
    <row r="1910" spans="4:92" x14ac:dyDescent="0.35">
      <c r="D1910">
        <v>4.5331799999999998</v>
      </c>
      <c r="E1910">
        <v>4.89628</v>
      </c>
      <c r="F1910">
        <v>2.5179800000000001</v>
      </c>
      <c r="G1910">
        <v>4.5061400000000003</v>
      </c>
      <c r="I1910">
        <v>4.5331799999999998</v>
      </c>
      <c r="J1910">
        <f t="shared" si="202"/>
        <v>8.6901372615118648E-3</v>
      </c>
      <c r="K1910">
        <v>1.3363524829087798E-2</v>
      </c>
      <c r="L1910">
        <v>1.4814714752678787E-2</v>
      </c>
      <c r="N1910">
        <v>4.5331799999999998</v>
      </c>
      <c r="O1910">
        <f t="shared" si="203"/>
        <v>1.3363524829087798E-2</v>
      </c>
      <c r="Q1910">
        <v>4.5331799999999998</v>
      </c>
      <c r="R1910">
        <f t="shared" si="204"/>
        <v>1.4814714752678787E-2</v>
      </c>
      <c r="CH1910">
        <v>4.1963800000000004</v>
      </c>
      <c r="CI1910">
        <v>7.8081800000000001</v>
      </c>
      <c r="CJ1910">
        <f t="shared" si="205"/>
        <v>606.84398033774005</v>
      </c>
      <c r="CL1910">
        <v>4.1963800000000004</v>
      </c>
      <c r="CM1910">
        <v>4.0849999999999997E-2</v>
      </c>
      <c r="CN1910">
        <f t="shared" si="206"/>
        <v>3.1748213536056649</v>
      </c>
    </row>
    <row r="1911" spans="4:92" x14ac:dyDescent="0.35">
      <c r="D1911">
        <v>4.5918900000000002</v>
      </c>
      <c r="E1911">
        <v>4.9539099999999996</v>
      </c>
      <c r="F1911">
        <v>2.6624699999999999</v>
      </c>
      <c r="G1911">
        <v>4.6702399999999997</v>
      </c>
      <c r="I1911">
        <v>4.5918900000000002</v>
      </c>
      <c r="J1911">
        <f t="shared" si="202"/>
        <v>8.7924215692681447E-3</v>
      </c>
      <c r="K1911">
        <v>1.4130367974210037E-2</v>
      </c>
      <c r="L1911">
        <v>1.5354221889810473E-2</v>
      </c>
      <c r="N1911">
        <v>4.5918900000000002</v>
      </c>
      <c r="O1911">
        <f t="shared" si="203"/>
        <v>1.4130367974210037E-2</v>
      </c>
      <c r="Q1911">
        <v>4.5918900000000002</v>
      </c>
      <c r="R1911">
        <f t="shared" si="204"/>
        <v>1.5354221889810473E-2</v>
      </c>
      <c r="CH1911">
        <v>4.2507200000000003</v>
      </c>
      <c r="CI1911">
        <v>7.0844500000000004</v>
      </c>
      <c r="CJ1911">
        <f t="shared" si="205"/>
        <v>550.59640486050557</v>
      </c>
      <c r="CL1911">
        <v>4.2507200000000003</v>
      </c>
      <c r="CM1911">
        <v>4.6190000000000002E-2</v>
      </c>
      <c r="CN1911">
        <f t="shared" si="206"/>
        <v>3.5898408402214361</v>
      </c>
    </row>
    <row r="1912" spans="4:92" x14ac:dyDescent="0.35">
      <c r="D1912">
        <v>4.6513499999999999</v>
      </c>
      <c r="E1912">
        <v>4.6055200000000003</v>
      </c>
      <c r="F1912">
        <v>2.5745499999999999</v>
      </c>
      <c r="G1912">
        <v>4.53531</v>
      </c>
      <c r="I1912">
        <v>4.6513499999999999</v>
      </c>
      <c r="J1912">
        <f t="shared" si="202"/>
        <v>8.174083377714943E-3</v>
      </c>
      <c r="K1912">
        <v>1.3663755410578316E-2</v>
      </c>
      <c r="L1912">
        <v>1.4910616173703352E-2</v>
      </c>
      <c r="N1912">
        <v>4.6513499999999999</v>
      </c>
      <c r="O1912">
        <f t="shared" si="203"/>
        <v>1.3663755410578316E-2</v>
      </c>
      <c r="Q1912">
        <v>4.6513499999999999</v>
      </c>
      <c r="R1912">
        <f t="shared" si="204"/>
        <v>1.4910616173703352E-2</v>
      </c>
      <c r="CH1912">
        <v>4.3057699999999999</v>
      </c>
      <c r="CI1912">
        <v>6.7961400000000003</v>
      </c>
      <c r="CJ1912">
        <f t="shared" si="205"/>
        <v>528.18923853350316</v>
      </c>
      <c r="CL1912">
        <v>4.3057699999999999</v>
      </c>
      <c r="CM1912">
        <v>4.3830000000000001E-2</v>
      </c>
      <c r="CN1912">
        <f t="shared" si="206"/>
        <v>3.4064239884586609</v>
      </c>
    </row>
    <row r="1913" spans="4:92" x14ac:dyDescent="0.35">
      <c r="D1913">
        <v>4.7115900000000002</v>
      </c>
      <c r="E1913">
        <v>4.5914700000000002</v>
      </c>
      <c r="F1913">
        <v>2.5578400000000001</v>
      </c>
      <c r="G1913">
        <v>4.8410700000000002</v>
      </c>
      <c r="I1913">
        <v>4.7115900000000002</v>
      </c>
      <c r="J1913">
        <f t="shared" si="202"/>
        <v>8.1491468078038597E-3</v>
      </c>
      <c r="K1913">
        <v>1.357507142583894E-2</v>
      </c>
      <c r="L1913">
        <v>1.5915855066143236E-2</v>
      </c>
      <c r="N1913">
        <v>4.7115900000000002</v>
      </c>
      <c r="O1913">
        <f t="shared" si="203"/>
        <v>1.357507142583894E-2</v>
      </c>
      <c r="Q1913">
        <v>4.7115900000000002</v>
      </c>
      <c r="R1913">
        <f t="shared" si="204"/>
        <v>1.5915855066143236E-2</v>
      </c>
      <c r="CH1913">
        <v>4.3615300000000001</v>
      </c>
      <c r="CI1913">
        <v>7.2978899999999998</v>
      </c>
      <c r="CJ1913">
        <f t="shared" si="205"/>
        <v>567.18474928433898</v>
      </c>
      <c r="CL1913">
        <v>4.3615300000000001</v>
      </c>
      <c r="CM1913">
        <v>4.6789999999999998E-2</v>
      </c>
      <c r="CN1913">
        <f t="shared" si="206"/>
        <v>3.6364722432119718</v>
      </c>
    </row>
    <row r="1914" spans="4:92" x14ac:dyDescent="0.35">
      <c r="D1914">
        <v>4.7725999999999997</v>
      </c>
      <c r="E1914">
        <v>4.7703499999999996</v>
      </c>
      <c r="F1914">
        <v>2.4246799999999999</v>
      </c>
      <c r="G1914">
        <v>4.68302</v>
      </c>
      <c r="I1914">
        <v>4.7725999999999997</v>
      </c>
      <c r="J1914">
        <f t="shared" si="202"/>
        <v>8.4666310516255446E-3</v>
      </c>
      <c r="K1914">
        <v>1.2868359312858959E-2</v>
      </c>
      <c r="L1914">
        <v>1.5396238350581607E-2</v>
      </c>
      <c r="N1914">
        <v>4.7725999999999997</v>
      </c>
      <c r="O1914">
        <f t="shared" si="203"/>
        <v>1.2868359312858959E-2</v>
      </c>
      <c r="Q1914">
        <v>4.7725999999999997</v>
      </c>
      <c r="R1914">
        <f t="shared" si="204"/>
        <v>1.5396238350581607E-2</v>
      </c>
      <c r="CH1914">
        <v>4.4180099999999998</v>
      </c>
      <c r="CI1914">
        <v>7.0869799999999996</v>
      </c>
      <c r="CJ1914">
        <f t="shared" si="205"/>
        <v>550.79303394311569</v>
      </c>
      <c r="CL1914">
        <v>4.4180099999999998</v>
      </c>
      <c r="CM1914">
        <v>4.648E-2</v>
      </c>
      <c r="CN1914">
        <f t="shared" si="206"/>
        <v>3.6123793516668621</v>
      </c>
    </row>
    <row r="1915" spans="4:92" x14ac:dyDescent="0.35">
      <c r="D1915">
        <v>4.8344100000000001</v>
      </c>
      <c r="E1915">
        <v>4.33195</v>
      </c>
      <c r="F1915">
        <v>2.5075500000000002</v>
      </c>
      <c r="G1915">
        <v>4.3967700000000001</v>
      </c>
      <c r="I1915">
        <v>4.8344100000000001</v>
      </c>
      <c r="J1915">
        <f t="shared" si="202"/>
        <v>7.6885390766063865E-3</v>
      </c>
      <c r="K1915">
        <v>1.3308170313179258E-2</v>
      </c>
      <c r="L1915">
        <v>1.4455141958113928E-2</v>
      </c>
      <c r="N1915">
        <v>4.8344100000000001</v>
      </c>
      <c r="O1915">
        <f t="shared" si="203"/>
        <v>1.3308170313179258E-2</v>
      </c>
      <c r="Q1915">
        <v>4.8344100000000001</v>
      </c>
      <c r="R1915">
        <f t="shared" si="204"/>
        <v>1.4455141958113928E-2</v>
      </c>
      <c r="CH1915">
        <v>4.4752299999999998</v>
      </c>
      <c r="CI1915">
        <v>7.0115699999999999</v>
      </c>
      <c r="CJ1915">
        <f t="shared" si="205"/>
        <v>544.93224377725517</v>
      </c>
      <c r="CL1915">
        <v>4.4752299999999998</v>
      </c>
      <c r="CM1915">
        <v>5.1159999999999997E-2</v>
      </c>
      <c r="CN1915">
        <f t="shared" si="206"/>
        <v>3.9761042949930432</v>
      </c>
    </row>
    <row r="1916" spans="4:92" x14ac:dyDescent="0.35">
      <c r="D1916">
        <v>4.8970099999999999</v>
      </c>
      <c r="E1916">
        <v>3.6433800000000001</v>
      </c>
      <c r="F1916">
        <v>2.1771099999999999</v>
      </c>
      <c r="G1916">
        <v>3.8103799999999999</v>
      </c>
      <c r="I1916">
        <v>4.8970099999999999</v>
      </c>
      <c r="J1916">
        <f t="shared" si="202"/>
        <v>6.4664341695832546E-3</v>
      </c>
      <c r="K1916">
        <v>1.1554445841768136E-2</v>
      </c>
      <c r="L1916">
        <v>1.2527283395392106E-2</v>
      </c>
      <c r="N1916">
        <v>4.8970099999999999</v>
      </c>
      <c r="O1916">
        <f t="shared" si="203"/>
        <v>1.1554445841768136E-2</v>
      </c>
      <c r="Q1916">
        <v>4.8970099999999999</v>
      </c>
      <c r="R1916">
        <f t="shared" si="204"/>
        <v>1.2527283395392106E-2</v>
      </c>
      <c r="CH1916">
        <v>4.5331799999999998</v>
      </c>
      <c r="CI1916">
        <v>7.2907999999999999</v>
      </c>
      <c r="CJ1916">
        <f t="shared" si="205"/>
        <v>566.63372153900082</v>
      </c>
      <c r="CL1916">
        <v>4.5331799999999998</v>
      </c>
      <c r="CM1916">
        <v>4.8489999999999998E-2</v>
      </c>
      <c r="CN1916">
        <f t="shared" si="206"/>
        <v>3.7685945516851578</v>
      </c>
    </row>
    <row r="1917" spans="4:92" x14ac:dyDescent="0.35">
      <c r="D1917">
        <v>4.9604299999999997</v>
      </c>
      <c r="E1917">
        <v>3.9481000000000002</v>
      </c>
      <c r="F1917">
        <v>2.5057700000000001</v>
      </c>
      <c r="G1917">
        <v>4.07498</v>
      </c>
      <c r="I1917">
        <v>4.9604299999999997</v>
      </c>
      <c r="J1917">
        <f t="shared" si="202"/>
        <v>7.0072648872562416E-3</v>
      </c>
      <c r="K1917">
        <v>1.3298723425517016E-2</v>
      </c>
      <c r="L1917">
        <v>1.3397201667695853E-2</v>
      </c>
      <c r="N1917">
        <v>4.9604299999999997</v>
      </c>
      <c r="O1917">
        <f t="shared" si="203"/>
        <v>1.3298723425517016E-2</v>
      </c>
      <c r="Q1917">
        <v>4.9604299999999997</v>
      </c>
      <c r="R1917">
        <f t="shared" si="204"/>
        <v>1.3397201667695853E-2</v>
      </c>
      <c r="CH1917">
        <v>4.5918900000000002</v>
      </c>
      <c r="CI1917">
        <v>7.4286099999999999</v>
      </c>
      <c r="CJ1917">
        <f t="shared" si="205"/>
        <v>577.34417761587702</v>
      </c>
      <c r="CL1917">
        <v>4.5918900000000002</v>
      </c>
      <c r="CM1917">
        <v>5.4960000000000002E-2</v>
      </c>
      <c r="CN1917">
        <f t="shared" si="206"/>
        <v>4.2714365139331054</v>
      </c>
    </row>
    <row r="1918" spans="4:92" x14ac:dyDescent="0.35">
      <c r="D1918">
        <v>5.0246700000000004</v>
      </c>
      <c r="E1918">
        <v>3.6593200000000001</v>
      </c>
      <c r="F1918">
        <v>2.3165100000000001</v>
      </c>
      <c r="G1918">
        <v>3.60324</v>
      </c>
      <c r="I1918">
        <v>5.0246700000000004</v>
      </c>
      <c r="J1918">
        <f t="shared" si="202"/>
        <v>6.4947251962297076E-3</v>
      </c>
      <c r="K1918">
        <v>1.2294275133968569E-2</v>
      </c>
      <c r="L1918">
        <v>1.1846274812909119E-2</v>
      </c>
      <c r="N1918">
        <v>5.0246700000000004</v>
      </c>
      <c r="O1918">
        <f t="shared" si="203"/>
        <v>1.2294275133968569E-2</v>
      </c>
      <c r="Q1918">
        <v>5.0246700000000004</v>
      </c>
      <c r="R1918">
        <f t="shared" si="204"/>
        <v>1.1846274812909119E-2</v>
      </c>
      <c r="CH1918">
        <v>4.6513499999999999</v>
      </c>
      <c r="CI1918">
        <v>7.4770000000000003</v>
      </c>
      <c r="CJ1918">
        <f t="shared" si="205"/>
        <v>581.10500026706382</v>
      </c>
      <c r="CL1918">
        <v>4.6513499999999999</v>
      </c>
      <c r="CM1918">
        <v>5.2639999999999999E-2</v>
      </c>
      <c r="CN1918">
        <f t="shared" si="206"/>
        <v>4.0911284223696986</v>
      </c>
    </row>
    <row r="1919" spans="4:92" x14ac:dyDescent="0.35">
      <c r="D1919">
        <v>5.0897399999999999</v>
      </c>
      <c r="E1919">
        <v>4.1071499999999999</v>
      </c>
      <c r="F1919">
        <v>2.16778</v>
      </c>
      <c r="G1919">
        <v>3.30457</v>
      </c>
      <c r="I1919">
        <v>5.0897399999999999</v>
      </c>
      <c r="J1919">
        <f t="shared" si="202"/>
        <v>7.2895539580290448E-3</v>
      </c>
      <c r="K1919">
        <v>1.1504929290145254E-2</v>
      </c>
      <c r="L1919">
        <v>1.0864345521945552E-2</v>
      </c>
      <c r="N1919">
        <v>5.0897399999999999</v>
      </c>
      <c r="O1919">
        <f t="shared" si="203"/>
        <v>1.1504929290145254E-2</v>
      </c>
      <c r="Q1919">
        <v>5.0897399999999999</v>
      </c>
      <c r="R1919">
        <f t="shared" si="204"/>
        <v>1.0864345521945552E-2</v>
      </c>
      <c r="CH1919">
        <v>4.7115900000000002</v>
      </c>
      <c r="CI1919">
        <v>7.5582000000000003</v>
      </c>
      <c r="CJ1919">
        <f t="shared" si="205"/>
        <v>587.41578347178302</v>
      </c>
      <c r="CL1919">
        <v>4.7115900000000002</v>
      </c>
      <c r="CM1919">
        <v>6.0479999999999999E-2</v>
      </c>
      <c r="CN1919">
        <f t="shared" si="206"/>
        <v>4.7004454214460374</v>
      </c>
    </row>
    <row r="1920" spans="4:92" x14ac:dyDescent="0.35">
      <c r="D1920">
        <v>5.1556499999999996</v>
      </c>
      <c r="E1920">
        <v>3.69502</v>
      </c>
      <c r="F1920">
        <v>2.0839099999999999</v>
      </c>
      <c r="G1920">
        <v>3.50332</v>
      </c>
      <c r="I1920">
        <v>5.1556499999999996</v>
      </c>
      <c r="J1920">
        <f t="shared" si="202"/>
        <v>6.5580871567866962E-3</v>
      </c>
      <c r="K1920">
        <v>1.1059811049565268E-2</v>
      </c>
      <c r="L1920">
        <v>1.1517770528069397E-2</v>
      </c>
      <c r="N1920">
        <v>5.1556499999999996</v>
      </c>
      <c r="O1920">
        <f t="shared" si="203"/>
        <v>1.1059811049565268E-2</v>
      </c>
      <c r="Q1920">
        <v>5.1556499999999996</v>
      </c>
      <c r="R1920">
        <f t="shared" si="204"/>
        <v>1.1517770528069397E-2</v>
      </c>
      <c r="CH1920">
        <v>4.7725999999999997</v>
      </c>
      <c r="CI1920">
        <v>6.5345300000000002</v>
      </c>
      <c r="CJ1920">
        <f t="shared" si="205"/>
        <v>507.85716963957958</v>
      </c>
      <c r="CL1920">
        <v>4.7725999999999997</v>
      </c>
      <c r="CM1920">
        <v>5.6950000000000001E-2</v>
      </c>
      <c r="CN1920">
        <f t="shared" si="206"/>
        <v>4.4260973338517164</v>
      </c>
    </row>
    <row r="1921" spans="4:92" x14ac:dyDescent="0.35">
      <c r="D1921">
        <v>5.2224199999999996</v>
      </c>
      <c r="E1921">
        <v>3.5564</v>
      </c>
      <c r="F1921">
        <v>1.9703299999999999</v>
      </c>
      <c r="G1921">
        <v>3.22377</v>
      </c>
      <c r="I1921">
        <v>5.2224199999999996</v>
      </c>
      <c r="J1921">
        <f t="shared" si="202"/>
        <v>6.3120581659628925E-3</v>
      </c>
      <c r="K1921">
        <v>1.0457014700869967E-2</v>
      </c>
      <c r="L1921">
        <v>1.059870154461319E-2</v>
      </c>
      <c r="N1921">
        <v>5.2224199999999996</v>
      </c>
      <c r="O1921">
        <f t="shared" si="203"/>
        <v>1.0457014700869967E-2</v>
      </c>
      <c r="Q1921">
        <v>5.2224199999999996</v>
      </c>
      <c r="R1921">
        <f t="shared" si="204"/>
        <v>1.059870154461319E-2</v>
      </c>
      <c r="CH1921">
        <v>4.8344100000000001</v>
      </c>
      <c r="CI1921">
        <v>6.5873999999999997</v>
      </c>
      <c r="CJ1921">
        <f t="shared" si="205"/>
        <v>511.96617343309561</v>
      </c>
      <c r="CL1921">
        <v>4.8344100000000001</v>
      </c>
      <c r="CM1921">
        <v>6.4130000000000006E-2</v>
      </c>
      <c r="CN1921">
        <f t="shared" si="206"/>
        <v>4.9841197896384655</v>
      </c>
    </row>
    <row r="1922" spans="4:92" x14ac:dyDescent="0.35">
      <c r="D1922">
        <v>5.2900499999999999</v>
      </c>
      <c r="E1922">
        <v>3.4216700000000002</v>
      </c>
      <c r="F1922">
        <v>1.79708</v>
      </c>
      <c r="G1922">
        <v>3.3645700000000001</v>
      </c>
      <c r="I1922">
        <v>5.2900499999999999</v>
      </c>
      <c r="J1922">
        <f t="shared" si="202"/>
        <v>6.0729333215415173E-3</v>
      </c>
      <c r="K1922">
        <v>9.5375353258791169E-3</v>
      </c>
      <c r="L1922">
        <v>1.1061605901152752E-2</v>
      </c>
      <c r="N1922">
        <v>5.2900499999999999</v>
      </c>
      <c r="O1922">
        <f t="shared" si="203"/>
        <v>9.5375353258791169E-3</v>
      </c>
      <c r="Q1922">
        <v>5.2900499999999999</v>
      </c>
      <c r="R1922">
        <f t="shared" si="204"/>
        <v>1.1061605901152752E-2</v>
      </c>
      <c r="CH1922">
        <v>4.8970099999999999</v>
      </c>
      <c r="CI1922">
        <v>6.23285</v>
      </c>
      <c r="CJ1922">
        <f t="shared" si="205"/>
        <v>484.41090021593806</v>
      </c>
      <c r="CL1922">
        <v>4.8970099999999999</v>
      </c>
      <c r="CM1922">
        <v>5.8270000000000002E-2</v>
      </c>
      <c r="CN1922">
        <f t="shared" si="206"/>
        <v>4.5286864204308959</v>
      </c>
    </row>
    <row r="1923" spans="4:92" x14ac:dyDescent="0.35">
      <c r="D1923">
        <v>5.3585500000000001</v>
      </c>
      <c r="E1923">
        <v>2.6389200000000002</v>
      </c>
      <c r="F1923">
        <v>1.96377</v>
      </c>
      <c r="G1923">
        <v>2.48908</v>
      </c>
      <c r="I1923">
        <v>5.3585500000000001</v>
      </c>
      <c r="J1923">
        <f t="shared" si="202"/>
        <v>4.6836735280966135E-3</v>
      </c>
      <c r="K1923">
        <v>1.0422199204766419E-2</v>
      </c>
      <c r="L1923">
        <v>8.1832810779509085E-3</v>
      </c>
      <c r="N1923">
        <v>5.3585500000000001</v>
      </c>
      <c r="O1923">
        <f t="shared" si="203"/>
        <v>1.0422199204766419E-2</v>
      </c>
      <c r="Q1923">
        <v>5.3585500000000001</v>
      </c>
      <c r="R1923">
        <f t="shared" si="204"/>
        <v>8.1832810779509085E-3</v>
      </c>
      <c r="CH1923">
        <v>4.9604299999999997</v>
      </c>
      <c r="CI1923">
        <v>6.5749300000000002</v>
      </c>
      <c r="CJ1923">
        <f t="shared" si="205"/>
        <v>510.99701744094233</v>
      </c>
      <c r="CL1923">
        <v>4.9604299999999997</v>
      </c>
      <c r="CM1923">
        <v>6.3479999999999995E-2</v>
      </c>
      <c r="CN1923">
        <f t="shared" si="206"/>
        <v>4.9336024363987168</v>
      </c>
    </row>
    <row r="1924" spans="4:92" x14ac:dyDescent="0.35">
      <c r="D1924">
        <v>5.4279500000000001</v>
      </c>
      <c r="E1924">
        <v>2.6528700000000001</v>
      </c>
      <c r="F1924">
        <v>1.7280599999999999</v>
      </c>
      <c r="G1924">
        <v>2.8571800000000001</v>
      </c>
      <c r="I1924">
        <v>5.4279500000000001</v>
      </c>
      <c r="J1924">
        <f t="shared" ref="J1924:J1987" si="207">E1924/SUM($E$3:$E$2002)/$C$3</f>
        <v>4.7084326135243444E-3</v>
      </c>
      <c r="K1924">
        <v>9.1712296031554886E-3</v>
      </c>
      <c r="L1924">
        <v>9.3934735043870749E-3</v>
      </c>
      <c r="N1924">
        <v>5.4279500000000001</v>
      </c>
      <c r="O1924">
        <f t="shared" ref="O1924:O1987" si="208">F1924/SUM($F$3:$F$2002)/$C$3</f>
        <v>9.1712296031554886E-3</v>
      </c>
      <c r="Q1924">
        <v>5.4279500000000001</v>
      </c>
      <c r="R1924">
        <f t="shared" ref="R1924:R1987" si="209">G1924/SUM($G$3:$G$2002)/$C$3</f>
        <v>9.3934735043870749E-3</v>
      </c>
      <c r="CH1924">
        <v>5.0246700000000004</v>
      </c>
      <c r="CI1924">
        <v>6.5784099999999999</v>
      </c>
      <c r="CJ1924">
        <f t="shared" si="205"/>
        <v>511.26747957828746</v>
      </c>
      <c r="CL1924">
        <v>5.0246700000000004</v>
      </c>
      <c r="CM1924">
        <v>6.6839999999999997E-2</v>
      </c>
      <c r="CN1924">
        <f t="shared" si="206"/>
        <v>5.1947382931457193</v>
      </c>
    </row>
    <row r="1925" spans="4:92" x14ac:dyDescent="0.35">
      <c r="D1925">
        <v>5.49824</v>
      </c>
      <c r="E1925">
        <v>2.9817999999999998</v>
      </c>
      <c r="F1925">
        <v>1.73386</v>
      </c>
      <c r="G1925">
        <v>2.9067799999999999</v>
      </c>
      <c r="I1925">
        <v>5.49824</v>
      </c>
      <c r="J1925">
        <f t="shared" si="207"/>
        <v>5.2922323246170711E-3</v>
      </c>
      <c r="K1925">
        <v>9.2020115966616762E-3</v>
      </c>
      <c r="L1925">
        <v>9.5565420845316919E-3</v>
      </c>
      <c r="N1925">
        <v>5.49824</v>
      </c>
      <c r="O1925">
        <f t="shared" si="208"/>
        <v>9.2020115966616762E-3</v>
      </c>
      <c r="Q1925">
        <v>5.49824</v>
      </c>
      <c r="R1925">
        <f t="shared" si="209"/>
        <v>9.5565420845316919E-3</v>
      </c>
      <c r="CH1925">
        <v>5.0897399999999999</v>
      </c>
      <c r="CI1925">
        <v>5.8569100000000001</v>
      </c>
      <c r="CJ1925">
        <f t="shared" si="205"/>
        <v>455.19321748216782</v>
      </c>
      <c r="CL1925">
        <v>5.0897399999999999</v>
      </c>
      <c r="CM1925">
        <v>6.114E-2</v>
      </c>
      <c r="CN1925">
        <f t="shared" si="206"/>
        <v>4.7517399647356271</v>
      </c>
    </row>
    <row r="1926" spans="4:92" x14ac:dyDescent="0.35">
      <c r="D1926">
        <v>5.5694400000000002</v>
      </c>
      <c r="E1926">
        <v>2.7073800000000001</v>
      </c>
      <c r="F1926">
        <v>1.6789700000000001</v>
      </c>
      <c r="G1926">
        <v>2.7241</v>
      </c>
      <c r="I1926">
        <v>5.5694400000000002</v>
      </c>
      <c r="J1926">
        <f t="shared" si="207"/>
        <v>4.8051794054000153E-3</v>
      </c>
      <c r="K1926">
        <v>8.9106971788074328E-3</v>
      </c>
      <c r="L1926">
        <v>8.955949983305506E-3</v>
      </c>
      <c r="N1926">
        <v>5.5694400000000002</v>
      </c>
      <c r="O1926">
        <f t="shared" si="208"/>
        <v>8.9106971788074328E-3</v>
      </c>
      <c r="Q1926">
        <v>5.5694400000000002</v>
      </c>
      <c r="R1926">
        <f t="shared" si="209"/>
        <v>8.955949983305506E-3</v>
      </c>
      <c r="CH1926">
        <v>5.1556499999999996</v>
      </c>
      <c r="CI1926">
        <v>5.4456699999999998</v>
      </c>
      <c r="CJ1926">
        <f t="shared" si="205"/>
        <v>423.23205387245434</v>
      </c>
      <c r="CL1926">
        <v>5.1556499999999996</v>
      </c>
      <c r="CM1926">
        <v>6.7360000000000003E-2</v>
      </c>
      <c r="CN1926">
        <f t="shared" si="206"/>
        <v>5.2351521757375181</v>
      </c>
    </row>
    <row r="1927" spans="4:92" x14ac:dyDescent="0.35">
      <c r="D1927">
        <v>5.6415699999999998</v>
      </c>
      <c r="E1927">
        <v>2.8194699999999999</v>
      </c>
      <c r="F1927">
        <v>1.63127</v>
      </c>
      <c r="G1927">
        <v>2.4498099999999998</v>
      </c>
      <c r="I1927">
        <v>5.6415699999999998</v>
      </c>
      <c r="J1927">
        <f t="shared" si="207"/>
        <v>5.0041217627902921E-3</v>
      </c>
      <c r="K1927">
        <v>8.6575418184203414E-3</v>
      </c>
      <c r="L1927">
        <v>8.0541741597597964E-3</v>
      </c>
      <c r="N1927">
        <v>5.6415699999999998</v>
      </c>
      <c r="O1927">
        <f t="shared" si="208"/>
        <v>8.6575418184203414E-3</v>
      </c>
      <c r="Q1927">
        <v>5.6415699999999998</v>
      </c>
      <c r="R1927">
        <f t="shared" si="209"/>
        <v>8.0541741597597964E-3</v>
      </c>
      <c r="CH1927">
        <v>5.2224199999999996</v>
      </c>
      <c r="CI1927">
        <v>5.2488299999999999</v>
      </c>
      <c r="CJ1927">
        <f t="shared" si="205"/>
        <v>407.93384493135915</v>
      </c>
      <c r="CL1927">
        <v>5.2224199999999996</v>
      </c>
      <c r="CM1927">
        <v>6.7919999999999994E-2</v>
      </c>
      <c r="CN1927">
        <f t="shared" si="206"/>
        <v>5.2786748185286845</v>
      </c>
    </row>
    <row r="1928" spans="4:92" x14ac:dyDescent="0.35">
      <c r="D1928">
        <v>5.7146299999999997</v>
      </c>
      <c r="E1928">
        <v>2.5932200000000001</v>
      </c>
      <c r="F1928">
        <v>1.4950000000000001</v>
      </c>
      <c r="G1928">
        <v>2.4169999999999998</v>
      </c>
      <c r="I1928">
        <v>5.7146299999999997</v>
      </c>
      <c r="J1928">
        <f t="shared" si="207"/>
        <v>4.6025631192043344E-3</v>
      </c>
      <c r="K1928">
        <v>7.9343241882327328E-3</v>
      </c>
      <c r="L1928">
        <v>7.9463056090633265E-3</v>
      </c>
      <c r="N1928">
        <v>5.7146299999999997</v>
      </c>
      <c r="O1928">
        <f t="shared" si="208"/>
        <v>7.9343241882327328E-3</v>
      </c>
      <c r="Q1928">
        <v>5.7146299999999997</v>
      </c>
      <c r="R1928">
        <f t="shared" si="209"/>
        <v>7.9463056090633265E-3</v>
      </c>
      <c r="CH1928">
        <v>5.2900499999999999</v>
      </c>
      <c r="CI1928">
        <v>5.1294599999999999</v>
      </c>
      <c r="CJ1928">
        <f t="shared" si="205"/>
        <v>398.65652730639204</v>
      </c>
      <c r="CL1928">
        <v>5.2900499999999999</v>
      </c>
      <c r="CM1928">
        <v>7.6770000000000005E-2</v>
      </c>
      <c r="CN1928">
        <f t="shared" si="206"/>
        <v>5.9664880126390925</v>
      </c>
    </row>
    <row r="1929" spans="4:92" x14ac:dyDescent="0.35">
      <c r="D1929">
        <v>5.7886300000000004</v>
      </c>
      <c r="E1929">
        <v>2.5979299999999999</v>
      </c>
      <c r="F1929">
        <v>1.40022</v>
      </c>
      <c r="G1929">
        <v>2.3468599999999999</v>
      </c>
      <c r="I1929">
        <v>5.7886300000000004</v>
      </c>
      <c r="J1929">
        <f t="shared" si="207"/>
        <v>4.610922638370255E-3</v>
      </c>
      <c r="K1929">
        <v>7.4313039564195575E-3</v>
      </c>
      <c r="L1929">
        <v>7.7157082257701117E-3</v>
      </c>
      <c r="N1929">
        <v>5.7886300000000004</v>
      </c>
      <c r="O1929">
        <f t="shared" si="208"/>
        <v>7.4313039564195575E-3</v>
      </c>
      <c r="Q1929">
        <v>5.7886300000000004</v>
      </c>
      <c r="R1929">
        <f t="shared" si="209"/>
        <v>7.7157082257701117E-3</v>
      </c>
      <c r="CH1929">
        <v>5.3585500000000001</v>
      </c>
      <c r="CI1929">
        <v>4.2976599999999996</v>
      </c>
      <c r="CJ1929">
        <f t="shared" si="205"/>
        <v>334.00985896051213</v>
      </c>
      <c r="CL1929">
        <v>5.3585500000000001</v>
      </c>
      <c r="CM1929">
        <v>7.2220000000000006E-2</v>
      </c>
      <c r="CN1929">
        <f t="shared" si="206"/>
        <v>5.6128665399608604</v>
      </c>
    </row>
    <row r="1930" spans="4:92" x14ac:dyDescent="0.35">
      <c r="D1930">
        <v>5.8635900000000003</v>
      </c>
      <c r="E1930">
        <v>2.2191399999999999</v>
      </c>
      <c r="F1930">
        <v>1.2478400000000001</v>
      </c>
      <c r="G1930">
        <v>2.2380599999999999</v>
      </c>
      <c r="I1930">
        <v>5.8635900000000003</v>
      </c>
      <c r="J1930">
        <f t="shared" si="207"/>
        <v>3.938629163877768E-3</v>
      </c>
      <c r="K1930">
        <v>6.6225866856483842E-3</v>
      </c>
      <c r="L1930">
        <v>7.3580094048077242E-3</v>
      </c>
      <c r="N1930">
        <v>5.8635900000000003</v>
      </c>
      <c r="O1930">
        <f t="shared" si="208"/>
        <v>6.6225866856483842E-3</v>
      </c>
      <c r="Q1930">
        <v>5.8635900000000003</v>
      </c>
      <c r="R1930">
        <f t="shared" si="209"/>
        <v>7.3580094048077242E-3</v>
      </c>
      <c r="CH1930">
        <v>5.4279500000000001</v>
      </c>
      <c r="CI1930">
        <v>4.1960300000000004</v>
      </c>
      <c r="CJ1930">
        <f t="shared" ref="CJ1930:CJ1993" si="210">CI1930/$CG$9</f>
        <v>326.11127648396524</v>
      </c>
      <c r="CL1930">
        <v>5.4279500000000001</v>
      </c>
      <c r="CM1930">
        <v>6.5659999999999996E-2</v>
      </c>
      <c r="CN1930">
        <f t="shared" ref="CN1930:CN1993" si="211">CM1930/$CG$9</f>
        <v>5.1030298672643317</v>
      </c>
    </row>
    <row r="1931" spans="4:92" x14ac:dyDescent="0.35">
      <c r="D1931">
        <v>5.9395300000000004</v>
      </c>
      <c r="E1931">
        <v>2.1535199999999999</v>
      </c>
      <c r="F1931">
        <v>1.29826</v>
      </c>
      <c r="G1931">
        <v>2.0593400000000002</v>
      </c>
      <c r="I1931">
        <v>5.9395300000000004</v>
      </c>
      <c r="J1931">
        <f t="shared" si="207"/>
        <v>3.8221638459015883E-3</v>
      </c>
      <c r="K1931">
        <v>6.8901777395418244E-3</v>
      </c>
      <c r="L1931">
        <v>6.7704364886092159E-3</v>
      </c>
      <c r="N1931">
        <v>5.9395300000000004</v>
      </c>
      <c r="O1931">
        <f t="shared" si="208"/>
        <v>6.8901777395418244E-3</v>
      </c>
      <c r="Q1931">
        <v>5.9395300000000004</v>
      </c>
      <c r="R1931">
        <f t="shared" si="209"/>
        <v>6.7704364886092159E-3</v>
      </c>
      <c r="CH1931">
        <v>5.49824</v>
      </c>
      <c r="CI1931">
        <v>4.4300800000000002</v>
      </c>
      <c r="CJ1931">
        <f t="shared" si="210"/>
        <v>344.30140960052347</v>
      </c>
      <c r="CL1931">
        <v>5.49824</v>
      </c>
      <c r="CM1931">
        <v>7.9500000000000001E-2</v>
      </c>
      <c r="CN1931">
        <f t="shared" si="211"/>
        <v>6.178660896246031</v>
      </c>
    </row>
    <row r="1932" spans="4:92" x14ac:dyDescent="0.35">
      <c r="D1932">
        <v>6.0164499999999999</v>
      </c>
      <c r="E1932">
        <v>2.0204900000000001</v>
      </c>
      <c r="F1932">
        <v>1.17777</v>
      </c>
      <c r="G1932">
        <v>1.9314</v>
      </c>
      <c r="I1932">
        <v>6.0164499999999999</v>
      </c>
      <c r="J1932">
        <f t="shared" si="207"/>
        <v>3.5860562376972124E-3</v>
      </c>
      <c r="K1932">
        <v>6.2507083606520844E-3</v>
      </c>
      <c r="L1932">
        <v>6.3498116066797311E-3</v>
      </c>
      <c r="N1932">
        <v>6.0164499999999999</v>
      </c>
      <c r="O1932">
        <f t="shared" si="208"/>
        <v>6.2507083606520844E-3</v>
      </c>
      <c r="Q1932">
        <v>6.0164499999999999</v>
      </c>
      <c r="R1932">
        <f t="shared" si="209"/>
        <v>6.3498116066797311E-3</v>
      </c>
      <c r="CH1932">
        <v>5.5694400000000002</v>
      </c>
      <c r="CI1932">
        <v>4.0213700000000001</v>
      </c>
      <c r="CJ1932">
        <f t="shared" si="210"/>
        <v>312.53687507342016</v>
      </c>
      <c r="CL1932">
        <v>5.5694400000000002</v>
      </c>
      <c r="CM1932">
        <v>7.7359999999999998E-2</v>
      </c>
      <c r="CN1932">
        <f t="shared" si="211"/>
        <v>6.0123422255797854</v>
      </c>
    </row>
    <row r="1933" spans="4:92" x14ac:dyDescent="0.35">
      <c r="D1933">
        <v>6.09436</v>
      </c>
      <c r="E1933">
        <v>1.69156</v>
      </c>
      <c r="F1933">
        <v>1.2509399999999999</v>
      </c>
      <c r="G1933">
        <v>2.0571199999999998</v>
      </c>
      <c r="I1933">
        <v>6.09436</v>
      </c>
      <c r="J1933">
        <f t="shared" si="207"/>
        <v>3.0022565266044849E-3</v>
      </c>
      <c r="K1933">
        <v>6.6390391304534148E-3</v>
      </c>
      <c r="L1933">
        <v>6.7631378545785483E-3</v>
      </c>
      <c r="N1933">
        <v>6.09436</v>
      </c>
      <c r="O1933">
        <f t="shared" si="208"/>
        <v>6.6390391304534148E-3</v>
      </c>
      <c r="Q1933">
        <v>6.09436</v>
      </c>
      <c r="R1933">
        <f t="shared" si="209"/>
        <v>6.7631378545785483E-3</v>
      </c>
      <c r="CH1933">
        <v>5.6415699999999998</v>
      </c>
      <c r="CI1933">
        <v>3.8326899999999999</v>
      </c>
      <c r="CJ1933">
        <f t="shared" si="210"/>
        <v>297.87285321299623</v>
      </c>
      <c r="CL1933">
        <v>5.6415699999999998</v>
      </c>
      <c r="CM1933">
        <v>7.5600000000000001E-2</v>
      </c>
      <c r="CN1933">
        <f t="shared" si="211"/>
        <v>5.8755567768075467</v>
      </c>
    </row>
    <row r="1934" spans="4:92" x14ac:dyDescent="0.35">
      <c r="D1934">
        <v>6.1732800000000001</v>
      </c>
      <c r="E1934">
        <v>1.57548</v>
      </c>
      <c r="F1934">
        <v>1.15831</v>
      </c>
      <c r="G1934">
        <v>1.4821599999999999</v>
      </c>
      <c r="I1934">
        <v>6.1732800000000001</v>
      </c>
      <c r="J1934">
        <f t="shared" si="207"/>
        <v>2.7962325383284275E-3</v>
      </c>
      <c r="K1934">
        <v>6.1474294651985666E-3</v>
      </c>
      <c r="L1934">
        <v>4.8728573940956975E-3</v>
      </c>
      <c r="N1934">
        <v>6.1732800000000001</v>
      </c>
      <c r="O1934">
        <f t="shared" si="208"/>
        <v>6.1474294651985666E-3</v>
      </c>
      <c r="Q1934">
        <v>6.1732800000000001</v>
      </c>
      <c r="R1934">
        <f t="shared" si="209"/>
        <v>4.8728573940956975E-3</v>
      </c>
      <c r="CH1934">
        <v>5.7146299999999997</v>
      </c>
      <c r="CI1934">
        <v>3.2652800000000002</v>
      </c>
      <c r="CJ1934">
        <f t="shared" si="210"/>
        <v>253.77431259489612</v>
      </c>
      <c r="CL1934">
        <v>5.7146299999999997</v>
      </c>
      <c r="CM1934">
        <v>7.7350000000000002E-2</v>
      </c>
      <c r="CN1934">
        <f t="shared" si="211"/>
        <v>6.0115650355299435</v>
      </c>
    </row>
    <row r="1935" spans="4:92" x14ac:dyDescent="0.35">
      <c r="D1935">
        <v>6.2532300000000003</v>
      </c>
      <c r="E1935">
        <v>1.0682799999999999</v>
      </c>
      <c r="F1935">
        <v>1.1381399999999999</v>
      </c>
      <c r="G1935">
        <v>1.0260100000000001</v>
      </c>
      <c r="I1935">
        <v>6.2532300000000003</v>
      </c>
      <c r="J1935">
        <f t="shared" si="207"/>
        <v>1.8960312387624673E-3</v>
      </c>
      <c r="K1935">
        <v>6.0403824291606709E-3</v>
      </c>
      <c r="L1935">
        <v>3.3731853611729686E-3</v>
      </c>
      <c r="N1935">
        <v>6.2532300000000003</v>
      </c>
      <c r="O1935">
        <f t="shared" si="208"/>
        <v>6.0403824291606709E-3</v>
      </c>
      <c r="Q1935">
        <v>6.2532300000000003</v>
      </c>
      <c r="R1935">
        <f t="shared" si="209"/>
        <v>3.3731853611729686E-3</v>
      </c>
      <c r="CH1935">
        <v>5.7886300000000004</v>
      </c>
      <c r="CI1935">
        <v>3.3895400000000002</v>
      </c>
      <c r="CJ1935">
        <f t="shared" si="210"/>
        <v>263.43167615423613</v>
      </c>
      <c r="CL1935">
        <v>5.7886300000000004</v>
      </c>
      <c r="CM1935">
        <v>8.7840000000000001E-2</v>
      </c>
      <c r="CN1935">
        <f t="shared" si="211"/>
        <v>6.826837397814483</v>
      </c>
    </row>
    <row r="1936" spans="4:92" x14ac:dyDescent="0.35">
      <c r="D1936">
        <v>6.3342099999999997</v>
      </c>
      <c r="E1936">
        <v>1.6126</v>
      </c>
      <c r="F1936">
        <v>1.13656</v>
      </c>
      <c r="G1936">
        <v>1.42859</v>
      </c>
      <c r="I1936">
        <v>6.3342099999999997</v>
      </c>
      <c r="J1936">
        <f t="shared" si="207"/>
        <v>2.8621147785490276E-3</v>
      </c>
      <c r="K1936">
        <v>6.0319969895503657E-3</v>
      </c>
      <c r="L1936">
        <v>4.6967367521935375E-3</v>
      </c>
      <c r="N1936">
        <v>6.3342099999999997</v>
      </c>
      <c r="O1936">
        <f t="shared" si="208"/>
        <v>6.0319969895503657E-3</v>
      </c>
      <c r="Q1936">
        <v>6.3342099999999997</v>
      </c>
      <c r="R1936">
        <f t="shared" si="209"/>
        <v>4.6967367521935375E-3</v>
      </c>
      <c r="CH1936">
        <v>5.8635900000000003</v>
      </c>
      <c r="CI1936">
        <v>3.23102</v>
      </c>
      <c r="CJ1936">
        <f t="shared" si="210"/>
        <v>251.11165948413648</v>
      </c>
      <c r="CL1936">
        <v>5.8635900000000003</v>
      </c>
      <c r="CM1936">
        <v>9.4359999999999999E-2</v>
      </c>
      <c r="CN1936">
        <f t="shared" si="211"/>
        <v>7.3335653103116414</v>
      </c>
    </row>
    <row r="1937" spans="4:92" x14ac:dyDescent="0.35">
      <c r="D1937">
        <v>6.4162299999999997</v>
      </c>
      <c r="E1937">
        <v>1.71783</v>
      </c>
      <c r="F1937">
        <v>1.0618000000000001</v>
      </c>
      <c r="G1937">
        <v>1.6673</v>
      </c>
      <c r="I1937">
        <v>6.4162299999999997</v>
      </c>
      <c r="J1937">
        <f t="shared" si="207"/>
        <v>3.0488817003812944E-3</v>
      </c>
      <c r="K1937">
        <v>5.6352277077361315E-3</v>
      </c>
      <c r="L1937">
        <v>5.4815371708693784E-3</v>
      </c>
      <c r="N1937">
        <v>6.4162299999999997</v>
      </c>
      <c r="O1937">
        <f t="shared" si="208"/>
        <v>5.6352277077361315E-3</v>
      </c>
      <c r="Q1937">
        <v>6.4162299999999997</v>
      </c>
      <c r="R1937">
        <f t="shared" si="209"/>
        <v>5.4815371708693784E-3</v>
      </c>
      <c r="CH1937">
        <v>5.9395300000000004</v>
      </c>
      <c r="CI1937">
        <v>3.2016399999999998</v>
      </c>
      <c r="CJ1937">
        <f t="shared" si="210"/>
        <v>248.82827511769989</v>
      </c>
      <c r="CL1937">
        <v>5.9395300000000004</v>
      </c>
      <c r="CM1937">
        <v>8.3750000000000005E-2</v>
      </c>
      <c r="CN1937">
        <f t="shared" si="211"/>
        <v>6.5089666674289948</v>
      </c>
    </row>
    <row r="1938" spans="4:92" x14ac:dyDescent="0.35">
      <c r="D1938">
        <v>6.4993299999999996</v>
      </c>
      <c r="E1938">
        <v>1.9151400000000001</v>
      </c>
      <c r="F1938">
        <v>0.98600699999999997</v>
      </c>
      <c r="G1938">
        <v>1.54006</v>
      </c>
      <c r="I1938">
        <v>6.4993299999999996</v>
      </c>
      <c r="J1938">
        <f t="shared" si="207"/>
        <v>3.3990763344849215E-3</v>
      </c>
      <c r="K1938">
        <v>5.2329760467336398E-3</v>
      </c>
      <c r="L1938">
        <v>5.0632136600306443E-3</v>
      </c>
      <c r="N1938">
        <v>6.4993299999999996</v>
      </c>
      <c r="O1938">
        <f t="shared" si="208"/>
        <v>5.2329760467336398E-3</v>
      </c>
      <c r="Q1938">
        <v>6.4993299999999996</v>
      </c>
      <c r="R1938">
        <f t="shared" si="209"/>
        <v>5.0632136600306443E-3</v>
      </c>
      <c r="CH1938">
        <v>6.0164499999999999</v>
      </c>
      <c r="CI1938">
        <v>3.4836499999999999</v>
      </c>
      <c r="CJ1938">
        <f t="shared" si="210"/>
        <v>270.74581171330169</v>
      </c>
      <c r="CL1938">
        <v>6.0164499999999999</v>
      </c>
      <c r="CM1938">
        <v>8.77E-2</v>
      </c>
      <c r="CN1938">
        <f t="shared" si="211"/>
        <v>6.8159567371166911</v>
      </c>
    </row>
    <row r="1939" spans="4:92" x14ac:dyDescent="0.35">
      <c r="D1939">
        <v>6.5834900000000003</v>
      </c>
      <c r="E1939">
        <v>1.66873</v>
      </c>
      <c r="F1939">
        <v>0.954372</v>
      </c>
      <c r="G1939">
        <v>1.65534</v>
      </c>
      <c r="I1939">
        <v>6.5834900000000003</v>
      </c>
      <c r="J1939">
        <f t="shared" si="207"/>
        <v>2.9617368190550156E-3</v>
      </c>
      <c r="K1939">
        <v>5.0650815011184279E-3</v>
      </c>
      <c r="L1939">
        <v>5.44221660194741E-3</v>
      </c>
      <c r="N1939">
        <v>6.5834900000000003</v>
      </c>
      <c r="O1939">
        <f t="shared" si="208"/>
        <v>5.0650815011184279E-3</v>
      </c>
      <c r="Q1939">
        <v>6.5834900000000003</v>
      </c>
      <c r="R1939">
        <f t="shared" si="209"/>
        <v>5.44221660194741E-3</v>
      </c>
      <c r="CH1939">
        <v>6.09436</v>
      </c>
      <c r="CI1939">
        <v>3.1746699999999999</v>
      </c>
      <c r="CJ1939">
        <f t="shared" si="210"/>
        <v>246.73219355327529</v>
      </c>
      <c r="CL1939">
        <v>6.09436</v>
      </c>
      <c r="CM1939">
        <v>0.10914</v>
      </c>
      <c r="CN1939">
        <f t="shared" si="211"/>
        <v>8.4822522039785131</v>
      </c>
    </row>
    <row r="1940" spans="4:92" x14ac:dyDescent="0.35">
      <c r="D1940">
        <v>6.6687500000000002</v>
      </c>
      <c r="E1940">
        <v>1.7540500000000001</v>
      </c>
      <c r="F1940">
        <v>1.01997</v>
      </c>
      <c r="G1940">
        <v>1.5069999999999999</v>
      </c>
      <c r="I1940">
        <v>6.6687500000000002</v>
      </c>
      <c r="J1940">
        <f t="shared" si="207"/>
        <v>3.1131665802517187E-3</v>
      </c>
      <c r="K1940">
        <v>5.4132258476734052E-3</v>
      </c>
      <c r="L1940">
        <v>4.9545231910874772E-3</v>
      </c>
      <c r="N1940">
        <v>6.6687500000000002</v>
      </c>
      <c r="O1940">
        <f t="shared" si="208"/>
        <v>5.4132258476734052E-3</v>
      </c>
      <c r="Q1940">
        <v>6.6687500000000002</v>
      </c>
      <c r="R1940">
        <f t="shared" si="209"/>
        <v>4.9545231910874772E-3</v>
      </c>
      <c r="CH1940">
        <v>6.1732800000000001</v>
      </c>
      <c r="CI1940">
        <v>3.0349200000000001</v>
      </c>
      <c r="CJ1940">
        <f t="shared" si="210"/>
        <v>235.87096260672962</v>
      </c>
      <c r="CL1940">
        <v>6.1732800000000001</v>
      </c>
      <c r="CM1940">
        <v>8.2540000000000002E-2</v>
      </c>
      <c r="CN1940">
        <f t="shared" si="211"/>
        <v>6.4149266713980806</v>
      </c>
    </row>
    <row r="1941" spans="4:92" x14ac:dyDescent="0.35">
      <c r="D1941">
        <v>6.7551100000000002</v>
      </c>
      <c r="E1941">
        <v>1.4970600000000001</v>
      </c>
      <c r="F1941">
        <v>0.75793500000000003</v>
      </c>
      <c r="G1941">
        <v>1.76434</v>
      </c>
      <c r="I1941">
        <v>6.7551100000000002</v>
      </c>
      <c r="J1941">
        <f t="shared" si="207"/>
        <v>2.6570492064830749E-3</v>
      </c>
      <c r="K1941">
        <v>4.0225431462262056E-3</v>
      </c>
      <c r="L1941">
        <v>5.8005729575071538E-3</v>
      </c>
      <c r="N1941">
        <v>6.7551100000000002</v>
      </c>
      <c r="O1941">
        <f t="shared" si="208"/>
        <v>4.0225431462262056E-3</v>
      </c>
      <c r="Q1941">
        <v>6.7551100000000002</v>
      </c>
      <c r="R1941">
        <f t="shared" si="209"/>
        <v>5.8005729575071538E-3</v>
      </c>
      <c r="CH1941">
        <v>6.2532300000000003</v>
      </c>
      <c r="CI1941">
        <v>2.2061700000000002</v>
      </c>
      <c r="CJ1941">
        <f t="shared" si="210"/>
        <v>171.46133722605165</v>
      </c>
      <c r="CL1941">
        <v>6.2532300000000003</v>
      </c>
      <c r="CM1941">
        <v>9.9279999999999993E-2</v>
      </c>
      <c r="CN1941">
        <f t="shared" si="211"/>
        <v>7.7159428148340368</v>
      </c>
    </row>
    <row r="1942" spans="4:92" x14ac:dyDescent="0.35">
      <c r="D1942">
        <v>6.8425900000000004</v>
      </c>
      <c r="E1942">
        <v>1.41066</v>
      </c>
      <c r="F1942">
        <v>0.86071699999999995</v>
      </c>
      <c r="G1942">
        <v>1.1470199999999999</v>
      </c>
      <c r="I1942">
        <v>6.8425900000000004</v>
      </c>
      <c r="J1942">
        <f t="shared" si="207"/>
        <v>2.5037026128661606E-3</v>
      </c>
      <c r="K1942">
        <v>4.5680319145974006E-3</v>
      </c>
      <c r="L1942">
        <v>3.7710266693040204E-3</v>
      </c>
      <c r="N1942">
        <v>6.8425900000000004</v>
      </c>
      <c r="O1942">
        <f t="shared" si="208"/>
        <v>4.5680319145974006E-3</v>
      </c>
      <c r="Q1942">
        <v>6.8425900000000004</v>
      </c>
      <c r="R1942">
        <f t="shared" si="209"/>
        <v>3.7710266693040204E-3</v>
      </c>
      <c r="CH1942">
        <v>6.3342099999999997</v>
      </c>
      <c r="CI1942">
        <v>2.1611500000000001</v>
      </c>
      <c r="CJ1942">
        <f t="shared" si="210"/>
        <v>167.96242762166176</v>
      </c>
      <c r="CL1942">
        <v>6.3342099999999997</v>
      </c>
      <c r="CM1942">
        <v>0.11275</v>
      </c>
      <c r="CN1942">
        <f t="shared" si="211"/>
        <v>8.7628178119715727</v>
      </c>
    </row>
    <row r="1943" spans="4:92" x14ac:dyDescent="0.35">
      <c r="D1943">
        <v>6.9311999999999996</v>
      </c>
      <c r="E1943">
        <v>1.4963299999999999</v>
      </c>
      <c r="F1943">
        <v>0.73279700000000003</v>
      </c>
      <c r="G1943">
        <v>1.16954</v>
      </c>
      <c r="I1943">
        <v>6.9311999999999996</v>
      </c>
      <c r="J1943">
        <f t="shared" si="207"/>
        <v>2.6557535697545984E-3</v>
      </c>
      <c r="K1943">
        <v>3.8891297405781824E-3</v>
      </c>
      <c r="L1943">
        <v>3.8450650649664558E-3</v>
      </c>
      <c r="N1943">
        <v>6.9311999999999996</v>
      </c>
      <c r="O1943">
        <f t="shared" si="208"/>
        <v>3.8891297405781824E-3</v>
      </c>
      <c r="Q1943">
        <v>6.9311999999999996</v>
      </c>
      <c r="R1943">
        <f t="shared" si="209"/>
        <v>3.8450650649664558E-3</v>
      </c>
      <c r="CH1943">
        <v>6.4162299999999997</v>
      </c>
      <c r="CI1943">
        <v>2.7877000000000001</v>
      </c>
      <c r="CJ1943">
        <f t="shared" si="210"/>
        <v>216.65727019452908</v>
      </c>
      <c r="CL1943">
        <v>6.4162299999999997</v>
      </c>
      <c r="CM1943">
        <v>9.9169999999999994E-2</v>
      </c>
      <c r="CN1943">
        <f t="shared" si="211"/>
        <v>7.7073937242857715</v>
      </c>
    </row>
    <row r="1944" spans="4:92" x14ac:dyDescent="0.35">
      <c r="D1944">
        <v>7.0209599999999996</v>
      </c>
      <c r="E1944">
        <v>1.3898999999999999</v>
      </c>
      <c r="F1944">
        <v>0.65952900000000003</v>
      </c>
      <c r="G1944">
        <v>1.53423</v>
      </c>
      <c r="I1944">
        <v>7.0209599999999996</v>
      </c>
      <c r="J1944">
        <f t="shared" si="207"/>
        <v>2.4668568341220964E-3</v>
      </c>
      <c r="K1944">
        <v>3.5002788612314025E-3</v>
      </c>
      <c r="L1944">
        <v>5.0440465265176784E-3</v>
      </c>
      <c r="N1944">
        <v>7.0209599999999996</v>
      </c>
      <c r="O1944">
        <f t="shared" si="208"/>
        <v>3.5002788612314025E-3</v>
      </c>
      <c r="Q1944">
        <v>7.0209599999999996</v>
      </c>
      <c r="R1944">
        <f t="shared" si="209"/>
        <v>5.0440465265176784E-3</v>
      </c>
      <c r="CH1944">
        <v>6.4993299999999996</v>
      </c>
      <c r="CI1944">
        <v>2.2964099999999998</v>
      </c>
      <c r="CJ1944">
        <f t="shared" si="210"/>
        <v>178.47470023582827</v>
      </c>
      <c r="CL1944">
        <v>6.4993299999999996</v>
      </c>
      <c r="CM1944">
        <v>0.10267</v>
      </c>
      <c r="CN1944">
        <f t="shared" si="211"/>
        <v>7.9794102417305659</v>
      </c>
    </row>
    <row r="1945" spans="4:92" x14ac:dyDescent="0.35">
      <c r="D1945">
        <v>7.1118800000000002</v>
      </c>
      <c r="E1945">
        <v>1.44251</v>
      </c>
      <c r="F1945">
        <v>0.80817499999999998</v>
      </c>
      <c r="G1945">
        <v>1.3327599999999999</v>
      </c>
      <c r="I1945">
        <v>7.1118800000000002</v>
      </c>
      <c r="J1945">
        <f t="shared" si="207"/>
        <v>2.5602314208140625E-3</v>
      </c>
      <c r="K1945">
        <v>4.2891788968729026E-3</v>
      </c>
      <c r="L1945">
        <v>4.3816790498697718E-3</v>
      </c>
      <c r="N1945">
        <v>7.1118800000000002</v>
      </c>
      <c r="O1945">
        <f t="shared" si="208"/>
        <v>4.2891788968729026E-3</v>
      </c>
      <c r="Q1945">
        <v>7.1118800000000002</v>
      </c>
      <c r="R1945">
        <f t="shared" si="209"/>
        <v>4.3816790498697718E-3</v>
      </c>
      <c r="CH1945">
        <v>6.5834900000000003</v>
      </c>
      <c r="CI1945">
        <v>2.80315</v>
      </c>
      <c r="CJ1945">
        <f t="shared" si="210"/>
        <v>217.85802882153536</v>
      </c>
      <c r="CL1945">
        <v>6.5834900000000003</v>
      </c>
      <c r="CM1945">
        <v>0.11033999999999999</v>
      </c>
      <c r="CN1945">
        <f t="shared" si="211"/>
        <v>8.5755150099595845</v>
      </c>
    </row>
    <row r="1946" spans="4:92" x14ac:dyDescent="0.35">
      <c r="D1946">
        <v>7.2039799999999996</v>
      </c>
      <c r="E1946">
        <v>1.2535700000000001</v>
      </c>
      <c r="F1946">
        <v>0.68556499999999998</v>
      </c>
      <c r="G1946">
        <v>1.0202899999999999</v>
      </c>
      <c r="I1946">
        <v>7.2039799999999996</v>
      </c>
      <c r="J1946">
        <f t="shared" si="207"/>
        <v>2.2248922379670744E-3</v>
      </c>
      <c r="K1946">
        <v>3.6384581686326246E-3</v>
      </c>
      <c r="L1946">
        <v>3.3543798716885484E-3</v>
      </c>
      <c r="N1946">
        <v>7.2039799999999996</v>
      </c>
      <c r="O1946">
        <f t="shared" si="208"/>
        <v>3.6384581686326246E-3</v>
      </c>
      <c r="Q1946">
        <v>7.2039799999999996</v>
      </c>
      <c r="R1946">
        <f t="shared" si="209"/>
        <v>3.3543798716885484E-3</v>
      </c>
      <c r="CH1946">
        <v>6.6687500000000002</v>
      </c>
      <c r="CI1946">
        <v>2.5813799999999998</v>
      </c>
      <c r="CJ1946">
        <f t="shared" si="210"/>
        <v>200.62228508618338</v>
      </c>
      <c r="CL1946">
        <v>6.6687500000000002</v>
      </c>
      <c r="CM1946">
        <v>0.1187</v>
      </c>
      <c r="CN1946">
        <f t="shared" si="211"/>
        <v>9.225245891627722</v>
      </c>
    </row>
    <row r="1947" spans="4:92" x14ac:dyDescent="0.35">
      <c r="D1947">
        <v>7.2972700000000001</v>
      </c>
      <c r="E1947">
        <v>0.59892000000000001</v>
      </c>
      <c r="F1947">
        <v>0.58141900000000002</v>
      </c>
      <c r="G1947">
        <v>0.66391599999999995</v>
      </c>
      <c r="I1947">
        <v>7.2972700000000001</v>
      </c>
      <c r="J1947">
        <f t="shared" si="207"/>
        <v>1.0629900676972488E-3</v>
      </c>
      <c r="K1947">
        <v>3.0857303245472156E-3</v>
      </c>
      <c r="L1947">
        <v>2.182738698695444E-3</v>
      </c>
      <c r="N1947">
        <v>7.2972700000000001</v>
      </c>
      <c r="O1947">
        <f t="shared" si="208"/>
        <v>3.0857303245472156E-3</v>
      </c>
      <c r="Q1947">
        <v>7.2972700000000001</v>
      </c>
      <c r="R1947">
        <f t="shared" si="209"/>
        <v>2.182738698695444E-3</v>
      </c>
      <c r="CH1947">
        <v>6.7551100000000002</v>
      </c>
      <c r="CI1947">
        <v>2.20634</v>
      </c>
      <c r="CJ1947">
        <f t="shared" si="210"/>
        <v>171.47454945689896</v>
      </c>
      <c r="CL1947">
        <v>6.7551100000000002</v>
      </c>
      <c r="CM1947">
        <v>0.12496</v>
      </c>
      <c r="CN1947">
        <f t="shared" si="211"/>
        <v>9.7117668628289824</v>
      </c>
    </row>
    <row r="1948" spans="4:92" x14ac:dyDescent="0.35">
      <c r="D1948">
        <v>7.3917799999999998</v>
      </c>
      <c r="E1948">
        <v>0.569218</v>
      </c>
      <c r="F1948">
        <v>0.59646600000000005</v>
      </c>
      <c r="G1948">
        <v>0.64278500000000005</v>
      </c>
      <c r="I1948">
        <v>7.3917799999999998</v>
      </c>
      <c r="J1948">
        <f t="shared" si="207"/>
        <v>1.0102736264517675E-3</v>
      </c>
      <c r="K1948">
        <v>3.1655883687347328E-3</v>
      </c>
      <c r="L1948">
        <v>2.1132668808116553E-3</v>
      </c>
      <c r="N1948">
        <v>7.3917799999999998</v>
      </c>
      <c r="O1948">
        <f t="shared" si="208"/>
        <v>3.1655883687347328E-3</v>
      </c>
      <c r="Q1948">
        <v>7.3917799999999998</v>
      </c>
      <c r="R1948">
        <f t="shared" si="209"/>
        <v>2.1132668808116553E-3</v>
      </c>
      <c r="CH1948">
        <v>6.8425900000000004</v>
      </c>
      <c r="CI1948">
        <v>2.1596099999999998</v>
      </c>
      <c r="CJ1948">
        <f t="shared" si="210"/>
        <v>167.84274035398604</v>
      </c>
      <c r="CL1948">
        <v>6.8425900000000004</v>
      </c>
      <c r="CM1948">
        <v>0.12866</v>
      </c>
      <c r="CN1948">
        <f t="shared" si="211"/>
        <v>9.9993271812706208</v>
      </c>
    </row>
    <row r="1949" spans="4:92" x14ac:dyDescent="0.35">
      <c r="D1949">
        <v>7.4874999999999998</v>
      </c>
      <c r="E1949">
        <v>0.58636699999999997</v>
      </c>
      <c r="F1949">
        <v>0.53106500000000001</v>
      </c>
      <c r="G1949">
        <v>0.64140299999999995</v>
      </c>
      <c r="I1949">
        <v>7.4874999999999998</v>
      </c>
      <c r="J1949">
        <f t="shared" si="207"/>
        <v>1.0407104405019581E-3</v>
      </c>
      <c r="K1949">
        <v>2.8184895485109142E-3</v>
      </c>
      <c r="L1949">
        <v>2.1087233167439161E-3</v>
      </c>
      <c r="N1949">
        <v>7.4874999999999998</v>
      </c>
      <c r="O1949">
        <f t="shared" si="208"/>
        <v>2.8184895485109142E-3</v>
      </c>
      <c r="Q1949">
        <v>7.4874999999999998</v>
      </c>
      <c r="R1949">
        <f t="shared" si="209"/>
        <v>2.1087233167439161E-3</v>
      </c>
      <c r="CH1949">
        <v>6.9311999999999996</v>
      </c>
      <c r="CI1949">
        <v>2.1531400000000001</v>
      </c>
      <c r="CJ1949">
        <f t="shared" si="210"/>
        <v>167.3398983917381</v>
      </c>
      <c r="CL1949">
        <v>6.9311999999999996</v>
      </c>
      <c r="CM1949">
        <v>0.11914</v>
      </c>
      <c r="CN1949">
        <f t="shared" si="211"/>
        <v>9.2594422538207812</v>
      </c>
    </row>
    <row r="1950" spans="4:92" x14ac:dyDescent="0.35">
      <c r="D1950">
        <v>7.58446</v>
      </c>
      <c r="E1950">
        <v>0.56182200000000004</v>
      </c>
      <c r="F1950">
        <v>0.47298600000000002</v>
      </c>
      <c r="G1950">
        <v>0.58636200000000005</v>
      </c>
      <c r="I1950">
        <v>7.58446</v>
      </c>
      <c r="J1950">
        <f t="shared" si="207"/>
        <v>9.9714687406298624E-4</v>
      </c>
      <c r="K1950">
        <v>2.510250341468527E-3</v>
      </c>
      <c r="L1950">
        <v>1.9277665078781924E-3</v>
      </c>
      <c r="N1950">
        <v>7.58446</v>
      </c>
      <c r="O1950">
        <f t="shared" si="208"/>
        <v>2.510250341468527E-3</v>
      </c>
      <c r="Q1950">
        <v>7.58446</v>
      </c>
      <c r="R1950">
        <f t="shared" si="209"/>
        <v>1.9277665078781924E-3</v>
      </c>
      <c r="CH1950">
        <v>7.0209599999999996</v>
      </c>
      <c r="CI1950">
        <v>1.7448999999999999</v>
      </c>
      <c r="CJ1950">
        <f t="shared" si="210"/>
        <v>135.61189179697735</v>
      </c>
      <c r="CL1950">
        <v>7.0209599999999996</v>
      </c>
      <c r="CM1950">
        <v>0.12597</v>
      </c>
      <c r="CN1950">
        <f t="shared" si="211"/>
        <v>9.7902630578630507</v>
      </c>
    </row>
    <row r="1951" spans="4:92" x14ac:dyDescent="0.35">
      <c r="D1951">
        <v>7.6826800000000004</v>
      </c>
      <c r="E1951">
        <v>0.392897</v>
      </c>
      <c r="F1951">
        <v>0.466395</v>
      </c>
      <c r="G1951">
        <v>0.43809599999999999</v>
      </c>
      <c r="I1951">
        <v>7.6826800000000004</v>
      </c>
      <c r="J1951">
        <f t="shared" si="207"/>
        <v>6.973312105590829E-4</v>
      </c>
      <c r="K1951">
        <v>2.475270320916927E-3</v>
      </c>
      <c r="L1951">
        <v>1.4403163848192833E-3</v>
      </c>
      <c r="N1951">
        <v>7.6826800000000004</v>
      </c>
      <c r="O1951">
        <f t="shared" si="208"/>
        <v>2.475270320916927E-3</v>
      </c>
      <c r="Q1951">
        <v>7.6826800000000004</v>
      </c>
      <c r="R1951">
        <f t="shared" si="209"/>
        <v>1.4403163848192833E-3</v>
      </c>
      <c r="CH1951">
        <v>7.1118800000000002</v>
      </c>
      <c r="CI1951">
        <v>2.1325799999999999</v>
      </c>
      <c r="CJ1951">
        <f t="shared" si="210"/>
        <v>165.74199564926238</v>
      </c>
      <c r="CL1951">
        <v>7.1118800000000002</v>
      </c>
      <c r="CM1951">
        <v>0.13081999999999999</v>
      </c>
      <c r="CN1951">
        <f t="shared" si="211"/>
        <v>10.167200232036549</v>
      </c>
    </row>
    <row r="1952" spans="4:92" x14ac:dyDescent="0.35">
      <c r="D1952">
        <v>7.7821699999999998</v>
      </c>
      <c r="E1952">
        <v>0.50582300000000002</v>
      </c>
      <c r="F1952">
        <v>0.316245</v>
      </c>
      <c r="G1952">
        <v>0.48890600000000001</v>
      </c>
      <c r="I1952">
        <v>7.7821699999999998</v>
      </c>
      <c r="J1952">
        <f t="shared" si="207"/>
        <v>8.9775733823019017E-4</v>
      </c>
      <c r="K1952">
        <v>1.6783881959248565E-3</v>
      </c>
      <c r="L1952">
        <v>1.6073630492779128E-3</v>
      </c>
      <c r="N1952">
        <v>7.7821699999999998</v>
      </c>
      <c r="O1952">
        <f t="shared" si="208"/>
        <v>1.6783881959248565E-3</v>
      </c>
      <c r="Q1952">
        <v>7.7821699999999998</v>
      </c>
      <c r="R1952">
        <f t="shared" si="209"/>
        <v>1.6073630492779128E-3</v>
      </c>
      <c r="CH1952">
        <v>7.2039799999999996</v>
      </c>
      <c r="CI1952">
        <v>2.1982400000000002</v>
      </c>
      <c r="CJ1952">
        <f t="shared" si="210"/>
        <v>170.84502551652673</v>
      </c>
      <c r="CL1952">
        <v>7.2039799999999996</v>
      </c>
      <c r="CM1952">
        <v>0.12447</v>
      </c>
      <c r="CN1952">
        <f t="shared" si="211"/>
        <v>9.6736845503867102</v>
      </c>
    </row>
    <row r="1953" spans="4:92" x14ac:dyDescent="0.35">
      <c r="D1953">
        <v>7.8829500000000001</v>
      </c>
      <c r="E1953">
        <v>0.45640700000000001</v>
      </c>
      <c r="F1953">
        <v>0.51464100000000002</v>
      </c>
      <c r="G1953">
        <v>0.45814199999999999</v>
      </c>
      <c r="I1953">
        <v>7.8829500000000001</v>
      </c>
      <c r="J1953">
        <f t="shared" si="207"/>
        <v>8.1005160593651613E-4</v>
      </c>
      <c r="K1953">
        <v>2.7313234344858075E-3</v>
      </c>
      <c r="L1953">
        <v>1.5062210775124082E-3</v>
      </c>
      <c r="N1953">
        <v>7.8829500000000001</v>
      </c>
      <c r="O1953">
        <f t="shared" si="208"/>
        <v>2.7313234344858075E-3</v>
      </c>
      <c r="Q1953">
        <v>7.8829500000000001</v>
      </c>
      <c r="R1953">
        <f t="shared" si="209"/>
        <v>1.5062210775124082E-3</v>
      </c>
      <c r="CH1953">
        <v>7.2972700000000001</v>
      </c>
      <c r="CI1953">
        <v>1.3855200000000001</v>
      </c>
      <c r="CJ1953">
        <f t="shared" si="210"/>
        <v>107.68123578574593</v>
      </c>
      <c r="CL1953">
        <v>7.2972700000000001</v>
      </c>
      <c r="CM1953">
        <v>0.13375000000000001</v>
      </c>
      <c r="CN1953">
        <f t="shared" si="211"/>
        <v>10.394916916640335</v>
      </c>
    </row>
    <row r="1954" spans="4:92" x14ac:dyDescent="0.35">
      <c r="D1954">
        <v>7.9850399999999997</v>
      </c>
      <c r="E1954">
        <v>0.39672299999999999</v>
      </c>
      <c r="F1954">
        <v>0.39873999999999998</v>
      </c>
      <c r="G1954">
        <v>0.36296200000000001</v>
      </c>
      <c r="I1954">
        <v>7.9850399999999997</v>
      </c>
      <c r="J1954">
        <f t="shared" si="207"/>
        <v>7.0412176689216538E-4</v>
      </c>
      <c r="K1954">
        <v>2.1162089811477725E-3</v>
      </c>
      <c r="L1954">
        <v>1.1933003626300551E-3</v>
      </c>
      <c r="N1954">
        <v>7.9850399999999997</v>
      </c>
      <c r="O1954">
        <f t="shared" si="208"/>
        <v>2.1162089811477725E-3</v>
      </c>
      <c r="Q1954">
        <v>7.9850399999999997</v>
      </c>
      <c r="R1954">
        <f t="shared" si="209"/>
        <v>1.1933003626300551E-3</v>
      </c>
      <c r="CH1954">
        <v>7.3917799999999998</v>
      </c>
      <c r="CI1954">
        <v>1.1345499999999999</v>
      </c>
      <c r="CJ1954">
        <f t="shared" si="210"/>
        <v>88.17609710485452</v>
      </c>
      <c r="CL1954">
        <v>7.3917799999999998</v>
      </c>
      <c r="CM1954">
        <v>0.13270000000000001</v>
      </c>
      <c r="CN1954">
        <f t="shared" si="211"/>
        <v>10.313311961406898</v>
      </c>
    </row>
    <row r="1955" spans="4:92" x14ac:dyDescent="0.35">
      <c r="D1955">
        <v>8.0884499999999999</v>
      </c>
      <c r="E1955">
        <v>0.38168000000000002</v>
      </c>
      <c r="F1955">
        <v>0.443245</v>
      </c>
      <c r="G1955">
        <v>0.373305</v>
      </c>
      <c r="I1955">
        <v>8.0884499999999999</v>
      </c>
      <c r="J1955">
        <f t="shared" si="207"/>
        <v>6.7742277606138704E-4</v>
      </c>
      <c r="K1955">
        <v>2.3524077089051624E-3</v>
      </c>
      <c r="L1955">
        <v>1.2273047643323895E-3</v>
      </c>
      <c r="N1955">
        <v>8.0884499999999999</v>
      </c>
      <c r="O1955">
        <f t="shared" si="208"/>
        <v>2.3524077089051624E-3</v>
      </c>
      <c r="Q1955">
        <v>8.0884499999999999</v>
      </c>
      <c r="R1955">
        <f t="shared" si="209"/>
        <v>1.2273047643323895E-3</v>
      </c>
      <c r="CH1955">
        <v>7.4874999999999998</v>
      </c>
      <c r="CI1955">
        <v>1.0499000000000001</v>
      </c>
      <c r="CJ1955">
        <f t="shared" si="210"/>
        <v>81.597183332939721</v>
      </c>
      <c r="CL1955">
        <v>7.4874999999999998</v>
      </c>
      <c r="CM1955">
        <v>0.13911999999999999</v>
      </c>
      <c r="CN1955">
        <f t="shared" si="211"/>
        <v>10.812267973405632</v>
      </c>
    </row>
    <row r="1956" spans="4:92" x14ac:dyDescent="0.35">
      <c r="D1956">
        <v>8.1931899999999995</v>
      </c>
      <c r="E1956">
        <v>0.55608100000000005</v>
      </c>
      <c r="F1956">
        <v>0.360205</v>
      </c>
      <c r="G1956">
        <v>0.41649199999999997</v>
      </c>
      <c r="I1956">
        <v>8.1931899999999995</v>
      </c>
      <c r="J1956">
        <f t="shared" si="207"/>
        <v>9.8695748987369576E-4</v>
      </c>
      <c r="K1956">
        <v>1.9116944777407168E-3</v>
      </c>
      <c r="L1956">
        <v>1.3692894976127443E-3</v>
      </c>
      <c r="N1956">
        <v>8.1931899999999995</v>
      </c>
      <c r="O1956">
        <f t="shared" si="208"/>
        <v>1.9116944777407168E-3</v>
      </c>
      <c r="Q1956">
        <v>8.1931899999999995</v>
      </c>
      <c r="R1956">
        <f t="shared" si="209"/>
        <v>1.3692894976127443E-3</v>
      </c>
      <c r="CH1956">
        <v>7.58446</v>
      </c>
      <c r="CI1956">
        <v>1.20563</v>
      </c>
      <c r="CJ1956">
        <f t="shared" si="210"/>
        <v>93.700363979133357</v>
      </c>
      <c r="CL1956">
        <v>7.58446</v>
      </c>
      <c r="CM1956">
        <v>0.15079999999999999</v>
      </c>
      <c r="CN1956">
        <f t="shared" si="211"/>
        <v>11.720025951621402</v>
      </c>
    </row>
    <row r="1957" spans="4:92" x14ac:dyDescent="0.35">
      <c r="D1957">
        <v>8.2992899999999992</v>
      </c>
      <c r="E1957">
        <v>0.56337400000000004</v>
      </c>
      <c r="F1957">
        <v>0.35507499999999997</v>
      </c>
      <c r="G1957">
        <v>0.43819900000000001</v>
      </c>
      <c r="I1957">
        <v>8.2992899999999992</v>
      </c>
      <c r="J1957">
        <f t="shared" si="207"/>
        <v>9.9990143324462342E-4</v>
      </c>
      <c r="K1957">
        <v>1.8844683352085203E-3</v>
      </c>
      <c r="L1957">
        <v>1.4406550151369222E-3</v>
      </c>
      <c r="N1957">
        <v>8.2992899999999992</v>
      </c>
      <c r="O1957">
        <f t="shared" si="208"/>
        <v>1.8844683352085203E-3</v>
      </c>
      <c r="Q1957">
        <v>8.2992899999999992</v>
      </c>
      <c r="R1957">
        <f t="shared" si="209"/>
        <v>1.4406550151369222E-3</v>
      </c>
      <c r="CH1957">
        <v>7.6826800000000004</v>
      </c>
      <c r="CI1957">
        <v>0.95873699999999995</v>
      </c>
      <c r="CJ1957">
        <f t="shared" si="210"/>
        <v>74.512085681562652</v>
      </c>
      <c r="CL1957">
        <v>7.6826800000000004</v>
      </c>
      <c r="CM1957">
        <v>0.13266</v>
      </c>
      <c r="CN1957">
        <f t="shared" si="211"/>
        <v>10.310203201207528</v>
      </c>
    </row>
    <row r="1958" spans="4:92" x14ac:dyDescent="0.35">
      <c r="D1958">
        <v>8.4067699999999999</v>
      </c>
      <c r="E1958">
        <v>0.42834899999999998</v>
      </c>
      <c r="F1958">
        <v>0.35824699999999998</v>
      </c>
      <c r="G1958">
        <v>0.37174099999999999</v>
      </c>
      <c r="I1958">
        <v>8.4067699999999999</v>
      </c>
      <c r="J1958">
        <f t="shared" si="207"/>
        <v>7.6025300959735656E-4</v>
      </c>
      <c r="K1958">
        <v>1.9013029013122487E-3</v>
      </c>
      <c r="L1958">
        <v>1.222162843781055E-3</v>
      </c>
      <c r="N1958">
        <v>8.4067699999999999</v>
      </c>
      <c r="O1958">
        <f t="shared" si="208"/>
        <v>1.9013029013122487E-3</v>
      </c>
      <c r="Q1958">
        <v>8.4067699999999999</v>
      </c>
      <c r="R1958">
        <f t="shared" si="209"/>
        <v>1.222162843781055E-3</v>
      </c>
      <c r="CH1958">
        <v>7.7821699999999998</v>
      </c>
      <c r="CI1958">
        <v>0.99197400000000002</v>
      </c>
      <c r="CJ1958">
        <f t="shared" si="210"/>
        <v>77.095232250223404</v>
      </c>
      <c r="CL1958">
        <v>7.7821699999999998</v>
      </c>
      <c r="CM1958">
        <v>0.14882999999999999</v>
      </c>
      <c r="CN1958">
        <f t="shared" si="211"/>
        <v>11.566919511802475</v>
      </c>
    </row>
    <row r="1959" spans="4:92" x14ac:dyDescent="0.35">
      <c r="D1959">
        <v>8.5156399999999994</v>
      </c>
      <c r="E1959">
        <v>0.28192200000000001</v>
      </c>
      <c r="F1959">
        <v>0.32178000000000001</v>
      </c>
      <c r="G1959">
        <v>0.31780700000000001</v>
      </c>
      <c r="I1959">
        <v>8.5156399999999994</v>
      </c>
      <c r="J1959">
        <f t="shared" si="207"/>
        <v>5.0036780515819103E-4</v>
      </c>
      <c r="K1959">
        <v>1.7077637707622268E-3</v>
      </c>
      <c r="L1959">
        <v>1.0448454889117041E-3</v>
      </c>
      <c r="N1959">
        <v>8.5156399999999994</v>
      </c>
      <c r="O1959">
        <f t="shared" si="208"/>
        <v>1.7077637707622268E-3</v>
      </c>
      <c r="Q1959">
        <v>8.5156399999999994</v>
      </c>
      <c r="R1959">
        <f t="shared" si="209"/>
        <v>1.0448454889117041E-3</v>
      </c>
      <c r="CH1959">
        <v>7.8829500000000001</v>
      </c>
      <c r="CI1959">
        <v>0.78736099999999998</v>
      </c>
      <c r="CJ1959">
        <f t="shared" si="210"/>
        <v>61.192913483385801</v>
      </c>
      <c r="CL1959">
        <v>7.8829500000000001</v>
      </c>
      <c r="CM1959">
        <v>0.14137</v>
      </c>
      <c r="CN1959">
        <f t="shared" si="211"/>
        <v>10.987135734620143</v>
      </c>
    </row>
    <row r="1960" spans="4:92" x14ac:dyDescent="0.35">
      <c r="D1960">
        <v>8.6259200000000007</v>
      </c>
      <c r="E1960">
        <v>0.37772800000000001</v>
      </c>
      <c r="F1960">
        <v>0.32568999999999998</v>
      </c>
      <c r="G1960">
        <v>0.281887</v>
      </c>
      <c r="I1960">
        <v>8.6259200000000007</v>
      </c>
      <c r="J1960">
        <f t="shared" si="207"/>
        <v>6.7040858927928004E-4</v>
      </c>
      <c r="K1960">
        <v>1.7285150801776047E-3</v>
      </c>
      <c r="L1960">
        <v>9.2675227522632771E-4</v>
      </c>
      <c r="N1960">
        <v>8.6259200000000007</v>
      </c>
      <c r="O1960">
        <f t="shared" si="208"/>
        <v>1.7285150801776047E-3</v>
      </c>
      <c r="Q1960">
        <v>8.6259200000000007</v>
      </c>
      <c r="R1960">
        <f t="shared" si="209"/>
        <v>9.2675227522632771E-4</v>
      </c>
      <c r="CH1960">
        <v>7.9850399999999997</v>
      </c>
      <c r="CI1960">
        <v>0.653281</v>
      </c>
      <c r="CJ1960">
        <f t="shared" si="210"/>
        <v>50.772349295100668</v>
      </c>
      <c r="CL1960">
        <v>7.9850399999999997</v>
      </c>
      <c r="CM1960">
        <v>0.15715000000000001</v>
      </c>
      <c r="CN1960">
        <f t="shared" si="211"/>
        <v>12.213541633271243</v>
      </c>
    </row>
    <row r="1961" spans="4:92" x14ac:dyDescent="0.35">
      <c r="D1961">
        <v>8.7376199999999997</v>
      </c>
      <c r="E1961">
        <v>0.33576499999999998</v>
      </c>
      <c r="F1961">
        <v>0.27666600000000002</v>
      </c>
      <c r="G1961">
        <v>0.38786700000000002</v>
      </c>
      <c r="I1961">
        <v>8.7376199999999997</v>
      </c>
      <c r="J1961">
        <f t="shared" si="207"/>
        <v>5.9593077552989838E-4</v>
      </c>
      <c r="K1961">
        <v>1.4683329336866874E-3</v>
      </c>
      <c r="L1961">
        <v>1.2751798583659768E-3</v>
      </c>
      <c r="N1961">
        <v>8.7376199999999997</v>
      </c>
      <c r="O1961">
        <f t="shared" si="208"/>
        <v>1.4683329336866874E-3</v>
      </c>
      <c r="Q1961">
        <v>8.7376199999999997</v>
      </c>
      <c r="R1961">
        <f t="shared" si="209"/>
        <v>1.2751798583659768E-3</v>
      </c>
      <c r="CH1961">
        <v>8.0884499999999999</v>
      </c>
      <c r="CI1961">
        <v>0.67655900000000002</v>
      </c>
      <c r="CJ1961">
        <f t="shared" si="210"/>
        <v>52.581492293123503</v>
      </c>
      <c r="CL1961">
        <v>8.0884499999999999</v>
      </c>
      <c r="CM1961">
        <v>0.16614999999999999</v>
      </c>
      <c r="CN1961">
        <f t="shared" si="211"/>
        <v>12.913012678129283</v>
      </c>
    </row>
    <row r="1962" spans="4:92" x14ac:dyDescent="0.35">
      <c r="D1962">
        <v>8.8507800000000003</v>
      </c>
      <c r="E1962">
        <v>0.26457999999999998</v>
      </c>
      <c r="F1962">
        <v>0.26045800000000002</v>
      </c>
      <c r="G1962">
        <v>0.26044</v>
      </c>
      <c r="I1962">
        <v>8.8507800000000003</v>
      </c>
      <c r="J1962">
        <f t="shared" si="207"/>
        <v>4.6958844605512936E-4</v>
      </c>
      <c r="K1962">
        <v>1.3823131835576732E-3</v>
      </c>
      <c r="L1962">
        <v>8.5624155267871452E-4</v>
      </c>
      <c r="N1962">
        <v>8.8507800000000003</v>
      </c>
      <c r="O1962">
        <f t="shared" si="208"/>
        <v>1.3823131835576732E-3</v>
      </c>
      <c r="Q1962">
        <v>8.8507800000000003</v>
      </c>
      <c r="R1962">
        <f t="shared" si="209"/>
        <v>8.5624155267871452E-4</v>
      </c>
      <c r="CH1962">
        <v>8.1931899999999995</v>
      </c>
      <c r="CI1962">
        <v>0.70291999999999999</v>
      </c>
      <c r="CJ1962">
        <f t="shared" si="210"/>
        <v>54.630242983512701</v>
      </c>
      <c r="CL1962">
        <v>8.1931899999999995</v>
      </c>
      <c r="CM1962">
        <v>0.15790000000000001</v>
      </c>
      <c r="CN1962">
        <f t="shared" si="211"/>
        <v>12.271830887009413</v>
      </c>
    </row>
    <row r="1963" spans="4:92" x14ac:dyDescent="0.35">
      <c r="D1963">
        <v>8.9654000000000007</v>
      </c>
      <c r="E1963">
        <v>0.191718</v>
      </c>
      <c r="F1963">
        <v>0.182342</v>
      </c>
      <c r="G1963">
        <v>0.34947699999999998</v>
      </c>
      <c r="I1963">
        <v>8.9654000000000007</v>
      </c>
      <c r="J1963">
        <f t="shared" si="207"/>
        <v>3.4026970179453208E-4</v>
      </c>
      <c r="K1963">
        <v>9.6773280343192842E-4</v>
      </c>
      <c r="L1963">
        <v>1.1489660924032372E-3</v>
      </c>
      <c r="N1963">
        <v>8.9654000000000007</v>
      </c>
      <c r="O1963">
        <f t="shared" si="208"/>
        <v>9.6773280343192842E-4</v>
      </c>
      <c r="Q1963">
        <v>8.9654000000000007</v>
      </c>
      <c r="R1963">
        <f t="shared" si="209"/>
        <v>1.1489660924032372E-3</v>
      </c>
      <c r="CH1963">
        <v>8.2992899999999992</v>
      </c>
      <c r="CI1963">
        <v>0.99962799999999996</v>
      </c>
      <c r="CJ1963">
        <f t="shared" si="210"/>
        <v>77.690093514372663</v>
      </c>
      <c r="CL1963">
        <v>8.2992899999999992</v>
      </c>
      <c r="CM1963">
        <v>0.15795999999999999</v>
      </c>
      <c r="CN1963">
        <f t="shared" si="211"/>
        <v>12.276494027308464</v>
      </c>
    </row>
    <row r="1964" spans="4:92" x14ac:dyDescent="0.35">
      <c r="D1964">
        <v>9.0815000000000001</v>
      </c>
      <c r="E1964">
        <v>0.168068</v>
      </c>
      <c r="F1964">
        <v>0.16892599999999999</v>
      </c>
      <c r="G1964">
        <v>0.240034</v>
      </c>
      <c r="I1964">
        <v>9.0815000000000001</v>
      </c>
      <c r="J1964">
        <f t="shared" si="207"/>
        <v>2.9829462148156884E-4</v>
      </c>
      <c r="K1964">
        <v>8.9653086810796169E-4</v>
      </c>
      <c r="L1964">
        <v>7.8915329771034619E-4</v>
      </c>
      <c r="N1964">
        <v>9.0815000000000001</v>
      </c>
      <c r="O1964">
        <f t="shared" si="208"/>
        <v>8.9653086810796169E-4</v>
      </c>
      <c r="Q1964">
        <v>9.0815000000000001</v>
      </c>
      <c r="R1964">
        <f t="shared" si="209"/>
        <v>7.8915329771034619E-4</v>
      </c>
      <c r="CH1964">
        <v>8.4067699999999999</v>
      </c>
      <c r="CI1964">
        <v>1.1236200000000001</v>
      </c>
      <c r="CJ1964">
        <f t="shared" si="210"/>
        <v>87.326628380376931</v>
      </c>
      <c r="CL1964">
        <v>8.4067699999999999</v>
      </c>
      <c r="CM1964">
        <v>0.16641</v>
      </c>
      <c r="CN1964">
        <f t="shared" si="211"/>
        <v>12.933219619425183</v>
      </c>
    </row>
    <row r="1965" spans="4:92" x14ac:dyDescent="0.35">
      <c r="D1965">
        <v>9.1990999999999996</v>
      </c>
      <c r="E1965">
        <v>0.246369</v>
      </c>
      <c r="F1965">
        <v>0.194693</v>
      </c>
      <c r="G1965">
        <v>0.225329</v>
      </c>
      <c r="I1965">
        <v>9.1990999999999996</v>
      </c>
      <c r="J1965">
        <f t="shared" si="207"/>
        <v>4.3726674679173095E-4</v>
      </c>
      <c r="K1965">
        <v>1.0332825278793281E-3</v>
      </c>
      <c r="L1965">
        <v>7.4080806643964851E-4</v>
      </c>
      <c r="N1965">
        <v>9.1990999999999996</v>
      </c>
      <c r="O1965">
        <f t="shared" si="208"/>
        <v>1.0332825278793281E-3</v>
      </c>
      <c r="Q1965">
        <v>9.1990999999999996</v>
      </c>
      <c r="R1965">
        <f t="shared" si="209"/>
        <v>7.4080806643964851E-4</v>
      </c>
      <c r="CH1965">
        <v>8.5156399999999994</v>
      </c>
      <c r="CI1965">
        <v>0.56902200000000003</v>
      </c>
      <c r="CJ1965">
        <f t="shared" si="210"/>
        <v>44.223823654134705</v>
      </c>
      <c r="CL1965">
        <v>8.5156399999999994</v>
      </c>
      <c r="CM1965">
        <v>0.21346000000000001</v>
      </c>
      <c r="CN1965">
        <f t="shared" si="211"/>
        <v>16.589898803933053</v>
      </c>
    </row>
    <row r="1966" spans="4:92" x14ac:dyDescent="0.35">
      <c r="D1966">
        <v>9.3182299999999998</v>
      </c>
      <c r="E1966">
        <v>0.16670299999999999</v>
      </c>
      <c r="F1966">
        <v>0.13474</v>
      </c>
      <c r="G1966">
        <v>0.23574999999999999</v>
      </c>
      <c r="I1966">
        <v>9.3182299999999998</v>
      </c>
      <c r="J1966">
        <f t="shared" si="207"/>
        <v>2.9587195828380161E-4</v>
      </c>
      <c r="K1966">
        <v>7.1509755259028661E-4</v>
      </c>
      <c r="L1966">
        <v>7.7506890663495219E-4</v>
      </c>
      <c r="N1966">
        <v>9.3182299999999998</v>
      </c>
      <c r="O1966">
        <f t="shared" si="208"/>
        <v>7.1509755259028661E-4</v>
      </c>
      <c r="Q1966">
        <v>9.3182299999999998</v>
      </c>
      <c r="R1966">
        <f t="shared" si="209"/>
        <v>7.7506890663495219E-4</v>
      </c>
      <c r="CH1966">
        <v>8.6259200000000007</v>
      </c>
      <c r="CI1966">
        <v>0.69048900000000002</v>
      </c>
      <c r="CJ1966">
        <f t="shared" si="210"/>
        <v>53.66411803255378</v>
      </c>
      <c r="CL1966">
        <v>8.6259200000000007</v>
      </c>
      <c r="CM1966">
        <v>0.19455</v>
      </c>
      <c r="CN1966">
        <f t="shared" si="211"/>
        <v>15.120232419681324</v>
      </c>
    </row>
    <row r="1967" spans="4:92" x14ac:dyDescent="0.35">
      <c r="D1967">
        <v>9.4389099999999999</v>
      </c>
      <c r="E1967">
        <v>0.233518</v>
      </c>
      <c r="F1967">
        <v>0.16233400000000001</v>
      </c>
      <c r="G1967">
        <v>0.147006</v>
      </c>
      <c r="I1967">
        <v>9.4389099999999999</v>
      </c>
      <c r="J1967">
        <f t="shared" si="207"/>
        <v>4.1445821583604845E-4</v>
      </c>
      <c r="K1967">
        <v>8.6154554031610199E-4</v>
      </c>
      <c r="L1967">
        <v>4.8330765509555792E-4</v>
      </c>
      <c r="N1967">
        <v>9.4389099999999999</v>
      </c>
      <c r="O1967">
        <f t="shared" si="208"/>
        <v>8.6154554031610199E-4</v>
      </c>
      <c r="Q1967">
        <v>9.4389099999999999</v>
      </c>
      <c r="R1967">
        <f t="shared" si="209"/>
        <v>4.8330765509555792E-4</v>
      </c>
      <c r="CH1967">
        <v>8.7376199999999997</v>
      </c>
      <c r="CI1967">
        <v>0.47771200000000003</v>
      </c>
      <c r="CJ1967">
        <f t="shared" si="210"/>
        <v>37.127301309024958</v>
      </c>
      <c r="CL1967">
        <v>8.7376199999999997</v>
      </c>
      <c r="CM1967">
        <v>0.24501000000000001</v>
      </c>
      <c r="CN1967">
        <f t="shared" si="211"/>
        <v>19.041933411185411</v>
      </c>
    </row>
    <row r="1968" spans="4:92" x14ac:dyDescent="0.35">
      <c r="D1968">
        <v>9.56114</v>
      </c>
      <c r="E1968">
        <v>0.196794</v>
      </c>
      <c r="F1968">
        <v>6.6738500000000006E-2</v>
      </c>
      <c r="G1968">
        <v>0.202486</v>
      </c>
      <c r="I1968">
        <v>9.56114</v>
      </c>
      <c r="J1968">
        <f t="shared" si="207"/>
        <v>3.4927881416952581E-4</v>
      </c>
      <c r="K1968">
        <v>3.5419725407115073E-4</v>
      </c>
      <c r="L1968">
        <v>6.6570775240248111E-4</v>
      </c>
      <c r="N1968">
        <v>9.56114</v>
      </c>
      <c r="O1968">
        <f t="shared" si="208"/>
        <v>3.5419725407115073E-4</v>
      </c>
      <c r="Q1968">
        <v>9.56114</v>
      </c>
      <c r="R1968">
        <f t="shared" si="209"/>
        <v>6.6570775240248111E-4</v>
      </c>
      <c r="CH1968">
        <v>8.8507800000000003</v>
      </c>
      <c r="CI1968">
        <v>0.65338600000000002</v>
      </c>
      <c r="CJ1968">
        <f t="shared" si="210"/>
        <v>50.780509790624016</v>
      </c>
      <c r="CL1968">
        <v>8.8507800000000003</v>
      </c>
      <c r="CM1968">
        <v>0.28693999999999997</v>
      </c>
      <c r="CN1968">
        <f t="shared" si="211"/>
        <v>22.300691290174036</v>
      </c>
    </row>
    <row r="1969" spans="4:92" x14ac:dyDescent="0.35">
      <c r="D1969">
        <v>9.6849600000000002</v>
      </c>
      <c r="E1969">
        <v>0.163054</v>
      </c>
      <c r="F1969">
        <v>0.18244199999999999</v>
      </c>
      <c r="G1969">
        <v>0.17901500000000001</v>
      </c>
      <c r="I1969">
        <v>9.6849600000000002</v>
      </c>
      <c r="J1969">
        <f t="shared" si="207"/>
        <v>2.8939554948625393E-4</v>
      </c>
      <c r="K1969">
        <v>9.6826352745789715E-4</v>
      </c>
      <c r="L1969">
        <v>5.8854277972961177E-4</v>
      </c>
      <c r="N1969">
        <v>9.6849600000000002</v>
      </c>
      <c r="O1969">
        <f t="shared" si="208"/>
        <v>9.6826352745789715E-4</v>
      </c>
      <c r="Q1969">
        <v>9.6849600000000002</v>
      </c>
      <c r="R1969">
        <f t="shared" si="209"/>
        <v>5.8854277972961177E-4</v>
      </c>
      <c r="CH1969">
        <v>8.9654000000000007</v>
      </c>
      <c r="CI1969">
        <v>0.50756800000000002</v>
      </c>
      <c r="CJ1969">
        <f t="shared" si="210"/>
        <v>39.44767992183403</v>
      </c>
      <c r="CL1969">
        <v>8.9654000000000007</v>
      </c>
      <c r="CM1969">
        <v>0.23272999999999999</v>
      </c>
      <c r="CN1969">
        <f t="shared" si="211"/>
        <v>18.087544029979103</v>
      </c>
    </row>
    <row r="1970" spans="4:92" x14ac:dyDescent="0.35">
      <c r="D1970">
        <v>9.8103800000000003</v>
      </c>
      <c r="E1970">
        <v>0.205341</v>
      </c>
      <c r="F1970">
        <v>0.11158700000000001</v>
      </c>
      <c r="G1970">
        <v>0.12679099999999999</v>
      </c>
      <c r="I1970">
        <v>9.8103800000000003</v>
      </c>
      <c r="J1970">
        <f t="shared" si="207"/>
        <v>3.6444841296169898E-4</v>
      </c>
      <c r="K1970">
        <v>5.9221901885774322E-4</v>
      </c>
      <c r="L1970">
        <v>4.168473456676658E-4</v>
      </c>
      <c r="N1970">
        <v>9.8103800000000003</v>
      </c>
      <c r="O1970">
        <f t="shared" si="208"/>
        <v>5.9221901885774322E-4</v>
      </c>
      <c r="Q1970">
        <v>9.8103800000000003</v>
      </c>
      <c r="R1970">
        <f t="shared" si="209"/>
        <v>4.168473456676658E-4</v>
      </c>
      <c r="CH1970">
        <v>9.0815000000000001</v>
      </c>
      <c r="CI1970">
        <v>0.29370200000000002</v>
      </c>
      <c r="CJ1970">
        <f t="shared" si="210"/>
        <v>22.826227201877384</v>
      </c>
      <c r="CL1970">
        <v>9.0815000000000001</v>
      </c>
      <c r="CM1970">
        <v>0.22456000000000001</v>
      </c>
      <c r="CN1970">
        <f t="shared" si="211"/>
        <v>17.452579759257972</v>
      </c>
    </row>
    <row r="1971" spans="4:92" x14ac:dyDescent="0.35">
      <c r="D1971">
        <v>9.9374199999999995</v>
      </c>
      <c r="E1971">
        <v>0.149813</v>
      </c>
      <c r="F1971">
        <v>0.10691100000000001</v>
      </c>
      <c r="G1971">
        <v>0.130582</v>
      </c>
      <c r="I1971">
        <v>9.9374199999999995</v>
      </c>
      <c r="J1971">
        <f t="shared" si="207"/>
        <v>2.658948290454951E-4</v>
      </c>
      <c r="K1971">
        <v>5.6740236340344476E-4</v>
      </c>
      <c r="L1971">
        <v>4.2931091396057402E-4</v>
      </c>
      <c r="N1971">
        <v>9.9374199999999995</v>
      </c>
      <c r="O1971">
        <f t="shared" si="208"/>
        <v>5.6740236340344476E-4</v>
      </c>
      <c r="Q1971">
        <v>9.9374199999999995</v>
      </c>
      <c r="R1971">
        <f t="shared" si="209"/>
        <v>4.2931091396057402E-4</v>
      </c>
      <c r="CH1971">
        <v>9.1990999999999996</v>
      </c>
      <c r="CI1971">
        <v>0.35943599999999998</v>
      </c>
      <c r="CJ1971">
        <f t="shared" si="210"/>
        <v>27.935008275510544</v>
      </c>
      <c r="CL1971">
        <v>9.1990999999999996</v>
      </c>
      <c r="CM1971">
        <v>0.22725999999999999</v>
      </c>
      <c r="CN1971">
        <f t="shared" si="211"/>
        <v>17.662421072715382</v>
      </c>
    </row>
    <row r="1972" spans="4:92" x14ac:dyDescent="0.35">
      <c r="D1972">
        <v>10.0661</v>
      </c>
      <c r="E1972">
        <v>0.19115199999999999</v>
      </c>
      <c r="F1972">
        <v>0.120406</v>
      </c>
      <c r="G1972">
        <v>0.14141000000000001</v>
      </c>
      <c r="I1972">
        <v>10.0661</v>
      </c>
      <c r="J1972">
        <f t="shared" si="207"/>
        <v>3.392651396187546E-4</v>
      </c>
      <c r="K1972">
        <v>6.3902357070792673E-4</v>
      </c>
      <c r="L1972">
        <v>4.6490983706149987E-4</v>
      </c>
      <c r="N1972">
        <v>10.0661</v>
      </c>
      <c r="O1972">
        <f t="shared" si="208"/>
        <v>6.3902357070792673E-4</v>
      </c>
      <c r="Q1972">
        <v>10.0661</v>
      </c>
      <c r="R1972">
        <f t="shared" si="209"/>
        <v>4.6490983706149987E-4</v>
      </c>
      <c r="CH1972">
        <v>9.3182299999999998</v>
      </c>
      <c r="CI1972">
        <v>0.26292500000000002</v>
      </c>
      <c r="CJ1972">
        <f t="shared" si="210"/>
        <v>20.434269385477833</v>
      </c>
      <c r="CL1972">
        <v>9.3182299999999998</v>
      </c>
      <c r="CM1972">
        <v>0.24021000000000001</v>
      </c>
      <c r="CN1972">
        <f t="shared" si="211"/>
        <v>18.668882187261122</v>
      </c>
    </row>
    <row r="1973" spans="4:92" x14ac:dyDescent="0.35">
      <c r="D1973">
        <v>10.1965</v>
      </c>
      <c r="E1973">
        <v>6.8476499999999996E-2</v>
      </c>
      <c r="F1973">
        <v>0.100119</v>
      </c>
      <c r="G1973">
        <v>0.13583400000000001</v>
      </c>
      <c r="I1973">
        <v>10.1965</v>
      </c>
      <c r="J1973">
        <f t="shared" si="207"/>
        <v>1.2153516224315544E-4</v>
      </c>
      <c r="K1973">
        <v>5.3135558755964749E-4</v>
      </c>
      <c r="L1973">
        <v>4.4657777248717755E-4</v>
      </c>
      <c r="N1973">
        <v>10.1965</v>
      </c>
      <c r="O1973">
        <f t="shared" si="208"/>
        <v>5.3135558755964749E-4</v>
      </c>
      <c r="Q1973">
        <v>10.1965</v>
      </c>
      <c r="R1973">
        <f t="shared" si="209"/>
        <v>4.4657777248717755E-4</v>
      </c>
      <c r="CH1973">
        <v>9.4389099999999999</v>
      </c>
      <c r="CI1973">
        <v>0.372062</v>
      </c>
      <c r="CJ1973">
        <f t="shared" si="210"/>
        <v>28.916288432441394</v>
      </c>
      <c r="CL1973">
        <v>9.4389099999999999</v>
      </c>
      <c r="CM1973">
        <v>0.31157000000000001</v>
      </c>
      <c r="CN1973">
        <f t="shared" si="211"/>
        <v>24.214910382935546</v>
      </c>
    </row>
    <row r="1974" spans="4:92" x14ac:dyDescent="0.35">
      <c r="D1974">
        <v>10.3285</v>
      </c>
      <c r="E1974">
        <v>9.6333100000000005E-2</v>
      </c>
      <c r="F1974">
        <v>8.1740099999999996E-2</v>
      </c>
      <c r="G1974">
        <v>0.14278399999999999</v>
      </c>
      <c r="I1974">
        <v>10.3285</v>
      </c>
      <c r="J1974">
        <f t="shared" si="207"/>
        <v>1.7097630483284219E-4</v>
      </c>
      <c r="K1974">
        <v>4.3381434955087786E-4</v>
      </c>
      <c r="L1974">
        <v>4.694270997453447E-4</v>
      </c>
      <c r="N1974">
        <v>10.3285</v>
      </c>
      <c r="O1974">
        <f t="shared" si="208"/>
        <v>4.3381434955087786E-4</v>
      </c>
      <c r="Q1974">
        <v>10.3285</v>
      </c>
      <c r="R1974">
        <f t="shared" si="209"/>
        <v>4.694270997453447E-4</v>
      </c>
      <c r="CH1974">
        <v>9.56114</v>
      </c>
      <c r="CI1974">
        <v>0.412323</v>
      </c>
      <c r="CJ1974">
        <f t="shared" si="210"/>
        <v>32.045333292111351</v>
      </c>
      <c r="CL1974">
        <v>9.56114</v>
      </c>
      <c r="CM1974">
        <v>0.28648000000000001</v>
      </c>
      <c r="CN1974">
        <f t="shared" si="211"/>
        <v>22.264940547881295</v>
      </c>
    </row>
    <row r="1975" spans="4:92" x14ac:dyDescent="0.35">
      <c r="D1975">
        <v>10.462300000000001</v>
      </c>
      <c r="E1975">
        <v>0.101024</v>
      </c>
      <c r="F1975">
        <v>0.105016</v>
      </c>
      <c r="G1975">
        <v>7.7603800000000001E-2</v>
      </c>
      <c r="I1975">
        <v>10.462300000000001</v>
      </c>
      <c r="J1975">
        <f t="shared" si="207"/>
        <v>1.7930192446244384E-4</v>
      </c>
      <c r="K1975">
        <v>5.5734514311133691E-4</v>
      </c>
      <c r="L1975">
        <v>2.5513591693199363E-4</v>
      </c>
      <c r="N1975">
        <v>10.462300000000001</v>
      </c>
      <c r="O1975">
        <f t="shared" si="208"/>
        <v>5.5734514311133691E-4</v>
      </c>
      <c r="Q1975">
        <v>10.462300000000001</v>
      </c>
      <c r="R1975">
        <f t="shared" si="209"/>
        <v>2.5513591693199363E-4</v>
      </c>
      <c r="CH1975">
        <v>9.6849600000000002</v>
      </c>
      <c r="CI1975">
        <v>0.342914</v>
      </c>
      <c r="CJ1975">
        <f t="shared" si="210"/>
        <v>26.650934875161148</v>
      </c>
      <c r="CL1975">
        <v>9.6849600000000002</v>
      </c>
      <c r="CM1975">
        <v>0.29307</v>
      </c>
      <c r="CN1975">
        <f t="shared" si="211"/>
        <v>22.77710879072735</v>
      </c>
    </row>
    <row r="1976" spans="4:92" x14ac:dyDescent="0.35">
      <c r="D1976">
        <v>10.597799999999999</v>
      </c>
      <c r="E1976">
        <v>4.7471699999999999E-2</v>
      </c>
      <c r="F1976">
        <v>4.1885800000000001E-2</v>
      </c>
      <c r="G1976">
        <v>0.146678</v>
      </c>
      <c r="I1976">
        <v>10.597799999999999</v>
      </c>
      <c r="J1976">
        <f t="shared" si="207"/>
        <v>8.4254901483843395E-5</v>
      </c>
      <c r="K1976">
        <v>2.2229800406921646E-4</v>
      </c>
      <c r="L1976">
        <v>4.8222929835589189E-4</v>
      </c>
      <c r="N1976">
        <v>10.597799999999999</v>
      </c>
      <c r="O1976">
        <f t="shared" si="208"/>
        <v>2.2229800406921646E-4</v>
      </c>
      <c r="Q1976">
        <v>10.597799999999999</v>
      </c>
      <c r="R1976">
        <f t="shared" si="209"/>
        <v>4.8222929835589189E-4</v>
      </c>
      <c r="CH1976">
        <v>9.8103800000000003</v>
      </c>
      <c r="CI1976">
        <v>0.23044400000000001</v>
      </c>
      <c r="CJ1976">
        <f t="shared" si="210"/>
        <v>17.909878384585163</v>
      </c>
      <c r="CL1976">
        <v>9.8103800000000003</v>
      </c>
      <c r="CM1976">
        <v>0.34889999999999999</v>
      </c>
      <c r="CN1976">
        <f t="shared" si="211"/>
        <v>27.116160838996731</v>
      </c>
    </row>
    <row r="1977" spans="4:92" x14ac:dyDescent="0.35">
      <c r="D1977">
        <v>10.734999999999999</v>
      </c>
      <c r="E1977">
        <v>8.5819999999999994E-2</v>
      </c>
      <c r="F1977">
        <v>7.7833700000000006E-2</v>
      </c>
      <c r="G1977">
        <v>0.10842300000000001</v>
      </c>
      <c r="I1977">
        <v>10.734999999999999</v>
      </c>
      <c r="J1977">
        <f t="shared" si="207"/>
        <v>1.5231718361346741E-4</v>
      </c>
      <c r="K1977">
        <v>4.1308214620043484E-4</v>
      </c>
      <c r="L1977">
        <v>3.5645936824636872E-4</v>
      </c>
      <c r="N1977">
        <v>10.734999999999999</v>
      </c>
      <c r="O1977">
        <f t="shared" si="208"/>
        <v>4.1308214620043484E-4</v>
      </c>
      <c r="Q1977">
        <v>10.734999999999999</v>
      </c>
      <c r="R1977">
        <f t="shared" si="209"/>
        <v>3.5645936824636872E-4</v>
      </c>
      <c r="CH1977">
        <v>9.9374199999999995</v>
      </c>
      <c r="CI1977">
        <v>0.265457</v>
      </c>
      <c r="CJ1977">
        <f t="shared" si="210"/>
        <v>20.631053906097893</v>
      </c>
      <c r="CL1977">
        <v>9.9374199999999995</v>
      </c>
      <c r="CM1977">
        <v>0.28255000000000002</v>
      </c>
      <c r="CN1977">
        <f t="shared" si="211"/>
        <v>21.959504858293286</v>
      </c>
    </row>
    <row r="1978" spans="4:92" x14ac:dyDescent="0.35">
      <c r="D1978">
        <v>10.874000000000001</v>
      </c>
      <c r="E1978">
        <v>6.9173299999999993E-2</v>
      </c>
      <c r="F1978">
        <v>7.3285400000000001E-2</v>
      </c>
      <c r="G1978">
        <v>8.3224300000000001E-2</v>
      </c>
      <c r="I1978">
        <v>10.874000000000001</v>
      </c>
      <c r="J1978">
        <f t="shared" si="207"/>
        <v>1.2277187412315852E-4</v>
      </c>
      <c r="K1978">
        <v>3.8894322532729842E-4</v>
      </c>
      <c r="L1978">
        <v>2.7361428295422801E-4</v>
      </c>
      <c r="N1978">
        <v>10.874000000000001</v>
      </c>
      <c r="O1978">
        <f t="shared" si="208"/>
        <v>3.8894322532729842E-4</v>
      </c>
      <c r="Q1978">
        <v>10.874000000000001</v>
      </c>
      <c r="R1978">
        <f t="shared" si="209"/>
        <v>2.7361428295422801E-4</v>
      </c>
      <c r="CH1978">
        <v>10.0661</v>
      </c>
      <c r="CI1978">
        <v>0.283138</v>
      </c>
      <c r="CJ1978">
        <f t="shared" si="210"/>
        <v>22.00520363322401</v>
      </c>
      <c r="CL1978">
        <v>10.0661</v>
      </c>
      <c r="CM1978">
        <v>0.34571000000000002</v>
      </c>
      <c r="CN1978">
        <f t="shared" si="211"/>
        <v>26.86823721309705</v>
      </c>
    </row>
    <row r="1979" spans="4:92" x14ac:dyDescent="0.35">
      <c r="D1979">
        <v>11.014799999999999</v>
      </c>
      <c r="E1979">
        <v>4.2433499999999999E-2</v>
      </c>
      <c r="F1979">
        <v>4.7058599999999999E-2</v>
      </c>
      <c r="G1979">
        <v>6.7496899999999999E-2</v>
      </c>
      <c r="I1979">
        <v>11.014799999999999</v>
      </c>
      <c r="J1979">
        <f t="shared" si="207"/>
        <v>7.5312878243557075E-5</v>
      </c>
      <c r="K1979">
        <v>2.4975129648452767E-4</v>
      </c>
      <c r="L1979">
        <v>2.2190773482183969E-4</v>
      </c>
      <c r="N1979">
        <v>11.014799999999999</v>
      </c>
      <c r="O1979">
        <f t="shared" si="208"/>
        <v>2.4975129648452767E-4</v>
      </c>
      <c r="Q1979">
        <v>11.014799999999999</v>
      </c>
      <c r="R1979">
        <f t="shared" si="209"/>
        <v>2.2190773482183969E-4</v>
      </c>
      <c r="CH1979">
        <v>10.1965</v>
      </c>
      <c r="CI1979">
        <v>0.243952</v>
      </c>
      <c r="CJ1979">
        <f t="shared" si="210"/>
        <v>18.959706703912097</v>
      </c>
      <c r="CL1979">
        <v>10.1965</v>
      </c>
      <c r="CM1979">
        <v>0.31114999999999998</v>
      </c>
      <c r="CN1979">
        <f t="shared" si="211"/>
        <v>24.182268400842169</v>
      </c>
    </row>
    <row r="1980" spans="4:92" x14ac:dyDescent="0.35">
      <c r="D1980">
        <v>11.157500000000001</v>
      </c>
      <c r="E1980">
        <v>6.4549499999999996E-2</v>
      </c>
      <c r="F1980">
        <v>4.11194E-2</v>
      </c>
      <c r="G1980">
        <v>0.10068299999999999</v>
      </c>
      <c r="I1980">
        <v>11.157500000000001</v>
      </c>
      <c r="J1980">
        <f t="shared" si="207"/>
        <v>1.1456534658188666E-4</v>
      </c>
      <c r="K1980">
        <v>2.1823053513419203E-4</v>
      </c>
      <c r="L1980">
        <v>3.3101277932864003E-4</v>
      </c>
      <c r="N1980">
        <v>11.157500000000001</v>
      </c>
      <c r="O1980">
        <f t="shared" si="208"/>
        <v>2.1823053513419203E-4</v>
      </c>
      <c r="Q1980">
        <v>11.157500000000001</v>
      </c>
      <c r="R1980">
        <f t="shared" si="209"/>
        <v>3.3101277932864003E-4</v>
      </c>
      <c r="CH1980">
        <v>10.3285</v>
      </c>
      <c r="CI1980">
        <v>0.36832599999999999</v>
      </c>
      <c r="CJ1980">
        <f t="shared" si="210"/>
        <v>28.62593022982032</v>
      </c>
      <c r="CL1980">
        <v>10.3285</v>
      </c>
      <c r="CM1980">
        <v>0.34251999999999999</v>
      </c>
      <c r="CN1980">
        <f t="shared" si="211"/>
        <v>26.620313587197366</v>
      </c>
    </row>
    <row r="1981" spans="4:92" x14ac:dyDescent="0.35">
      <c r="D1981">
        <v>11.302</v>
      </c>
      <c r="E1981">
        <v>3.1206299999999999E-2</v>
      </c>
      <c r="F1981">
        <v>4.08793E-2</v>
      </c>
      <c r="G1981">
        <v>6.9758600000000004E-2</v>
      </c>
      <c r="I1981">
        <v>11.302</v>
      </c>
      <c r="J1981">
        <f t="shared" si="207"/>
        <v>5.5386340328559165E-5</v>
      </c>
      <c r="K1981">
        <v>2.1695626674784105E-4</v>
      </c>
      <c r="L1981">
        <v>2.2934346481605505E-4</v>
      </c>
      <c r="N1981">
        <v>11.302</v>
      </c>
      <c r="O1981">
        <f t="shared" si="208"/>
        <v>2.1695626674784105E-4</v>
      </c>
      <c r="Q1981">
        <v>11.302</v>
      </c>
      <c r="R1981">
        <f t="shared" si="209"/>
        <v>2.2934346481605505E-4</v>
      </c>
      <c r="CH1981">
        <v>10.462300000000001</v>
      </c>
      <c r="CI1981">
        <v>0.12814400000000001</v>
      </c>
      <c r="CJ1981">
        <f t="shared" si="210"/>
        <v>9.9592241746987593</v>
      </c>
      <c r="CL1981">
        <v>10.462300000000001</v>
      </c>
      <c r="CM1981">
        <v>0.43896000000000002</v>
      </c>
      <c r="CN1981">
        <f t="shared" si="211"/>
        <v>34.115534427876199</v>
      </c>
    </row>
    <row r="1982" spans="4:92" x14ac:dyDescent="0.35">
      <c r="D1982">
        <v>11.4483</v>
      </c>
      <c r="E1982">
        <v>3.7861100000000002E-2</v>
      </c>
      <c r="F1982">
        <v>5.6663999999999999E-2</v>
      </c>
      <c r="G1982">
        <v>4.1883099999999999E-2</v>
      </c>
      <c r="I1982">
        <v>11.4483</v>
      </c>
      <c r="J1982">
        <f t="shared" si="207"/>
        <v>6.7197577726728626E-5</v>
      </c>
      <c r="K1982">
        <v>3.0072946207492949E-4</v>
      </c>
      <c r="L1982">
        <v>1.3769793647288382E-4</v>
      </c>
      <c r="N1982">
        <v>11.4483</v>
      </c>
      <c r="O1982">
        <f t="shared" si="208"/>
        <v>3.0072946207492949E-4</v>
      </c>
      <c r="Q1982">
        <v>11.4483</v>
      </c>
      <c r="R1982">
        <f t="shared" si="209"/>
        <v>1.3769793647288382E-4</v>
      </c>
      <c r="CH1982">
        <v>10.597799999999999</v>
      </c>
      <c r="CI1982">
        <v>0.140317</v>
      </c>
      <c r="CJ1982">
        <f t="shared" si="210"/>
        <v>10.905297622371751</v>
      </c>
      <c r="CL1982">
        <v>10.597799999999999</v>
      </c>
      <c r="CM1982">
        <v>0.36937999999999999</v>
      </c>
      <c r="CN1982">
        <f t="shared" si="211"/>
        <v>28.707846061073695</v>
      </c>
    </row>
    <row r="1983" spans="4:92" x14ac:dyDescent="0.35">
      <c r="D1983">
        <v>11.5966</v>
      </c>
      <c r="E1983">
        <v>3.8230199999999999E-2</v>
      </c>
      <c r="F1983">
        <v>2.5163700000000001E-2</v>
      </c>
      <c r="G1983">
        <v>5.29933E-2</v>
      </c>
      <c r="I1983">
        <v>11.5966</v>
      </c>
      <c r="J1983">
        <f t="shared" si="207"/>
        <v>6.785267295478421E-5</v>
      </c>
      <c r="K1983">
        <v>1.3354980172269702E-4</v>
      </c>
      <c r="L1983">
        <v>1.7422464089068086E-4</v>
      </c>
      <c r="N1983">
        <v>11.5966</v>
      </c>
      <c r="O1983">
        <f t="shared" si="208"/>
        <v>1.3354980172269702E-4</v>
      </c>
      <c r="Q1983">
        <v>11.5966</v>
      </c>
      <c r="R1983">
        <f t="shared" si="209"/>
        <v>1.7422464089068086E-4</v>
      </c>
      <c r="CH1983">
        <v>10.734999999999999</v>
      </c>
      <c r="CI1983">
        <v>8.3798800000000007E-2</v>
      </c>
      <c r="CJ1983">
        <f t="shared" si="210"/>
        <v>6.5127593548722258</v>
      </c>
      <c r="CL1983">
        <v>10.734999999999999</v>
      </c>
      <c r="CM1983">
        <v>0.37902000000000002</v>
      </c>
      <c r="CN1983">
        <f t="shared" si="211"/>
        <v>29.457057269121645</v>
      </c>
    </row>
    <row r="1984" spans="4:92" x14ac:dyDescent="0.35">
      <c r="D1984">
        <v>11.7468</v>
      </c>
      <c r="E1984">
        <v>5.2804999999999998E-2</v>
      </c>
      <c r="F1984">
        <v>3.6811900000000002E-2</v>
      </c>
      <c r="G1984">
        <v>8.9747800000000003E-2</v>
      </c>
      <c r="I1984">
        <v>11.7468</v>
      </c>
      <c r="J1984">
        <f t="shared" si="207"/>
        <v>9.3720681434504151E-5</v>
      </c>
      <c r="K1984">
        <v>1.9536959771558835E-4</v>
      </c>
      <c r="L1984">
        <v>2.9506141768353072E-4</v>
      </c>
      <c r="N1984">
        <v>11.7468</v>
      </c>
      <c r="O1984">
        <f t="shared" si="208"/>
        <v>1.9536959771558835E-4</v>
      </c>
      <c r="Q1984">
        <v>11.7468</v>
      </c>
      <c r="R1984">
        <f t="shared" si="209"/>
        <v>2.9506141768353072E-4</v>
      </c>
      <c r="CH1984">
        <v>10.874000000000001</v>
      </c>
      <c r="CI1984">
        <v>0.124969</v>
      </c>
      <c r="CJ1984">
        <f t="shared" si="210"/>
        <v>9.7124663338738397</v>
      </c>
      <c r="CL1984">
        <v>10.874000000000001</v>
      </c>
      <c r="CM1984">
        <v>0.40300000000000002</v>
      </c>
      <c r="CN1984">
        <f t="shared" si="211"/>
        <v>31.320759008643403</v>
      </c>
    </row>
    <row r="1985" spans="4:92" x14ac:dyDescent="0.35">
      <c r="D1985">
        <v>11.898899999999999</v>
      </c>
      <c r="E1985">
        <v>2.6177300000000001E-2</v>
      </c>
      <c r="F1985">
        <v>3.6305799999999999E-2</v>
      </c>
      <c r="G1985">
        <v>1.56659E-2</v>
      </c>
      <c r="I1985">
        <v>11.898899999999999</v>
      </c>
      <c r="J1985">
        <f t="shared" si="207"/>
        <v>4.6460645660741322E-5</v>
      </c>
      <c r="K1985">
        <v>1.9268360342016052E-4</v>
      </c>
      <c r="L1985">
        <v>5.1504356243700948E-5</v>
      </c>
      <c r="N1985">
        <v>11.898899999999999</v>
      </c>
      <c r="O1985">
        <f t="shared" si="208"/>
        <v>1.9268360342016052E-4</v>
      </c>
      <c r="Q1985">
        <v>11.898899999999999</v>
      </c>
      <c r="R1985">
        <f t="shared" si="209"/>
        <v>5.1504356243700948E-5</v>
      </c>
      <c r="CH1985">
        <v>11.014799999999999</v>
      </c>
      <c r="CI1985">
        <v>6.6917500000000005E-2</v>
      </c>
      <c r="CJ1985">
        <f t="shared" si="210"/>
        <v>5.2007615160319975</v>
      </c>
      <c r="CL1985">
        <v>11.014799999999999</v>
      </c>
      <c r="CM1985">
        <v>0.47944999999999999</v>
      </c>
      <c r="CN1985">
        <f t="shared" si="211"/>
        <v>37.262376939687542</v>
      </c>
    </row>
    <row r="1986" spans="4:92" x14ac:dyDescent="0.35">
      <c r="D1986">
        <v>12.053000000000001</v>
      </c>
      <c r="E1986">
        <v>2.19093E-2</v>
      </c>
      <c r="F1986">
        <v>3.0928299999999999E-2</v>
      </c>
      <c r="G1986">
        <v>5.2952600000000002E-2</v>
      </c>
      <c r="I1986">
        <v>12.053000000000001</v>
      </c>
      <c r="J1986">
        <f t="shared" si="207"/>
        <v>3.888560791123912E-5</v>
      </c>
      <c r="K1986">
        <v>1.6414391892369124E-4</v>
      </c>
      <c r="L1986">
        <v>1.7409083260011863E-4</v>
      </c>
      <c r="N1986">
        <v>12.053000000000001</v>
      </c>
      <c r="O1986">
        <f t="shared" si="208"/>
        <v>1.6414391892369124E-4</v>
      </c>
      <c r="Q1986">
        <v>12.053000000000001</v>
      </c>
      <c r="R1986">
        <f t="shared" si="209"/>
        <v>1.7409083260011863E-4</v>
      </c>
      <c r="CH1986">
        <v>11.157500000000001</v>
      </c>
      <c r="CI1986">
        <v>0.10747900000000001</v>
      </c>
      <c r="CJ1986">
        <f t="shared" si="210"/>
        <v>8.3531609366997124</v>
      </c>
      <c r="CL1986">
        <v>11.157500000000001</v>
      </c>
      <c r="CM1986">
        <v>0.46375</v>
      </c>
      <c r="CN1986">
        <f t="shared" si="211"/>
        <v>36.042188561435182</v>
      </c>
    </row>
    <row r="1987" spans="4:92" x14ac:dyDescent="0.35">
      <c r="D1987">
        <v>12.209099999999999</v>
      </c>
      <c r="E1987">
        <v>3.6983500000000002E-2</v>
      </c>
      <c r="F1987">
        <v>2.0759799999999998E-2</v>
      </c>
      <c r="G1987">
        <v>7.4245500000000006E-2</v>
      </c>
      <c r="I1987">
        <v>12.209099999999999</v>
      </c>
      <c r="J1987">
        <f t="shared" si="207"/>
        <v>6.5639973900823484E-5</v>
      </c>
      <c r="K1987">
        <v>1.1017724634305946E-4</v>
      </c>
      <c r="L1987">
        <v>2.4409492474046808E-4</v>
      </c>
      <c r="N1987">
        <v>12.209099999999999</v>
      </c>
      <c r="O1987">
        <f t="shared" si="208"/>
        <v>1.1017724634305946E-4</v>
      </c>
      <c r="Q1987">
        <v>12.209099999999999</v>
      </c>
      <c r="R1987">
        <f t="shared" si="209"/>
        <v>2.4409492474046808E-4</v>
      </c>
      <c r="CH1987">
        <v>11.302</v>
      </c>
      <c r="CI1987">
        <v>0.107497</v>
      </c>
      <c r="CJ1987">
        <f t="shared" si="210"/>
        <v>8.3545598787894289</v>
      </c>
      <c r="CL1987">
        <v>11.302</v>
      </c>
      <c r="CM1987">
        <v>0.52751000000000003</v>
      </c>
      <c r="CN1987">
        <f t="shared" si="211"/>
        <v>40.997552319229484</v>
      </c>
    </row>
    <row r="1988" spans="4:92" x14ac:dyDescent="0.35">
      <c r="D1988">
        <v>12.3672</v>
      </c>
      <c r="E1988">
        <v>3.6862600000000002E-2</v>
      </c>
      <c r="F1988">
        <v>2.0610199999999999E-2</v>
      </c>
      <c r="G1988">
        <v>2.1441499999999999E-2</v>
      </c>
      <c r="I1988">
        <v>12.3672</v>
      </c>
      <c r="J1988">
        <f t="shared" ref="J1988:J2002" si="212">E1988/SUM($E$3:$E$2002)/$C$3</f>
        <v>6.5425395160449818E-5</v>
      </c>
      <c r="K1988">
        <v>1.0938328320021021E-4</v>
      </c>
      <c r="L1988">
        <v>7.0492640346185909E-5</v>
      </c>
      <c r="N1988">
        <v>12.3672</v>
      </c>
      <c r="O1988">
        <f t="shared" ref="O1988:O2002" si="213">F1988/SUM($F$3:$F$2002)/$C$3</f>
        <v>1.0938328320021021E-4</v>
      </c>
      <c r="Q1988">
        <v>12.3672</v>
      </c>
      <c r="R1988">
        <f t="shared" ref="R1988:R2002" si="214">G1988/SUM($G$3:$G$2002)/$C$3</f>
        <v>7.0492640346185909E-5</v>
      </c>
      <c r="CH1988">
        <v>11.4483</v>
      </c>
      <c r="CI1988">
        <v>2.3471599999999999E-2</v>
      </c>
      <c r="CJ1988">
        <f t="shared" si="210"/>
        <v>1.8241893973877779</v>
      </c>
      <c r="CL1988">
        <v>11.4483</v>
      </c>
      <c r="CM1988">
        <v>0.80918999999999996</v>
      </c>
      <c r="CN1988">
        <f t="shared" si="211"/>
        <v>62.889441643186487</v>
      </c>
    </row>
    <row r="1989" spans="4:92" x14ac:dyDescent="0.35">
      <c r="D1989">
        <v>12.5273</v>
      </c>
      <c r="E1989">
        <v>1.05644E-2</v>
      </c>
      <c r="F1989">
        <v>3.0983199999999999E-2</v>
      </c>
      <c r="G1989">
        <v>3.7115700000000001E-2</v>
      </c>
      <c r="I1989">
        <v>12.5273</v>
      </c>
      <c r="J1989">
        <f t="shared" si="212"/>
        <v>1.8750170759334829E-5</v>
      </c>
      <c r="K1989">
        <v>1.6443528641394811E-4</v>
      </c>
      <c r="L1989">
        <v>1.2202428427567719E-4</v>
      </c>
      <c r="N1989">
        <v>12.5273</v>
      </c>
      <c r="O1989">
        <f t="shared" si="213"/>
        <v>1.6443528641394811E-4</v>
      </c>
      <c r="Q1989">
        <v>12.5273</v>
      </c>
      <c r="R1989">
        <f t="shared" si="214"/>
        <v>1.2202428427567719E-4</v>
      </c>
      <c r="CH1989">
        <v>11.5966</v>
      </c>
      <c r="CI1989">
        <v>3.9612700000000001E-2</v>
      </c>
      <c r="CJ1989">
        <f t="shared" si="210"/>
        <v>3.0786596287386812</v>
      </c>
      <c r="CL1989">
        <v>11.5966</v>
      </c>
      <c r="CM1989">
        <v>0.39035999999999998</v>
      </c>
      <c r="CN1989">
        <f t="shared" si="211"/>
        <v>30.338390785642773</v>
      </c>
    </row>
    <row r="1990" spans="4:92" x14ac:dyDescent="0.35">
      <c r="D1990">
        <v>12.6896</v>
      </c>
      <c r="E1990">
        <v>1.6014799999999999E-2</v>
      </c>
      <c r="F1990">
        <v>2.5953199999999999E-2</v>
      </c>
      <c r="G1990">
        <v>1.5311099999999999E-2</v>
      </c>
      <c r="I1990">
        <v>12.6896</v>
      </c>
      <c r="J1990">
        <f t="shared" si="212"/>
        <v>2.8423785040001839E-5</v>
      </c>
      <c r="K1990">
        <v>1.3773986790772025E-4</v>
      </c>
      <c r="L1990">
        <v>5.0337889867989045E-5</v>
      </c>
      <c r="N1990">
        <v>12.6896</v>
      </c>
      <c r="O1990">
        <f t="shared" si="213"/>
        <v>1.3773986790772025E-4</v>
      </c>
      <c r="Q1990">
        <v>12.6896</v>
      </c>
      <c r="R1990">
        <f t="shared" si="214"/>
        <v>5.0337889867989045E-5</v>
      </c>
      <c r="CH1990">
        <v>11.7468</v>
      </c>
      <c r="CI1990">
        <v>0.10280499999999999</v>
      </c>
      <c r="CJ1990">
        <f t="shared" si="210"/>
        <v>7.9899023074034359</v>
      </c>
      <c r="CL1990">
        <v>11.7468</v>
      </c>
      <c r="CM1990">
        <v>0.57103000000000004</v>
      </c>
      <c r="CN1990">
        <f t="shared" si="211"/>
        <v>44.379883416143038</v>
      </c>
    </row>
    <row r="1991" spans="4:92" x14ac:dyDescent="0.35">
      <c r="D1991">
        <v>12.853899999999999</v>
      </c>
      <c r="E1991">
        <v>1.03672E-2</v>
      </c>
      <c r="F1991">
        <v>1.0537599999999999E-2</v>
      </c>
      <c r="G1991">
        <v>5.2018699999999999E-3</v>
      </c>
      <c r="I1991">
        <v>12.853899999999999</v>
      </c>
      <c r="J1991">
        <f t="shared" si="212"/>
        <v>1.8400171358162889E-5</v>
      </c>
      <c r="K1991">
        <v>5.592557496048244E-5</v>
      </c>
      <c r="L1991">
        <v>1.7102047479775858E-5</v>
      </c>
      <c r="N1991">
        <v>12.853899999999999</v>
      </c>
      <c r="O1991">
        <f t="shared" si="213"/>
        <v>5.592557496048244E-5</v>
      </c>
      <c r="Q1991">
        <v>12.853899999999999</v>
      </c>
      <c r="R1991">
        <f t="shared" si="214"/>
        <v>1.7102047479775858E-5</v>
      </c>
      <c r="CH1991">
        <v>11.898899999999999</v>
      </c>
      <c r="CI1991">
        <v>5.08131E-2</v>
      </c>
      <c r="CJ1991">
        <f t="shared" si="210"/>
        <v>3.9491435721640151</v>
      </c>
      <c r="CL1991">
        <v>11.898899999999999</v>
      </c>
      <c r="CM1991">
        <v>0.48483999999999999</v>
      </c>
      <c r="CN1991">
        <f t="shared" si="211"/>
        <v>37.681282376552524</v>
      </c>
    </row>
    <row r="1992" spans="4:92" x14ac:dyDescent="0.35">
      <c r="D1992">
        <v>13.0204</v>
      </c>
      <c r="E1992">
        <v>1.07286E-2</v>
      </c>
      <c r="F1992">
        <v>3.6954500000000001E-2</v>
      </c>
      <c r="G1992">
        <v>1.5913699999999999E-2</v>
      </c>
      <c r="I1992">
        <v>13.0204</v>
      </c>
      <c r="J1992">
        <f t="shared" si="212"/>
        <v>1.9041600281000305E-5</v>
      </c>
      <c r="K1992">
        <v>1.9612641017661977E-4</v>
      </c>
      <c r="L1992">
        <v>5.2319041609826673E-5</v>
      </c>
      <c r="N1992">
        <v>13.0204</v>
      </c>
      <c r="O1992">
        <f t="shared" si="213"/>
        <v>1.9612641017661977E-4</v>
      </c>
      <c r="Q1992">
        <v>13.0204</v>
      </c>
      <c r="R1992">
        <f t="shared" si="214"/>
        <v>5.2319041609826673E-5</v>
      </c>
      <c r="CH1992">
        <v>12.053000000000001</v>
      </c>
      <c r="CI1992">
        <v>9.19595E-2</v>
      </c>
      <c r="CJ1992">
        <f t="shared" si="210"/>
        <v>7.1470008388470045</v>
      </c>
      <c r="CL1992">
        <v>12.053000000000001</v>
      </c>
      <c r="CM1992">
        <v>0.45302999999999999</v>
      </c>
      <c r="CN1992">
        <f t="shared" si="211"/>
        <v>35.209040828004269</v>
      </c>
    </row>
    <row r="1993" spans="4:92" x14ac:dyDescent="0.35">
      <c r="D1993">
        <v>13.189</v>
      </c>
      <c r="E1993">
        <v>1.6475799999999999E-2</v>
      </c>
      <c r="F1993">
        <v>3.6846299999999998E-2</v>
      </c>
      <c r="G1993">
        <v>2.6216199999999999E-2</v>
      </c>
      <c r="I1993">
        <v>13.189</v>
      </c>
      <c r="J1993">
        <f t="shared" si="212"/>
        <v>2.9241988508258752E-5</v>
      </c>
      <c r="K1993">
        <v>1.9555216678052156E-4</v>
      </c>
      <c r="L1993">
        <v>8.6190292556196106E-5</v>
      </c>
      <c r="N1993">
        <v>13.189</v>
      </c>
      <c r="O1993">
        <f t="shared" si="213"/>
        <v>1.9555216678052156E-4</v>
      </c>
      <c r="Q1993">
        <v>13.189</v>
      </c>
      <c r="R1993">
        <f t="shared" si="214"/>
        <v>8.6190292556196106E-5</v>
      </c>
      <c r="CH1993">
        <v>12.209099999999999</v>
      </c>
      <c r="CI1993">
        <v>3.5575200000000001E-2</v>
      </c>
      <c r="CJ1993">
        <f t="shared" si="210"/>
        <v>2.7648691461148656</v>
      </c>
      <c r="CL1993">
        <v>12.209099999999999</v>
      </c>
      <c r="CM1993">
        <v>0.58206999999999998</v>
      </c>
      <c r="CN1993">
        <f t="shared" si="211"/>
        <v>45.237901231168891</v>
      </c>
    </row>
    <row r="1994" spans="4:92" x14ac:dyDescent="0.35">
      <c r="D1994">
        <v>13.3598</v>
      </c>
      <c r="E1994">
        <v>5.5497999999999997E-3</v>
      </c>
      <c r="F1994">
        <v>5.07803E-2</v>
      </c>
      <c r="G1994">
        <v>5.39421E-3</v>
      </c>
      <c r="I1994">
        <v>13.3598</v>
      </c>
      <c r="J1994">
        <f t="shared" si="212"/>
        <v>9.850033857119801E-6</v>
      </c>
      <c r="K1994">
        <v>2.6950325255900646E-4</v>
      </c>
      <c r="L1994">
        <v>1.7734398502054404E-5</v>
      </c>
      <c r="N1994">
        <v>13.3598</v>
      </c>
      <c r="O1994">
        <f t="shared" si="213"/>
        <v>2.6950325255900646E-4</v>
      </c>
      <c r="Q1994">
        <v>13.3598</v>
      </c>
      <c r="R1994">
        <f t="shared" si="214"/>
        <v>1.7734398502054404E-5</v>
      </c>
      <c r="CH1994">
        <v>12.3672</v>
      </c>
      <c r="CI1994">
        <v>4.7648000000000003E-2</v>
      </c>
      <c r="CJ1994">
        <f t="shared" ref="CJ1994:CJ2008" si="215">CI1994/$CG$9</f>
        <v>3.7031551494884392</v>
      </c>
      <c r="CL1994">
        <v>12.3672</v>
      </c>
      <c r="CM1994">
        <v>0.40472999999999998</v>
      </c>
      <c r="CN1994">
        <f t="shared" ref="CN1994:CN2008" si="216">CM1994/$CG$9</f>
        <v>31.455212887266114</v>
      </c>
    </row>
    <row r="1995" spans="4:92" x14ac:dyDescent="0.35">
      <c r="D1995">
        <v>13.5328</v>
      </c>
      <c r="E1995">
        <v>1.0926E-2</v>
      </c>
      <c r="F1995">
        <v>2.0690799999999999E-2</v>
      </c>
      <c r="G1995">
        <v>1.5695400000000002E-2</v>
      </c>
      <c r="I1995">
        <v>13.5328</v>
      </c>
      <c r="J1995">
        <f t="shared" si="212"/>
        <v>1.9391954651138951E-5</v>
      </c>
      <c r="K1995">
        <v>1.0981104676514103E-4</v>
      </c>
      <c r="L1995">
        <v>5.1601342596811159E-5</v>
      </c>
      <c r="N1995">
        <v>13.5328</v>
      </c>
      <c r="O1995">
        <f t="shared" si="213"/>
        <v>1.0981104676514103E-4</v>
      </c>
      <c r="Q1995">
        <v>13.5328</v>
      </c>
      <c r="R1995">
        <f t="shared" si="214"/>
        <v>5.1601342596811159E-5</v>
      </c>
      <c r="CH1995">
        <v>12.5273</v>
      </c>
      <c r="CI1995">
        <v>5.1313499999999998E-2</v>
      </c>
      <c r="CJ1995">
        <f t="shared" si="215"/>
        <v>3.9880341622581219</v>
      </c>
      <c r="CL1995">
        <v>12.5273</v>
      </c>
      <c r="CM1995">
        <v>0.58365999999999996</v>
      </c>
      <c r="CN1995">
        <f t="shared" si="216"/>
        <v>45.361474449093812</v>
      </c>
    </row>
    <row r="1996" spans="4:92" x14ac:dyDescent="0.35">
      <c r="D1996">
        <v>13.708</v>
      </c>
      <c r="E1996">
        <v>0</v>
      </c>
      <c r="F1996">
        <v>5.55515E-3</v>
      </c>
      <c r="G1996">
        <v>5.47234E-3</v>
      </c>
      <c r="I1996">
        <v>13.708</v>
      </c>
      <c r="J1996">
        <f t="shared" si="212"/>
        <v>0</v>
      </c>
      <c r="K1996">
        <v>2.948251572860272E-5</v>
      </c>
      <c r="L1996">
        <v>1.7991264392512042E-5</v>
      </c>
      <c r="N1996">
        <v>13.708</v>
      </c>
      <c r="O1996">
        <f t="shared" si="213"/>
        <v>2.948251572860272E-5</v>
      </c>
      <c r="Q1996">
        <v>13.708</v>
      </c>
      <c r="R1996">
        <f t="shared" si="214"/>
        <v>1.7991264392512042E-5</v>
      </c>
      <c r="CH1996">
        <v>12.6896</v>
      </c>
      <c r="CI1996">
        <v>0</v>
      </c>
      <c r="CJ1996">
        <f t="shared" si="215"/>
        <v>0</v>
      </c>
      <c r="CL1996">
        <v>12.6896</v>
      </c>
      <c r="CM1996">
        <v>0.81047000000000002</v>
      </c>
      <c r="CN1996">
        <f t="shared" si="216"/>
        <v>62.988921969566299</v>
      </c>
    </row>
    <row r="1997" spans="4:92" x14ac:dyDescent="0.35">
      <c r="D1997">
        <v>13.8855</v>
      </c>
      <c r="E1997">
        <v>5.4004700000000001E-3</v>
      </c>
      <c r="F1997">
        <v>5.07859E-3</v>
      </c>
      <c r="G1997">
        <v>0</v>
      </c>
      <c r="I1997">
        <v>13.8855</v>
      </c>
      <c r="J1997">
        <f t="shared" si="212"/>
        <v>9.5849962781289023E-6</v>
      </c>
      <c r="K1997">
        <v>2.6953297310446073E-5</v>
      </c>
      <c r="L1997">
        <v>0</v>
      </c>
      <c r="N1997">
        <v>13.8855</v>
      </c>
      <c r="O1997">
        <f t="shared" si="213"/>
        <v>2.6953297310446073E-5</v>
      </c>
      <c r="Q1997">
        <v>13.8855</v>
      </c>
      <c r="R1997">
        <f t="shared" si="214"/>
        <v>0</v>
      </c>
      <c r="CH1997">
        <v>12.853899999999999</v>
      </c>
      <c r="CI1997">
        <v>1.17295E-2</v>
      </c>
      <c r="CJ1997">
        <f t="shared" si="215"/>
        <v>0.91160506896248827</v>
      </c>
      <c r="CL1997">
        <v>12.853899999999999</v>
      </c>
      <c r="CM1997">
        <v>1</v>
      </c>
      <c r="CN1997">
        <f t="shared" si="216"/>
        <v>77.7190049842268</v>
      </c>
    </row>
    <row r="1998" spans="4:92" x14ac:dyDescent="0.35">
      <c r="D1998">
        <v>14.0654</v>
      </c>
      <c r="E1998">
        <v>0</v>
      </c>
      <c r="F1998">
        <v>2.5909499999999999E-2</v>
      </c>
      <c r="G1998">
        <v>0</v>
      </c>
      <c r="I1998">
        <v>14.0654</v>
      </c>
      <c r="J1998">
        <f t="shared" si="212"/>
        <v>0</v>
      </c>
      <c r="K1998">
        <v>1.375079415083719E-4</v>
      </c>
      <c r="L1998">
        <v>0</v>
      </c>
      <c r="N1998">
        <v>14.0654</v>
      </c>
      <c r="O1998">
        <f t="shared" si="213"/>
        <v>1.375079415083719E-4</v>
      </c>
      <c r="Q1998">
        <v>14.0654</v>
      </c>
      <c r="R1998">
        <f t="shared" si="214"/>
        <v>0</v>
      </c>
      <c r="CH1998">
        <v>13.0204</v>
      </c>
      <c r="CI1998">
        <v>3.2106599999999999E-2</v>
      </c>
      <c r="CJ1998">
        <f t="shared" si="215"/>
        <v>2.4952930054265763</v>
      </c>
      <c r="CL1998">
        <v>13.0204</v>
      </c>
      <c r="CM1998">
        <v>0.88920999999999994</v>
      </c>
      <c r="CN1998">
        <f t="shared" si="216"/>
        <v>69.108516422024309</v>
      </c>
    </row>
    <row r="1999" spans="4:92" x14ac:dyDescent="0.35">
      <c r="D1999">
        <v>14.2475</v>
      </c>
      <c r="E1999">
        <v>1.60743E-2</v>
      </c>
      <c r="F1999">
        <v>1.5397299999999999E-2</v>
      </c>
      <c r="G1999">
        <v>0</v>
      </c>
      <c r="I1999">
        <v>14.2475</v>
      </c>
      <c r="J1999">
        <f t="shared" si="212"/>
        <v>2.8529388307596819E-5</v>
      </c>
      <c r="K1999">
        <v>8.1717170450485517E-5</v>
      </c>
      <c r="L1999">
        <v>0</v>
      </c>
      <c r="N1999">
        <v>14.2475</v>
      </c>
      <c r="O1999">
        <f t="shared" si="213"/>
        <v>8.1717170450485517E-5</v>
      </c>
      <c r="Q1999">
        <v>14.2475</v>
      </c>
      <c r="R1999">
        <f t="shared" si="214"/>
        <v>0</v>
      </c>
      <c r="CH1999">
        <v>13.189</v>
      </c>
      <c r="CI1999">
        <v>0</v>
      </c>
      <c r="CJ1999">
        <f t="shared" si="215"/>
        <v>0</v>
      </c>
      <c r="CL1999">
        <v>13.189</v>
      </c>
      <c r="CM1999">
        <v>0.68576000000000004</v>
      </c>
      <c r="CN1999">
        <f t="shared" si="216"/>
        <v>53.296584857983376</v>
      </c>
    </row>
    <row r="2000" spans="4:92" x14ac:dyDescent="0.35">
      <c r="D2000">
        <v>14.432</v>
      </c>
      <c r="E2000">
        <v>5.26612E-3</v>
      </c>
      <c r="F2000">
        <v>0</v>
      </c>
      <c r="G2000">
        <v>0</v>
      </c>
      <c r="I2000">
        <v>14.432</v>
      </c>
      <c r="J2000">
        <f t="shared" si="212"/>
        <v>9.3465458747442662E-6</v>
      </c>
      <c r="K2000">
        <v>0</v>
      </c>
      <c r="L2000">
        <v>0</v>
      </c>
      <c r="N2000">
        <v>14.432</v>
      </c>
      <c r="O2000">
        <f t="shared" si="213"/>
        <v>0</v>
      </c>
      <c r="Q2000">
        <v>14.432</v>
      </c>
      <c r="R2000">
        <f t="shared" si="214"/>
        <v>0</v>
      </c>
      <c r="CH2000">
        <v>13.3598</v>
      </c>
      <c r="CI2000">
        <v>3.9291200000000004E-3</v>
      </c>
      <c r="CJ2000">
        <f t="shared" si="215"/>
        <v>0.30536729686362524</v>
      </c>
      <c r="CL2000">
        <v>13.3598</v>
      </c>
      <c r="CM2000">
        <v>1</v>
      </c>
      <c r="CN2000">
        <f t="shared" si="216"/>
        <v>77.7190049842268</v>
      </c>
    </row>
    <row r="2001" spans="4:92" x14ac:dyDescent="0.35">
      <c r="D2001">
        <v>14.6189</v>
      </c>
      <c r="E2001">
        <v>0</v>
      </c>
      <c r="F2001">
        <v>4.9416299999999998E-3</v>
      </c>
      <c r="G2001">
        <v>0</v>
      </c>
      <c r="I2001">
        <v>14.6189</v>
      </c>
      <c r="J2001">
        <f t="shared" si="212"/>
        <v>0</v>
      </c>
      <c r="K2001">
        <v>2.6226417684479274E-5</v>
      </c>
      <c r="L2001">
        <v>0</v>
      </c>
      <c r="N2001">
        <v>14.6189</v>
      </c>
      <c r="O2001">
        <f t="shared" si="213"/>
        <v>2.6226417684479274E-5</v>
      </c>
      <c r="Q2001">
        <v>14.6189</v>
      </c>
      <c r="R2001">
        <f t="shared" si="214"/>
        <v>0</v>
      </c>
      <c r="CH2001">
        <v>13.5328</v>
      </c>
      <c r="CI2001">
        <v>3.6495100000000003E-2</v>
      </c>
      <c r="CJ2001">
        <f t="shared" si="215"/>
        <v>2.8363628587998559</v>
      </c>
      <c r="CL2001">
        <v>13.5328</v>
      </c>
      <c r="CM2001">
        <v>0.73702999999999996</v>
      </c>
      <c r="CN2001">
        <f t="shared" si="216"/>
        <v>57.281238243524676</v>
      </c>
    </row>
    <row r="2002" spans="4:92" x14ac:dyDescent="0.35">
      <c r="D2002">
        <v>14.808199999999999</v>
      </c>
      <c r="E2002">
        <v>5.4119700000000003E-3</v>
      </c>
      <c r="F2002">
        <v>2.0573899999999999E-2</v>
      </c>
      <c r="G2002">
        <v>5.49191E-3</v>
      </c>
      <c r="I2002">
        <v>14.808199999999999</v>
      </c>
      <c r="J2002">
        <f t="shared" si="212"/>
        <v>9.6054069937144857E-6</v>
      </c>
      <c r="K2002">
        <v>1.0919063037878356E-4</v>
      </c>
      <c r="L2002">
        <v>1.8055604152863458E-5</v>
      </c>
      <c r="N2002">
        <v>14.808199999999999</v>
      </c>
      <c r="O2002">
        <f t="shared" si="213"/>
        <v>1.0919063037878356E-4</v>
      </c>
      <c r="Q2002">
        <v>14.808199999999999</v>
      </c>
      <c r="R2002">
        <f t="shared" si="214"/>
        <v>1.8055604152863458E-5</v>
      </c>
      <c r="CH2002">
        <v>13.708</v>
      </c>
      <c r="CI2002">
        <v>1.5956999999999999E-2</v>
      </c>
      <c r="CJ2002">
        <f t="shared" si="215"/>
        <v>1.240162162533307</v>
      </c>
      <c r="CL2002">
        <v>13.708</v>
      </c>
      <c r="CM2002">
        <v>1</v>
      </c>
      <c r="CN2002">
        <f t="shared" si="216"/>
        <v>77.7190049842268</v>
      </c>
    </row>
    <row r="2003" spans="4:92" x14ac:dyDescent="0.35">
      <c r="CH2003">
        <v>13.8855</v>
      </c>
      <c r="CI2003">
        <v>8.3397799999999998E-3</v>
      </c>
      <c r="CJ2003">
        <f t="shared" si="215"/>
        <v>0.648159403387355</v>
      </c>
      <c r="CL2003">
        <v>13.8855</v>
      </c>
      <c r="CM2003">
        <v>1</v>
      </c>
      <c r="CN2003">
        <f t="shared" si="216"/>
        <v>77.7190049842268</v>
      </c>
    </row>
    <row r="2004" spans="4:92" x14ac:dyDescent="0.35">
      <c r="CH2004">
        <v>14.0654</v>
      </c>
      <c r="CI2004">
        <v>7.9784799999999996E-3</v>
      </c>
      <c r="CJ2004">
        <f t="shared" si="215"/>
        <v>0.62007952688655388</v>
      </c>
      <c r="CL2004">
        <v>14.0654</v>
      </c>
      <c r="CM2004">
        <v>1</v>
      </c>
      <c r="CN2004">
        <f t="shared" si="216"/>
        <v>77.7190049842268</v>
      </c>
    </row>
    <row r="2005" spans="4:92" x14ac:dyDescent="0.35">
      <c r="CH2005">
        <v>14.2475</v>
      </c>
      <c r="CI2005">
        <v>5.5986599999999997E-2</v>
      </c>
      <c r="CJ2005">
        <f t="shared" si="215"/>
        <v>4.3512228444499126</v>
      </c>
      <c r="CL2005">
        <v>14.2475</v>
      </c>
      <c r="CM2005">
        <v>0</v>
      </c>
      <c r="CN2005">
        <f t="shared" si="216"/>
        <v>0</v>
      </c>
    </row>
    <row r="2006" spans="4:92" x14ac:dyDescent="0.35">
      <c r="CH2006">
        <v>14.432</v>
      </c>
      <c r="CI2006">
        <v>0</v>
      </c>
      <c r="CJ2006">
        <f t="shared" si="215"/>
        <v>0</v>
      </c>
      <c r="CL2006">
        <v>14.432</v>
      </c>
      <c r="CM2006">
        <v>1</v>
      </c>
      <c r="CN2006">
        <f t="shared" si="216"/>
        <v>77.7190049842268</v>
      </c>
    </row>
    <row r="2007" spans="4:92" x14ac:dyDescent="0.35">
      <c r="CH2007">
        <v>14.6189</v>
      </c>
      <c r="CI2007">
        <v>3.06944E-2</v>
      </c>
      <c r="CJ2007">
        <f t="shared" si="215"/>
        <v>2.3855382265878511</v>
      </c>
      <c r="CL2007">
        <v>14.6189</v>
      </c>
      <c r="CM2007">
        <v>1</v>
      </c>
      <c r="CN2007">
        <f t="shared" si="216"/>
        <v>77.7190049842268</v>
      </c>
    </row>
    <row r="2008" spans="4:92" x14ac:dyDescent="0.35">
      <c r="CH2008">
        <v>14.808199999999999</v>
      </c>
      <c r="CI2008">
        <v>1.2295800000000001E-2</v>
      </c>
      <c r="CJ2008">
        <f t="shared" si="215"/>
        <v>0.95561734148505595</v>
      </c>
      <c r="CL2008">
        <v>14.808199999999999</v>
      </c>
      <c r="CM2008">
        <v>0</v>
      </c>
      <c r="CN2008">
        <f t="shared" si="216"/>
        <v>0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C8F1-AADC-4C7D-9E1A-80D85A0F72E5}">
  <dimension ref="C1:Z31"/>
  <sheetViews>
    <sheetView topLeftCell="B1" workbookViewId="0">
      <selection activeCell="H20" sqref="H20"/>
    </sheetView>
  </sheetViews>
  <sheetFormatPr defaultRowHeight="14.5" x14ac:dyDescent="0.35"/>
  <cols>
    <col min="14" max="14" width="13.453125" bestFit="1" customWidth="1"/>
    <col min="15" max="15" width="14.453125" bestFit="1" customWidth="1"/>
    <col min="16" max="16" width="15.453125" bestFit="1" customWidth="1"/>
    <col min="17" max="17" width="14" bestFit="1" customWidth="1"/>
    <col min="18" max="18" width="15" bestFit="1" customWidth="1"/>
    <col min="19" max="19" width="16" bestFit="1" customWidth="1"/>
  </cols>
  <sheetData>
    <row r="1" spans="3:15" x14ac:dyDescent="0.35">
      <c r="C1" s="5" t="s">
        <v>219</v>
      </c>
      <c r="J1" s="5" t="s">
        <v>212</v>
      </c>
    </row>
    <row r="2" spans="3:15" x14ac:dyDescent="0.35">
      <c r="J2" t="s">
        <v>213</v>
      </c>
    </row>
    <row r="3" spans="3:15" x14ac:dyDescent="0.35">
      <c r="C3" t="s">
        <v>184</v>
      </c>
      <c r="D3">
        <v>0</v>
      </c>
      <c r="E3" t="s">
        <v>185</v>
      </c>
      <c r="F3" t="s">
        <v>186</v>
      </c>
      <c r="G3" t="s">
        <v>187</v>
      </c>
      <c r="H3" t="s">
        <v>188</v>
      </c>
    </row>
    <row r="4" spans="3:15" x14ac:dyDescent="0.35">
      <c r="C4" t="s">
        <v>189</v>
      </c>
      <c r="D4">
        <v>0</v>
      </c>
      <c r="E4" t="s">
        <v>185</v>
      </c>
      <c r="F4" t="s">
        <v>190</v>
      </c>
      <c r="G4" t="s">
        <v>191</v>
      </c>
      <c r="H4" t="s">
        <v>188</v>
      </c>
    </row>
    <row r="5" spans="3:15" x14ac:dyDescent="0.35">
      <c r="C5" t="s">
        <v>189</v>
      </c>
      <c r="D5">
        <v>1</v>
      </c>
      <c r="E5" t="s">
        <v>185</v>
      </c>
      <c r="F5" t="s">
        <v>192</v>
      </c>
      <c r="G5" t="s">
        <v>193</v>
      </c>
      <c r="H5" t="s">
        <v>188</v>
      </c>
    </row>
    <row r="6" spans="3:15" x14ac:dyDescent="0.35">
      <c r="C6" t="s">
        <v>184</v>
      </c>
      <c r="D6">
        <v>1</v>
      </c>
      <c r="E6" t="s">
        <v>185</v>
      </c>
      <c r="F6" t="s">
        <v>194</v>
      </c>
      <c r="G6" t="s">
        <v>195</v>
      </c>
      <c r="H6" t="s">
        <v>188</v>
      </c>
    </row>
    <row r="7" spans="3:15" x14ac:dyDescent="0.35">
      <c r="C7" t="s">
        <v>184</v>
      </c>
      <c r="D7">
        <v>0</v>
      </c>
      <c r="E7" t="s">
        <v>196</v>
      </c>
      <c r="F7" t="s">
        <v>197</v>
      </c>
      <c r="G7" t="s">
        <v>187</v>
      </c>
      <c r="H7" t="s">
        <v>198</v>
      </c>
    </row>
    <row r="8" spans="3:15" x14ac:dyDescent="0.35">
      <c r="C8" t="s">
        <v>189</v>
      </c>
      <c r="D8">
        <v>0</v>
      </c>
      <c r="E8" t="s">
        <v>196</v>
      </c>
      <c r="F8" t="s">
        <v>199</v>
      </c>
      <c r="G8" t="s">
        <v>191</v>
      </c>
      <c r="H8" t="s">
        <v>198</v>
      </c>
    </row>
    <row r="9" spans="3:15" x14ac:dyDescent="0.35">
      <c r="C9" t="s">
        <v>189</v>
      </c>
      <c r="D9">
        <v>1</v>
      </c>
      <c r="E9" t="s">
        <v>196</v>
      </c>
      <c r="F9" t="s">
        <v>200</v>
      </c>
      <c r="G9" t="s">
        <v>201</v>
      </c>
      <c r="H9" t="s">
        <v>198</v>
      </c>
    </row>
    <row r="10" spans="3:15" x14ac:dyDescent="0.35">
      <c r="C10" t="s">
        <v>184</v>
      </c>
      <c r="D10">
        <v>1</v>
      </c>
      <c r="E10" t="s">
        <v>196</v>
      </c>
      <c r="F10" t="s">
        <v>202</v>
      </c>
      <c r="G10" t="s">
        <v>195</v>
      </c>
      <c r="H10" t="s">
        <v>198</v>
      </c>
    </row>
    <row r="11" spans="3:15" x14ac:dyDescent="0.35">
      <c r="J11" t="s">
        <v>216</v>
      </c>
    </row>
    <row r="12" spans="3:15" x14ac:dyDescent="0.35">
      <c r="C12" t="s">
        <v>203</v>
      </c>
      <c r="D12">
        <v>0</v>
      </c>
      <c r="E12" t="s">
        <v>185</v>
      </c>
      <c r="F12" t="s">
        <v>204</v>
      </c>
      <c r="G12" t="s">
        <v>188</v>
      </c>
      <c r="J12" t="s">
        <v>208</v>
      </c>
      <c r="K12" t="s">
        <v>210</v>
      </c>
      <c r="L12" t="s">
        <v>209</v>
      </c>
      <c r="M12" t="s">
        <v>217</v>
      </c>
      <c r="O12" t="s">
        <v>218</v>
      </c>
    </row>
    <row r="13" spans="3:15" x14ac:dyDescent="0.35">
      <c r="C13" t="s">
        <v>203</v>
      </c>
      <c r="D13">
        <v>1</v>
      </c>
      <c r="E13" t="s">
        <v>185</v>
      </c>
      <c r="F13" t="s">
        <v>205</v>
      </c>
      <c r="G13" t="s">
        <v>188</v>
      </c>
      <c r="O13" t="str">
        <f>_xlfn.CONCAT("(",J13," ",K13," ",L13," ",M13,")")</f>
        <v>(   )</v>
      </c>
    </row>
    <row r="14" spans="3:15" x14ac:dyDescent="0.35">
      <c r="C14" t="s">
        <v>203</v>
      </c>
      <c r="D14">
        <v>0</v>
      </c>
      <c r="E14" t="s">
        <v>196</v>
      </c>
      <c r="F14" t="s">
        <v>206</v>
      </c>
      <c r="G14" t="s">
        <v>198</v>
      </c>
    </row>
    <row r="15" spans="3:15" x14ac:dyDescent="0.35">
      <c r="C15" t="s">
        <v>203</v>
      </c>
      <c r="D15">
        <v>1</v>
      </c>
      <c r="E15" t="s">
        <v>196</v>
      </c>
      <c r="F15" t="s">
        <v>207</v>
      </c>
      <c r="G15" t="s">
        <v>198</v>
      </c>
      <c r="J15" s="22" t="s">
        <v>215</v>
      </c>
      <c r="K15" s="22"/>
      <c r="L15" s="22"/>
      <c r="M15" s="22"/>
      <c r="N15" s="22"/>
      <c r="O15" s="22"/>
    </row>
    <row r="16" spans="3:15" x14ac:dyDescent="0.35">
      <c r="J16" s="22" t="s">
        <v>208</v>
      </c>
      <c r="K16" s="22" t="s">
        <v>209</v>
      </c>
      <c r="L16" s="22" t="s">
        <v>210</v>
      </c>
      <c r="M16" s="22" t="s">
        <v>211</v>
      </c>
      <c r="N16" s="22"/>
      <c r="O16" s="22" t="s">
        <v>218</v>
      </c>
    </row>
    <row r="17" spans="10:26" x14ac:dyDescent="0.35">
      <c r="J17">
        <v>2</v>
      </c>
      <c r="K17">
        <v>6</v>
      </c>
      <c r="L17">
        <v>11</v>
      </c>
      <c r="M17">
        <v>9</v>
      </c>
      <c r="O17" t="str">
        <f>_xlfn.CONCAT("(",J17," ",K17," ",L17," ",M17,")")</f>
        <v>(2 6 11 9)</v>
      </c>
      <c r="Q17" t="s">
        <v>214</v>
      </c>
    </row>
    <row r="21" spans="10:26" x14ac:dyDescent="0.35">
      <c r="M21" s="1"/>
      <c r="U21" s="1"/>
      <c r="Z21" s="1"/>
    </row>
    <row r="22" spans="10:26" x14ac:dyDescent="0.35">
      <c r="M22" s="1"/>
      <c r="U22" s="1"/>
      <c r="Z22" s="1"/>
    </row>
    <row r="23" spans="10:26" x14ac:dyDescent="0.35">
      <c r="M23" s="1"/>
      <c r="U23" s="1"/>
      <c r="Z23" s="1"/>
    </row>
    <row r="24" spans="10:26" x14ac:dyDescent="0.35">
      <c r="M24" s="1"/>
      <c r="U24" s="1"/>
      <c r="Z24" s="1"/>
    </row>
    <row r="25" spans="10:26" x14ac:dyDescent="0.35">
      <c r="M25" s="1"/>
      <c r="U25" s="1"/>
      <c r="Z25" s="1"/>
    </row>
    <row r="26" spans="10:26" x14ac:dyDescent="0.35">
      <c r="M26" s="1"/>
      <c r="U26" s="1"/>
      <c r="Z26" s="1"/>
    </row>
    <row r="27" spans="10:26" x14ac:dyDescent="0.35">
      <c r="M27" s="1"/>
      <c r="U27" s="1"/>
      <c r="Z27" s="1"/>
    </row>
    <row r="28" spans="10:26" x14ac:dyDescent="0.35">
      <c r="M28" s="1"/>
      <c r="U28" s="1"/>
      <c r="Z28" s="1"/>
    </row>
    <row r="29" spans="10:26" x14ac:dyDescent="0.35">
      <c r="M29" s="1"/>
      <c r="U29" s="1"/>
      <c r="Z29" s="1"/>
    </row>
    <row r="30" spans="10:26" x14ac:dyDescent="0.35">
      <c r="M30" s="1"/>
      <c r="U30" s="1"/>
      <c r="Z30" s="1"/>
    </row>
    <row r="31" spans="10:26" x14ac:dyDescent="0.35">
      <c r="M3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76C64-2823-447F-BA27-CE858578D707}">
  <dimension ref="A1"/>
  <sheetViews>
    <sheetView tabSelected="1" workbookViewId="0">
      <selection activeCell="I14" sqref="A1:XFD104857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calc 2</vt:lpstr>
      <vt:lpstr>NE270 homework 1</vt:lpstr>
      <vt:lpstr>NE270 Homework </vt:lpstr>
      <vt:lpstr>Pasting from OpenFoam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Theodore Ong</dc:creator>
  <cp:lastModifiedBy>Theodore Ong</cp:lastModifiedBy>
  <dcterms:created xsi:type="dcterms:W3CDTF">2018-08-30T23:23:29Z</dcterms:created>
  <dcterms:modified xsi:type="dcterms:W3CDTF">2019-06-10T23:41:28Z</dcterms:modified>
</cp:coreProperties>
</file>